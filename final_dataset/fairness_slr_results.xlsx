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12D31A5A-483B-4CC8-97B7-37FFC71D2BF0}" xr6:coauthVersionLast="47" xr6:coauthVersionMax="47" xr10:uidLastSave="{00000000-0000-0000-0000-000000000000}"/>
  <bookViews>
    <workbookView xWindow="-38520" yWindow="-5595" windowWidth="38640" windowHeight="21120" activeTab="11" xr2:uid="{00000000-000D-0000-FFFF-FFFF00000000}"/>
  </bookViews>
  <sheets>
    <sheet name="README" sheetId="1" r:id="rId1"/>
    <sheet name="Extraction" sheetId="2" r:id="rId2"/>
    <sheet name="Domain_data" sheetId="3" r:id="rId3"/>
    <sheet name="Papers_coded" sheetId="4" r:id="rId4"/>
    <sheet name="RQ1_raw" sheetId="5" r:id="rId5"/>
    <sheet name="RQ2_raw" sheetId="6" r:id="rId6"/>
    <sheet name="RQ3_raw" sheetId="7" r:id="rId7"/>
    <sheet name="Descriptive" sheetId="8" r:id="rId8"/>
    <sheet name="RQ1_Levels" sheetId="9" r:id="rId9"/>
    <sheet name="RQ2_Lifecycle" sheetId="10" r:id="rId10"/>
    <sheet name="RQ3_Longitudinal" sheetId="11" r:id="rId11"/>
    <sheet name="RQ4_Framework" sheetId="12" r:id="rId12"/>
  </sheets>
  <definedNames>
    <definedName name="_xlnm._FilterDatabase" localSheetId="2" hidden="1">Domain_data!$A$1:$BM$111</definedName>
    <definedName name="_xlnm._FilterDatabase" localSheetId="1" hidden="1">Extraction!$A$1:$BM$111</definedName>
    <definedName name="_xlnm._FilterDatabase" localSheetId="3" hidden="1">Papers_coded!$A$1:$BM$111</definedName>
    <definedName name="_xlnm._FilterDatabase" localSheetId="4" hidden="1">RQ1_raw!$A$1:$BM$108</definedName>
    <definedName name="_xlnm._FilterDatabase" localSheetId="5" hidden="1">RQ2_raw!$A$1:$BM$111</definedName>
    <definedName name="_xlnm._FilterDatabase" localSheetId="6" hidden="1">RQ3_raw!$A$1:$BM$11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2" l="1"/>
  <c r="C19" i="12" s="1"/>
  <c r="C18" i="12"/>
  <c r="B18" i="12"/>
  <c r="B17" i="12"/>
  <c r="C17" i="12" s="1"/>
  <c r="B16" i="12"/>
  <c r="C16" i="12" s="1"/>
  <c r="B15" i="12"/>
  <c r="C15" i="12" s="1"/>
  <c r="C14" i="12"/>
  <c r="B14" i="12"/>
  <c r="B13" i="12"/>
  <c r="C13" i="12" s="1"/>
  <c r="G7" i="12"/>
  <c r="F7" i="12"/>
  <c r="C7" i="12"/>
  <c r="B7" i="12"/>
  <c r="G6" i="12"/>
  <c r="F6" i="12"/>
  <c r="C6" i="12"/>
  <c r="B6" i="12"/>
  <c r="F21" i="11"/>
  <c r="B21" i="11"/>
  <c r="C21" i="11" s="1"/>
  <c r="F20" i="11"/>
  <c r="B20" i="11"/>
  <c r="C20" i="11" s="1"/>
  <c r="F19" i="11"/>
  <c r="B19" i="11"/>
  <c r="C19" i="11" s="1"/>
  <c r="F18" i="11"/>
  <c r="B18" i="11"/>
  <c r="C18" i="11" s="1"/>
  <c r="F17" i="11"/>
  <c r="B17" i="11"/>
  <c r="C17" i="11" s="1"/>
  <c r="F16" i="11"/>
  <c r="B16" i="11"/>
  <c r="C16" i="11" s="1"/>
  <c r="F15" i="11"/>
  <c r="B15" i="11"/>
  <c r="C15" i="11" s="1"/>
  <c r="F14" i="11"/>
  <c r="B14" i="11"/>
  <c r="C14" i="11" s="1"/>
  <c r="I9" i="11"/>
  <c r="H9" i="11"/>
  <c r="G9" i="11"/>
  <c r="F9" i="11"/>
  <c r="I8" i="11"/>
  <c r="H8" i="11"/>
  <c r="G8" i="11"/>
  <c r="F8" i="11"/>
  <c r="I7" i="11"/>
  <c r="H7" i="11"/>
  <c r="G7" i="11"/>
  <c r="F7" i="11"/>
  <c r="C7" i="11"/>
  <c r="B7" i="11"/>
  <c r="I6" i="11"/>
  <c r="H6" i="11"/>
  <c r="G6" i="11"/>
  <c r="F6" i="11"/>
  <c r="C6" i="11"/>
  <c r="B6" i="11"/>
  <c r="G23" i="10"/>
  <c r="G22" i="10"/>
  <c r="G21" i="10"/>
  <c r="D21" i="10"/>
  <c r="C21" i="10"/>
  <c r="B21" i="10"/>
  <c r="G20" i="10"/>
  <c r="D20" i="10"/>
  <c r="C20" i="10"/>
  <c r="B20" i="10"/>
  <c r="G19" i="10"/>
  <c r="D19" i="10"/>
  <c r="C19" i="10"/>
  <c r="B19" i="10"/>
  <c r="G18" i="10"/>
  <c r="D18" i="10"/>
  <c r="C18" i="10"/>
  <c r="B18" i="10"/>
  <c r="G17" i="10"/>
  <c r="D17" i="10"/>
  <c r="C17" i="10"/>
  <c r="B17" i="10"/>
  <c r="F14" i="10"/>
  <c r="F13" i="10"/>
  <c r="M12" i="10"/>
  <c r="F12" i="10"/>
  <c r="M11" i="10"/>
  <c r="F11" i="10"/>
  <c r="B11" i="10"/>
  <c r="C11" i="10" s="1"/>
  <c r="M10" i="10"/>
  <c r="F10" i="10"/>
  <c r="B10" i="10"/>
  <c r="C10" i="10" s="1"/>
  <c r="M9" i="10"/>
  <c r="I9" i="10"/>
  <c r="J9" i="10" s="1"/>
  <c r="F9" i="10"/>
  <c r="B9" i="10"/>
  <c r="C9" i="10" s="1"/>
  <c r="M8" i="10"/>
  <c r="I8" i="10"/>
  <c r="J8" i="10" s="1"/>
  <c r="F8" i="10"/>
  <c r="C8" i="10"/>
  <c r="B8" i="10"/>
  <c r="M7" i="10"/>
  <c r="J7" i="10"/>
  <c r="I7" i="10"/>
  <c r="F7" i="10"/>
  <c r="C7" i="10"/>
  <c r="B7" i="10"/>
  <c r="M6" i="10"/>
  <c r="I6" i="10"/>
  <c r="J6" i="10" s="1"/>
  <c r="F6" i="10"/>
  <c r="C6" i="10"/>
  <c r="B6" i="10"/>
  <c r="H19" i="9"/>
  <c r="G19" i="9"/>
  <c r="F19" i="9"/>
  <c r="B19" i="9"/>
  <c r="C19" i="9" s="1"/>
  <c r="H18" i="9"/>
  <c r="G18" i="9"/>
  <c r="F18" i="9"/>
  <c r="B18" i="9"/>
  <c r="C18" i="9" s="1"/>
  <c r="H17" i="9"/>
  <c r="G17" i="9"/>
  <c r="F17" i="9"/>
  <c r="B17" i="9"/>
  <c r="C17" i="9" s="1"/>
  <c r="H16" i="9"/>
  <c r="G16" i="9"/>
  <c r="F16" i="9"/>
  <c r="C16" i="9"/>
  <c r="B16" i="9"/>
  <c r="H15" i="9"/>
  <c r="G15" i="9"/>
  <c r="F15" i="9"/>
  <c r="B15" i="9"/>
  <c r="C15" i="9" s="1"/>
  <c r="H14" i="9"/>
  <c r="G14" i="9"/>
  <c r="F14" i="9"/>
  <c r="B14" i="9"/>
  <c r="C14" i="9" s="1"/>
  <c r="H13" i="9"/>
  <c r="G13" i="9"/>
  <c r="F13" i="9"/>
  <c r="B13" i="9"/>
  <c r="C13" i="9" s="1"/>
  <c r="J8" i="9"/>
  <c r="I8" i="9"/>
  <c r="H8" i="9"/>
  <c r="G8" i="9"/>
  <c r="F8" i="9"/>
  <c r="B8" i="9"/>
  <c r="C8" i="9" s="1"/>
  <c r="J7" i="9"/>
  <c r="I7" i="9"/>
  <c r="H7" i="9"/>
  <c r="G7" i="9"/>
  <c r="F7" i="9"/>
  <c r="C7" i="9"/>
  <c r="B7" i="9"/>
  <c r="J6" i="9"/>
  <c r="I6" i="9"/>
  <c r="H6" i="9"/>
  <c r="G6" i="9"/>
  <c r="F6" i="9"/>
  <c r="B6" i="9"/>
  <c r="C6" i="9" s="1"/>
  <c r="B25" i="8"/>
  <c r="C25" i="8" s="1"/>
  <c r="C24" i="8"/>
  <c r="B24" i="8"/>
  <c r="B23" i="8"/>
  <c r="C23" i="8" s="1"/>
  <c r="C22" i="8"/>
  <c r="B22" i="8"/>
  <c r="B21" i="8"/>
  <c r="C21" i="8" s="1"/>
  <c r="C20" i="8"/>
  <c r="B20" i="8"/>
  <c r="B19" i="8"/>
  <c r="C19" i="8" s="1"/>
  <c r="C18" i="8"/>
  <c r="B18" i="8"/>
  <c r="C17" i="8"/>
  <c r="B17" i="8"/>
  <c r="B16" i="8"/>
  <c r="C16" i="8" s="1"/>
  <c r="B15" i="8"/>
  <c r="C15" i="8" s="1"/>
  <c r="K14" i="8"/>
  <c r="J14" i="8"/>
  <c r="B14" i="8"/>
  <c r="C14" i="8" s="1"/>
  <c r="K13" i="8"/>
  <c r="J13" i="8"/>
  <c r="B13" i="8"/>
  <c r="C13" i="8" s="1"/>
  <c r="S12" i="8"/>
  <c r="R12" i="8"/>
  <c r="J12" i="8"/>
  <c r="K12" i="8" s="1"/>
  <c r="F12" i="8"/>
  <c r="G12" i="8" s="1"/>
  <c r="C12" i="8"/>
  <c r="B12" i="8"/>
  <c r="R11" i="8"/>
  <c r="S11" i="8" s="1"/>
  <c r="J11" i="8"/>
  <c r="K11" i="8" s="1"/>
  <c r="G11" i="8"/>
  <c r="F11" i="8"/>
  <c r="B11" i="8"/>
  <c r="C11" i="8" s="1"/>
  <c r="S10" i="8"/>
  <c r="R10" i="8"/>
  <c r="N10" i="8"/>
  <c r="O10" i="8" s="1"/>
  <c r="K10" i="8"/>
  <c r="J10" i="8"/>
  <c r="F10" i="8"/>
  <c r="G10" i="8" s="1"/>
  <c r="B10" i="8"/>
  <c r="C10" i="8" s="1"/>
  <c r="S9" i="8"/>
  <c r="R9" i="8"/>
  <c r="N9" i="8"/>
  <c r="O9" i="8" s="1"/>
  <c r="J9" i="8"/>
  <c r="K9" i="8" s="1"/>
  <c r="G9" i="8"/>
  <c r="F9" i="8"/>
  <c r="B9" i="8"/>
  <c r="C9" i="8" s="1"/>
  <c r="S8" i="8"/>
  <c r="R8" i="8"/>
  <c r="N8" i="8"/>
  <c r="O8" i="8" s="1"/>
  <c r="K8" i="8"/>
  <c r="J8" i="8"/>
  <c r="F8" i="8"/>
  <c r="G8" i="8" s="1"/>
  <c r="B8" i="8"/>
  <c r="C8" i="8" s="1"/>
  <c r="S7" i="8"/>
  <c r="R7" i="8"/>
  <c r="N7" i="8"/>
  <c r="O7" i="8" s="1"/>
  <c r="J7" i="8"/>
  <c r="K7" i="8" s="1"/>
  <c r="G7" i="8"/>
  <c r="F7" i="8"/>
  <c r="B7" i="8"/>
  <c r="C7" i="8" s="1"/>
  <c r="S6" i="8"/>
  <c r="R6" i="8"/>
  <c r="N6" i="8"/>
  <c r="O6" i="8" s="1"/>
  <c r="K6" i="8"/>
  <c r="J6" i="8"/>
  <c r="F6" i="8"/>
  <c r="G6" i="8" s="1"/>
  <c r="B6" i="8"/>
  <c r="C6" i="8" s="1"/>
</calcChain>
</file>

<file path=xl/sharedStrings.xml><?xml version="1.0" encoding="utf-8"?>
<sst xmlns="http://schemas.openxmlformats.org/spreadsheetml/2006/main" count="30717" uniqueCount="1837">
  <si>
    <t>Workbook</t>
  </si>
  <si>
    <t>Fairness SLR synthesis workbook</t>
  </si>
  <si>
    <t>Purpose</t>
  </si>
  <si>
    <t>Companion spreadsheet for RQ1-RQ4 results synthesis and charts, built from the uploaded extraction/coding CSV files.</t>
  </si>
  <si>
    <t>Raw data sheets</t>
  </si>
  <si>
    <t>Extraction, Domain_data, Papers_coded, RQ1_raw, RQ2_raw, RQ3_raw</t>
  </si>
  <si>
    <t>Summary sheets</t>
  </si>
  <si>
    <t>Descriptive, RQ1_Levels, RQ2_Lifecycle, RQ3_Longitudinal, RQ4_Framework</t>
  </si>
  <si>
    <t>Formula note</t>
  </si>
  <si>
    <t>Summary tables are calculated with spreadsheet formulas from the raw Extraction sheet; cached results are populated so the workbook opens with values and charts ready.</t>
  </si>
  <si>
    <t>Chart note</t>
  </si>
  <si>
    <t>Each summary sheet includes chart(s) linked to the formula-driven tables.</t>
  </si>
  <si>
    <t>Study</t>
  </si>
  <si>
    <t>Year</t>
  </si>
  <si>
    <t>Domain</t>
  </si>
  <si>
    <t>ENV content</t>
  </si>
  <si>
    <t>DES content</t>
  </si>
  <si>
    <t>SOC content</t>
  </si>
  <si>
    <t>Elicitation present</t>
  </si>
  <si>
    <t>Specification present</t>
  </si>
  <si>
    <t>Operationalization present</t>
  </si>
  <si>
    <t>Monitoring present</t>
  </si>
  <si>
    <t>Revision present</t>
  </si>
  <si>
    <t>Thresholds stated</t>
  </si>
  <si>
    <t>Acceptance criteria stated</t>
  </si>
  <si>
    <t>Failure modes</t>
  </si>
  <si>
    <t>QA score</t>
  </si>
  <si>
    <t>QA pass</t>
  </si>
  <si>
    <t>QA notes</t>
  </si>
  <si>
    <t>QA1 Defined objectives/requirements</t>
  </si>
  <si>
    <t>QA2 Approach described in detail</t>
  </si>
  <si>
    <t>QA3 Representation/operationalization specified</t>
  </si>
  <si>
    <t>QA4 Cross-domain vs domain-scoped</t>
  </si>
  <si>
    <t>QA5 Practical/research value</t>
  </si>
  <si>
    <t>QA6 Trade-offs discussed</t>
  </si>
  <si>
    <t>QA7 Stakeholders/elicitation addressed</t>
  </si>
  <si>
    <t>QA8 Validation/evaluation discussed</t>
  </si>
  <si>
    <t>QA9 Limitations/threats/ethics</t>
  </si>
  <si>
    <t>QA10 Future directions/implications</t>
  </si>
  <si>
    <t>Citation</t>
  </si>
  <si>
    <t>DES explicit requirement</t>
  </si>
  <si>
    <t>DES snippet</t>
  </si>
  <si>
    <t>Data Type</t>
  </si>
  <si>
    <t>Decision rule tied to metric</t>
  </si>
  <si>
    <t>Deployment Status</t>
  </si>
  <si>
    <t>ENV explicit requirement</t>
  </si>
  <si>
    <t>ENV snippet</t>
  </si>
  <si>
    <t>Elicitation artifact</t>
  </si>
  <si>
    <t>Elicitation method</t>
  </si>
  <si>
    <t>Elicitation snippet</t>
  </si>
  <si>
    <t>End-to-end coverage</t>
  </si>
  <si>
    <t>Fairness notions</t>
  </si>
  <si>
    <t>Gap summary (1 sentence)</t>
  </si>
  <si>
    <t>Governance maturity</t>
  </si>
  <si>
    <t>Measurement procedure</t>
  </si>
  <si>
    <t>Metrics used</t>
  </si>
  <si>
    <t>Monitoring signals</t>
  </si>
  <si>
    <t>Monitoring snippet</t>
  </si>
  <si>
    <t>Notes</t>
  </si>
  <si>
    <t>Protected attrs / groups</t>
  </si>
  <si>
    <t>Revision ownership defined</t>
  </si>
  <si>
    <t>Revision snippet</t>
  </si>
  <si>
    <t>Revision trigger defined</t>
  </si>
  <si>
    <t>SOC explicit requirement</t>
  </si>
  <si>
    <t>SOC snippet</t>
  </si>
  <si>
    <t>Spec explicitness/testability</t>
  </si>
  <si>
    <t>Spec snippet</t>
  </si>
  <si>
    <t>Specification format</t>
  </si>
  <si>
    <t>Stakeholders Mentioned</t>
  </si>
  <si>
    <t>Study ID</t>
  </si>
  <si>
    <t>System Type</t>
  </si>
  <si>
    <t>Threshold value</t>
  </si>
  <si>
    <t>Trade-offs managed</t>
  </si>
  <si>
    <t>Validation method</t>
  </si>
  <si>
    <t>Validation snippet</t>
  </si>
  <si>
    <t>Validation/testing present</t>
  </si>
  <si>
    <t>Venue Type</t>
  </si>
  <si>
    <t>P001 — Pedreschi2008</t>
  </si>
  <si>
    <t>Lending</t>
  </si>
  <si>
    <t>Yes</t>
  </si>
  <si>
    <t>No</t>
  </si>
  <si>
    <t>Drift not addressed, No revision process/ownership, Other</t>
  </si>
  <si>
    <t>Pass</t>
  </si>
  <si>
    <t>Introduces formal definitions for discriminatory classification rules (direct/indirect), PD/PND itemsets, and α-protection/strong α-protection using extended lift; shows naive removal of discriminatory attributes is insufficient when background knowledge enables proxy/redlining; provides inference theorem for indirect discrimination and empirical assessment on German Credit. No monitoring/revision lifecycle aspects beyond offline mining/auditing.</t>
  </si>
  <si>
    <t>Y</t>
  </si>
  <si>
    <t>p</t>
  </si>
  <si>
    <t>N</t>
  </si>
  <si>
    <t>Pedreschi2008</t>
  </si>
  <si>
    <t>In this paper, the notion of discriminatory classification rules is introduced and studied ... (strong) α-protection as a measure of the discriminatory power of a rule ...</t>
  </si>
  <si>
    <t>Tabular</t>
  </si>
  <si>
    <t>Conceptual</t>
  </si>
  <si>
    <t>In the context of civil rights law, discrimination refers to unfair or unequal treatment of people based on membership to a category or a minority ...</t>
  </si>
  <si>
    <t>Partial</t>
  </si>
  <si>
    <t>Contextual/legal compliance, Other, Procedural fairness</t>
  </si>
  <si>
    <t>Provides a formal, testable operationalization of discrimination in rule-based data mining (α/strong α-protection) including proxy-based redlining via background knowledge, but does not cover deployment-time monitoring or revision of fairness requirements over time.</t>
  </si>
  <si>
    <t>Absent</t>
  </si>
  <si>
    <t>Define PD itemsets (downward closed set) and classify rules as PD/PND; compute confidence/support of rules; compute elift/glift to flag α-discriminatory rules; for indirect discrimination, use background association rules and Theorem 6.2 to infer lower bounds on discrimination of PD rules from PND rules + background knowledge; evaluate empirically on German Credit dataset.</t>
  </si>
  <si>
    <t>α-protection via extended lift elift = conf(A,B→C)/conf(B→C); strong α-protection via glift; detection of direct/indirect discrimination (redlining) in classification rules using PD/PND itemsets and background knowledge.</t>
  </si>
  <si>
    <t>Examples of potentially discriminatory itemsets include gender (female and not single), age (senior), job type (unskilled/unemployed), foreign worker; also discusses race/ethnicity in law examples and redlining via neighborhood/ZIP as proxy for race.</t>
  </si>
  <si>
    <t>Rules extracted from databases ... when used for decision tasks such as benefit or credit approval, can be discriminatory ...</t>
  </si>
  <si>
    <t>Explicit + testable</t>
  </si>
  <si>
    <t>For a given threshold α ≥ 0, we say that c is α-protective if elift(γ, δ) &lt; α ... c is called α-discriminatory if elift(γ, δ) ≥ α.</t>
  </si>
  <si>
    <t>Constraint (formal/informal)</t>
  </si>
  <si>
    <t>P001</t>
  </si>
  <si>
    <t>Decision support</t>
  </si>
  <si>
    <t>α threshold (tunable; examples use α=3); also minsup/minconf thresholds for rule mining in experiments/plots.</t>
  </si>
  <si>
    <t>Unclear</t>
  </si>
  <si>
    <t>Offline evaluation</t>
  </si>
  <si>
    <t>An empirical assessment of the results on the German credit dataset is also provided.</t>
  </si>
  <si>
    <t>Conference</t>
  </si>
  <si>
    <t>P002 — Finkelstein2008</t>
  </si>
  <si>
    <t>General</t>
  </si>
  <si>
    <t>Drift not addressed, No revision process/ownership, No thresholds / acceptance criteria, Other</t>
  </si>
  <si>
    <t>Focuses on fairness in allocating/prioritizing requirements across multiple customers with conflicting priorities; uses multi-objective (search-based) optimisation to explore trade-offs among fairness notions; validates on Motorola multi-customer dataset and synthetic stress tests. Not about protected groups; no monitoring/revision process described.</t>
  </si>
  <si>
    <t>Finkelstein2008</t>
  </si>
  <si>
    <t>This paper uses a multi-objective optimisation approach to support investigation of the trade-offs in various notions of fairness between multiple customers.</t>
  </si>
  <si>
    <t>Prototype</t>
  </si>
  <si>
    <t>Requirements engineering for multiple customers, each of whom have competing and often conflicting priorities, raises issues of negotiation, mediation and conflict resolution.</t>
  </si>
  <si>
    <t>Other, Procedural fairness</t>
  </si>
  <si>
    <t>Analyzes fairness as multi-stakeholder trade-offs in requirements assignment using multi-objective optimisation and empirical validation, but does not define monitoring or revision mechanisms to keep fairness criteria valid over time.</t>
  </si>
  <si>
    <t>Model requirements selection as Next Release Problem with multiple customers and costs; apply meta-heuristic/multi-objective optimisation to explore Pareto-optimal allocations reflecting different fairness notions/trade-offs; visualize solution space; validate on Motorola dataset (35 requirements; 4 service providers; cost estimates) and additional stress-test datasets.</t>
  </si>
  <si>
    <t>Fairness notions among multiple customers operationalized as multi-objective optimisation objectives over requirement selections (NRP/release planning) balancing customer priorities and implementation cost; solution space explored via search-based optimisation and visualized graphically.</t>
  </si>
  <si>
    <t>Not demographic; stakeholders are multiple customers (e.g., four mobile telephony service providers) with competing priorities.</t>
  </si>
  <si>
    <t>... many customers, each with their own view on the sets of requirements to be prioritized ... attempt to please all of the people all of the time.</t>
  </si>
  <si>
    <t>The search explores the space of possible allocations of requirements for the next release of the system ... to explore trade offs and tensions between the customers in an attempt to satisfy multi definitions of fairness.</t>
  </si>
  <si>
    <t>P002</t>
  </si>
  <si>
    <t>Not specified in excerpt (fairness captured via Pareto trade-offs rather than fixed thresholds).</t>
  </si>
  <si>
    <t>Results are presented to validate the approach using two real-world data sets and also using data sets created specifically to stress test the approach.</t>
  </si>
  <si>
    <t>P003 — Torralba2011</t>
  </si>
  <si>
    <t>Provided excerpt describes multi-customer requirements fairness analysis using multi-objective optimisation (search-based) to explore trade-offs among customers (NRP/release planning); validated on real-world datasets (Motorola handset requirements with 4 service-provider customers) and stress-test datasets. No monitoring/revision lifecycle aspects described. Note: the pasted excerpt appears to match Finkelstein et al. RE’08 (DOI 10.1109/RE.2008.61) even though this row's Citation key is Torralba2011.</t>
  </si>
  <si>
    <t>Torralba2011</t>
  </si>
  <si>
    <t>Formulate requirements assignment/next release planning with multiple customers and implementation costs; apply search-based multi-objective optimisation to explore solution space and fairness trade-offs among customers; visualize the space; validate on real-world datasets (e.g., Motorola requirements) and stress-test datasets.</t>
  </si>
  <si>
    <t>Multi-objective optimisation objectives encoding different notions of fairness across customers in requirements assignment / next-release planning; solution quality explored via Pareto trade-offs and visualization.</t>
  </si>
  <si>
    <t>Check bibliographic metadata: Citation key for this row is Torralba2011, but excerpt references RE’08 paper (DOI 10.1109/RE.2008.61).</t>
  </si>
  <si>
    <t>Not demographic; fairness is defined among multiple customers (stakeholders) with competing priorities.</t>
  </si>
  <si>
    <t>... many customers, each with their own view on the sets of requirements to be prioritized ...</t>
  </si>
  <si>
    <t>The search explores the space of possible allocations of requirements for the next release of the system ... explore trade offs and tensions between the customers ...</t>
  </si>
  <si>
    <t>P003</t>
  </si>
  <si>
    <t>Not specified in provided excerpt (no fixed acceptance threshold; trade-offs explored via Pareto sets).</t>
  </si>
  <si>
    <t>P004 — Dwork2012</t>
  </si>
  <si>
    <t>Defines individual fairness as Lipschitz continuity with respect to a task-specific similarity metric (‘treat similar individuals similarly’) and formulates fairness-utility trade-off as a linear program; analyzes relationship to statistical parity using Earthmover distance; discusses preferential treatment (‘fair affirmative action’) and ties fairness to differential privacy, showing a quantitative fairness–utility trade-off. Metric governance is discussed conceptually (public, externally imposed, subject to refinement), but no deployment monitoring/revision process.</t>
  </si>
  <si>
    <t>Dwork2012</t>
  </si>
  <si>
    <t>We formalize this guiding principle as a Lipschitz condition on the classifier ... and formulate the question as an optimization problem (linear program) minimizing loss subject to the Lipschitz condition.</t>
  </si>
  <si>
    <t>Other</t>
  </si>
  <si>
    <t>... the metric is assumed to be public and open to discussion and continual refinement ... distance metric would be externally imposed, for example, by a regulatory body, or externally proposed, by a civil rights organization.</t>
  </si>
  <si>
    <t>Contextual/legal compliance, Individual consistency, Other, Outcome parity, Procedural fairness</t>
  </si>
  <si>
    <t>Provides a precise, testable formalization of individual fairness (task-specific metric + Lipschitz constraint) and connects it to group parity and privacy, but does not specify deployment-time monitoring or a concrete revision process to maintain fairness as contexts and norms evolve.</t>
  </si>
  <si>
    <t>Define similarity metric d over individuals; define classifier as randomized mapping M(x) to distributions over outcomes; enforce Lipschitz constraint D(Mx,My) ≤ d(x,y) using Dtv or D1; solve linear program to minimize expected loss; analyze when Lipschitz implies statistical parity via Earthmover distance; propose fair affirmative action variant relaxing cross-group constraints; relate to differential privacy and exponential mechanism.</t>
  </si>
  <si>
    <t>Individual fairness via (D,d)-Lipschitz constraint using a task-specific similarity metric d; group fairness via statistical parity; bias quantified and related to Earthmover distance; optimization (Fairness LP) to minimize expected loss subject to Lipschitz constraint; exponential mechanism as efficient Lipschitz mapping under bounded doubling dimension.</t>
  </si>
  <si>
    <t>Protected set S (group membership such as racial minority); examples include race/ethnicity, sex/sexual orientation (redundant encoding), and other protected groups in contexts like credit/advertising.</t>
  </si>
  <si>
    <t>We envision that ... the distance metric would be externally imposed ... by a regulatory body ... and we discuss discriminatory practices such as redlining and steering in online advertising/credit contexts.</t>
  </si>
  <si>
    <t>A mapping M satisfies the (D,d)-Lipschitz property if for every x,y we have D(Mx,My) ≤ d(x,y).</t>
  </si>
  <si>
    <t>P004</t>
  </si>
  <si>
    <t>Classification</t>
  </si>
  <si>
    <t>No fixed numeric acceptance threshold; constraints are inequality bounds (e.g., D(Mx,My) ≤ d(x,y)); statistical parity defined up to bias ε.</t>
  </si>
  <si>
    <t>Not described</t>
  </si>
  <si>
    <t>P005 — Kamiran2012</t>
  </si>
  <si>
    <t>Defines a concrete, testable discrimination metric (difference in positive outcome rates between favored vs deprived groups) and frames the task as accuracy + non-discrimination optimization; surveys and extends preprocessing techniques (suppression, massaging, reweighing, sampling) and provides theoretical accuracy–discrimination trade-off analysis plus empirical evaluation in Weka on multiple real datasets. Does not address post-deployment monitoring or revision/change management; acceptance is treated as reducing disc toward 0 rather than specifying a governance threshold.</t>
  </si>
  <si>
    <t>Kamiran2012</t>
  </si>
  <si>
    <t>They define discrimination as a measurable constraint (difference in positive outcome rates across sensitive groups) and propose data preprocessing methods (suppression, massaging, reweighing, sampling) to reduce discrimination while maintaining accuracy.</t>
  </si>
  <si>
    <t>They ground the problem in unlawful discrimination and explicitly reference anti-discrimination legislation, motivating the need for non-discriminatory classifiers learned from biased historical data.</t>
  </si>
  <si>
    <t>Contextual/legal compliance, Other, Outcome parity</t>
  </si>
  <si>
    <t>Provides a rigorous, testable operationalization of non-discrimination for binary sensitive attributes and effective preprocessing techniques with empirical evaluation, but does not define deployment-time monitoring or revision mechanisms to maintain non-discrimination under drift or changing contexts.</t>
  </si>
  <si>
    <t>Compute disc on labeled datasets and on classifier predictions using group-conditional positive rates; estimate on independent test sets / via 10-fold cross-validation; for massaging compute M = disc(D)|Db||Dw|/|D| and relabel top-ranked promotion (b,−) and demotion (w,+) candidates; for reweighing compute weights by expected vs observed joint frequencies of (S,Class); for sampling resample DP/DN/FP/FN groups to expected sizes, optionally preferentially near decision boundary using a ranker.</t>
  </si>
  <si>
    <t>Discrimination measure disc as difference in positive outcome rates between favored group (S=w) and deprived group (S=b); trade-off analysis between accuracy and discrimination; preprocessing interventions: suppression (remove S + correlated attrs), massaging (relabel M instances using ranker), reweighing (instance weights W(s,c)=Pexp/Pobs), sampling (uniform and preferential) to match expected unbiased group sizes.</t>
  </si>
  <si>
    <t>One binary sensitive attribute S with deprived value b and favored value w (examples: gender/sex, ethnicity/race; also mentions age, religion, etc. in motivation).</t>
  </si>
  <si>
    <t>They discuss legal accountability concerns (avoid using sensitive attribute at prediction time) and practical deployment scenarios (employment, healthcare surveys, credit) where discriminatory impacts matter.</t>
  </si>
  <si>
    <t>disc_{S=b}(C,D) := P(C(X)=+ | X(S)=w) − P(C(X)=+ | X(S)=b) (difference in positive prediction rates between favored and deprived groups).</t>
  </si>
  <si>
    <t>Affected groups, Developers, Other, Regulators</t>
  </si>
  <si>
    <t>P005</t>
  </si>
  <si>
    <t>No normative acceptance threshold for disc is specified in excerpt (goal is typically disc = 0; experiments report resulting discrimination percentages).</t>
  </si>
  <si>
    <t>They implement techniques in a modified Weka and report experiments on real-life datasets (Census Income, Communities &amp; Crimes, Dutch census), using 10-fold cross-validation and measuring accuracy and discrimination on unmodified test folds.</t>
  </si>
  <si>
    <t>Journal</t>
  </si>
  <si>
    <t>P006 — Kamishima2012</t>
  </si>
  <si>
    <t>Proposes a fairness-aware regularization approach (prejudice remover) for probabilistic discriminative models, operationalizing unfairness as mutual information between predicted outcome and sensitive feature (PI/NPI) and defining additional diagnostics (UEI, latent prejudice). Provides explicit objective function with tunable η for accuracy–fairness trade-off and evaluates on Adult/Census Income (gender) against CV2NB and baselines. No deployment monitoring or revision/change control is described; fairness is treated as an offline training objective without acceptance thresholds beyond selecting η.</t>
  </si>
  <si>
    <t>Kamishima2012</t>
  </si>
  <si>
    <t>They formalize unfairness as statistical dependence between predictions and sensitive features, define PI/NPI (mutual information) and propose the Prejudice Remover regularizer added to logistic regression to enforce independence Y ⟂⟂ S, controlled by η.</t>
  </si>
  <si>
    <t>They motivate fairness as a social and legal requirement in high-stakes determinations (credit, insurance, employment) and discuss indirect discrimination / red-lining as a real-world risk even when sensitive features are removed.</t>
  </si>
  <si>
    <t>Contextual/legal compliance, Other, Outcome parity, Procedural fairness</t>
  </si>
  <si>
    <t>Provides a precise, testable operationalization of unfairness as statistical dependence (PI/NPI) and an efficient regularization mechanism to reduce indirect discrimination with evaluated accuracy–fairness trade-offs, but does not address deployment-time monitoring or revision to maintain fairness under drift or changing contexts.</t>
  </si>
  <si>
    <t>Train probabilistic discriminative model (logistic regression) and add prejudice remover regularizer R_PR that approximates PI using sample estimates of P̂(y|s) and P̂(y); tune η to trade off accuracy vs fairness; evaluate via 5-fold cross-validation on Adult/Census Income (sensitive=gender) and compute Acc, NPI, UEI, CVS, and efficiency PI/MI; compare to baselines LR/LRns/NB/NBns and CV2NB.</t>
  </si>
  <si>
    <t>Prejudice Index (PI) as mutual information between predicted outcome Y and sensitive feature S using induced distribution P̂; Normalized PI (NPI); also reports Calders–Verwer score (CVS) = Pr[Y=High|S=Male] − Pr[Y=High|S=Female]; Underestimation index (UEI) via Hellinger distance between sample P̃ and induced P̂; regularized learning objective: −log-likelihood + η·R_PR(D,Θ) + (λ/2)||Θ||^2 where R_PR approximates PI using sample means.</t>
  </si>
  <si>
    <t>Sensitive feature S such as gender, race, religion, ethnicity, handicaps, political convictions; experiments use gender (Male/Female) on Adult/Census Income.</t>
  </si>
  <si>
    <t>They connect unfairness to societal harm, privacy-like leakage of sensitive information, and discuss socially responsible mining; however, governance processes (monitoring/revision ownership) are not specified.</t>
  </si>
  <si>
    <t>Indirect prejudice removal target is independence between outcome and sensitive feature: require Y ⟂⟂ S (enforced by minimizing prejudice index PI = Σ_{y,s} P̂(y,s) ln(P̂(y,s)/(P̂(y)P̂(s))).</t>
  </si>
  <si>
    <t>P006</t>
  </si>
  <si>
    <t>No fixed acceptance threshold; fairness controlled by regularization strength η (examples η=5,15,30) and reported resulting NPI/CVS values.</t>
  </si>
  <si>
    <t>They empirically evaluate PR regularizer within logistic regression on Adult/Census Income using 5-fold cross-validation and report accuracy vs fairness (NPI/CVS) trade-offs, comparing with CV2NB and other baselines.</t>
  </si>
  <si>
    <t>P007 — Sweeney2013</t>
  </si>
  <si>
    <t>Hiring</t>
  </si>
  <si>
    <t>Empirical audit of discrimination in online ad delivery using racially associated names as a proxy for protected groups; operationalizes disparate impact with EEOC’s 80% rule and statistical tests; provides measurable decision rule (suppress/discount ads with adverse impact &lt;80) that could be embedded into ad exchange scoring. Focuses on detection/assessment and a high-level mitigation concept, but does not define an implementation-ready monitoring/revision governance process for sustained compliance in dynamic ad systems.</t>
  </si>
  <si>
    <t>Sweeney2013</t>
  </si>
  <si>
    <t>It operationalizes discrimination in ad delivery by defining protected/comparison groups (black- vs white-identifying names), classifying ad sentiment (negative if “arrest/criminal”, neutral otherwise), and testing disparate impact and statistical significance on ad impressions.</t>
  </si>
  <si>
    <t>Text</t>
  </si>
  <si>
    <t>Deployed</t>
  </si>
  <si>
    <t>The paper grounds discrimination in U.S. civil rights law (Title VII) and uses the EEOC adverse impact test (80% rule) as a normative/legal criterion for disproportionate effect across protected groups.</t>
  </si>
  <si>
    <t>Provides a concrete, legally grounded, testable operationalization of disparate impact in ad delivery (80% rule + statistical tests) and proposes embedding it into ad exchange scoring, but does not specify ongoing monitoring/revision processes to maintain fairness as ads, user behavior, and platforms evolve.</t>
  </si>
  <si>
    <t>Construct racially associated first-name lists from prior studies; harvest 2,184 full names; collect ads shown on http://Google.com and http://Reuters.com (cache/cookies cleared, varying time/IP/browser); classify ads as negative if containing “arrest” or “criminal” else neutral; compare group rates via chi-square and compute adverse impact ratio on neutral (or negative) rates; interpret &lt;80 as disproportionate effect; report examples and aggregate counts.</t>
  </si>
  <si>
    <t>Adverse impact ratio (EEOC 80% rule) computed from group rates; chi-square tests for statistical significance; group-conditional rates of negative vs neutral ad sentiment; ad delivery discrimination assessed on ad impressions for racially associated names (black- vs white-identifying).</t>
  </si>
  <si>
    <t>Race (proxy via black-identifying vs white-identifying names); also references other protected characteristics in Title VII (race, color, religion, sex, national origin) and mentions gender examples, but main analysis is black vs white name association.</t>
  </si>
  <si>
    <t>It frames harms as reputational and opportunity impacts (employment and trust contexts) and discusses responsibility across advertiser, platform, and societal click behavior; proposes integrating bias tests into ad exchange quality scoring to align delivery with societal norms.</t>
  </si>
  <si>
    <t>Use the EEOC adverse impact test: compute ratio of (smaller affected%)/(larger affected%) and compare to 80; e.g., for neutral ads 40/52 = 77% (&lt;80) indicating disproportionate effect. Also proposes suppressing ads with adverse impact score &lt; 80.</t>
  </si>
  <si>
    <t>Constraint (formal/informal), Policy/rule</t>
  </si>
  <si>
    <t>Affected groups, Auditors/Compliance, Developers, Other, Regulators</t>
  </si>
  <si>
    <t>P007</t>
  </si>
  <si>
    <t>Adverse impact threshold = 80% (EEOC 80% rule); examples compute 77% (Reuters) and 40% (Google).</t>
  </si>
  <si>
    <t>Audit, Offline evaluation</t>
  </si>
  <si>
    <t>Empirical audit/measurement study of ad delivery: 2,184 names, 5,337 ads captured; reports statistically significant disparities and adverse impact ratios, with archived datasets for replication.</t>
  </si>
  <si>
    <t>P008 — Zemel2013</t>
  </si>
  <si>
    <t>Core contribution is a learned intermediate representation approach (LFR) that simultaneously targets group fairness (statistical parity) and individual fairness (consistency via distance-based mapping), with an explicit multi-objective loss (parity + reconstruction + prediction) and empirical comparisons to massaging and prejudice-regularized logistic regression. Does not address deployment monitoring or revision; fairness treated as an offline optimization with hyperparameter trade-offs rather than explicit acceptance thresholds or governance triggers.</t>
  </si>
  <si>
    <t>Zemel2013</t>
  </si>
  <si>
    <t>They formalize fairness via an optimization that learns a sanitized intermediate representation Z that encodes X while obfuscating protected membership S, enforcing group fairness (statistical parity constraint on prototype assignment) and encouraging individual fairness via distance-based mapping; any classifier can be applied to Z.</t>
  </si>
  <si>
    <t>They motivate fair classification as necessary for high-stakes automated decisions (insurance, policing, advertising, loans, healthcare, admissions) and note debates among policy-makers/lawyers; fairness goals include avoiding undue bias against protected subgroups.</t>
  </si>
  <si>
    <t>Individual consistency, Other, Outcome parity</t>
  </si>
  <si>
    <t>Provides an explicit, testable operationalization of fair representations that obfuscate protected membership while preserving predictive information and supports accuracy–fairness trade-offs via optimization, but does not specify acceptance thresholds or post-deployment monitoring/revision mechanisms to maintain fairness over time.</t>
  </si>
  <si>
    <t>Learn prototypes v_k and classifier weights w_k by minimizing L with L-BFGS; mapping to prototypes via softmax over distance d(x,v_k); enforce parity by minimizing Lz; preserve info via reconstruction x_n = Σ_k M_{n,k} v_k and Lx = Σ_n ||x_n − x_n||²; predict ŷ_n = Σ_k M_{n,k} w_k and Ly cross-entropy; validate via train/validation/test with grid search over (A_y, A_z) and compare to baselines (LR, FNB massaging, RLR prejudice regularizer); report accuracy, discrimination, and consistency across German Credit (S=Age), Adult Income (S=Gender), and Health (S=Age&gt;65) datasets.</t>
  </si>
  <si>
    <t>Group fairness: statistical parity/discrimination yDiscrim = |E[ŷ|S=1] − E[ŷ|S=0]| (difference in positive outcome rates); representation parity Lz on prototype assignment; individual fairness proxy: consistency yNN based on k-NN agreement; accuracy yAcc; additional leakage test: predict S from Z (sAcc) and max_k |P(Z=k|S=1)−P(Z=k|S=0)|; representation learning objective L = A_z Lz + A_x Lx + A_y Ly with reconstruction loss Lx and classification cross-entropy Ly.</t>
  </si>
  <si>
    <t>Binary sensitive attribute S; experiments use Gender (Adult) and Age (German credit; Health age&gt;65) as protected grouping variables.</t>
  </si>
  <si>
    <t>They propose a two-party structure (impartial party/regulator learns fair mapping to representations; vendors build classifiers on representations) to separate fairness enforcement from utility optimization, but do not specify operational governance beyond this conceptual division.</t>
  </si>
  <si>
    <t>Group fairness via statistical parity in representations: P(Z=k|x∈X⁺)=P(Z=k|x∈X⁻) ∀k, enforced by Lz = Σ_k |M_k⁺ − M_k⁻| where M_k⁺, M_k⁻ are average prototype-assignment probabilities for protected vs unprotected groups.</t>
  </si>
  <si>
    <t>P008</t>
  </si>
  <si>
    <t>No fixed acceptance threshold; fairness controlled via hyperparameters A_z (parity strength) and model selection criteria (min discrimination or max Δ=accuracy−discrimination).</t>
  </si>
  <si>
    <t>They evaluate LFR against baselines on three datasets and show discrimination can be pushed low while maintaining accuracy, with additional analysis of individual fairness consistency and leakage of S from Z.</t>
  </si>
  <si>
    <t>P009 — Feldman2015</t>
  </si>
  <si>
    <t>Drift not addressed, Governance absent, No revision process/ownership, Other</t>
  </si>
  <si>
    <t>Strong requirements-style contribution: turns a legal fairness requirement (EEOC 80% rule DI&lt;0.8) into certifiable, testable data requirements using predictability (BER) of protected attribute and provides concrete data repair mechanisms with a tunable fairness–utility parameter λ. Includes explicit thresholds/decision rules and empirical validation, but does not address post-deployment monitoring/revision processes to maintain fairness under distribution shift.</t>
  </si>
  <si>
    <t>Feldman2015</t>
  </si>
  <si>
    <t>They define certifying and removing disparate impact as data-centric procedures: certify DI risk by predicting protected attribute X from other attributes Y using balanced error rate (BER), and repair/transform Y (via quantile/median distribution repair, with partial repair parameter λ) to reduce predictability and satisfy DI threshold while preserving utility.</t>
  </si>
  <si>
    <t>The paper grounds bias in U.S. disparate impact doctrine (Griggs v. Duke Power) and adopts a generalized EEOC “80% rule” threshold t=0.8 as the legal criterion for disparate impact on selection outcomes.</t>
  </si>
  <si>
    <t>Provides legally grounded, explicit and testable disparate-impact requirements (t=0.8) plus certification and data-repair procedures with quantified fairness–utility trade-offs, but does not specify ongoing monitoring or revision mechanisms to keep fairness requirements valid over time.</t>
  </si>
  <si>
    <t>Certification: train a classifier optimized for BER to predict X from Y; compute error e and compare to derived threshold e0 (using b, the minority selection rate) from Theorem 4.1; if e0 &lt; e, certify dataset as free from disparate impact for any classifier on Y. Removal/repair: transform each numerical (or ordered) attribute by matching conditional quantiles across protected groups to a median distribution (full repair λ=1); partial repair λ∈[0,1] using combinatorial (rank-space) or geometric (value-space) interpolation; evaluate with LR/SVM/GNB on Ricci firefighter exam, German Credit (Age, split at 25), Adult Income (Gender; also Race as additional protected attribute) measuring DI vs utility.</t>
  </si>
  <si>
    <t>Disparate Impact DI (80% rule, threshold t=0.8) computed from outcome rates by protected group; LR+ and DI=1/LR+ restatement; certification metric: balanced error rate (BER) for predicting protected attribute X from Y; utility measured as 1−BER for predicting class C from repaired attributes; experimental fairness/utility curves as λ varies (partial repair).</t>
  </si>
  <si>
    <t>Protected attribute X (e.g., race, sex, religion); experiments use Gender (Adult), Age (German Credit; young vs old at 25), Race (Ricci; non-white vs white; black+Hispanic grouped), and joint protected attributes (race+gender) in Adult.</t>
  </si>
  <si>
    <t>They model a compliance/audit setting with two parties: Alice (decision maker using proprietary algorithm) and Bob (auditor) who assesses disparate impact without access to the algorithm; focuses on outcome-based certification aligned with legal precedent rather than intent, but does not define operational monitoring or governance roles beyond this audit framing.</t>
  </si>
  <si>
    <t>Disparate impact (80% rule): dataset D has DI if Pr(C=YES|X=0)/Pr(C=YES|X=1) &lt; t with t=0.8. They restate DI via likelihood ratio LR+ and define DI=1/LR+. They define ε-fairness via non-predictability: D is ε-fair if any predictor f:Y→X has BER(f(Y),X) &gt; ε.</t>
  </si>
  <si>
    <t>P009</t>
  </si>
  <si>
    <t>Disparate impact threshold t = 0.8 (EEOC 80% rule). Certification uses derived BER threshold e = 1/2 − b/8 (for t=0.8) based on minority selection rate b; partial repair parameter λ ∈ [0,1] controls fairness–utility trade-off.</t>
  </si>
  <si>
    <t>Empirical evaluation on three datasets (Ricci, German Credit, Adult Income) showing certification effectiveness and fairness–utility trade-offs of partial repair; compares to prior methods (FNB, RLR, LFR) across fairness and accuracy.</t>
  </si>
  <si>
    <t>P010 — Hardt2016</t>
  </si>
  <si>
    <t>Defines equalized odds/equal opportunity as explicit, testable constraints on conditional error rates and provides actionable post-processing methods (including randomized thresholding using ROC convex hulls) to enforce them while minimizing expected loss. Emphasizes ‘oblivious’ auditability when models/features are proprietary and discusses incentive alignment with accuracy. Does not provide deployment-time monitoring/revision processes; fairness treated as a (re)certification/post-processing step given labeled outcomes.</t>
  </si>
  <si>
    <t>Hardt2016</t>
  </si>
  <si>
    <t>Defines explicit, checkable fairness criteria (equalized odds and equal opportunity) as constraints on error rates conditional on the true outcome, and provides post-processing methods to transform any learned predictor/score into one satisfying these constraints while optimizing expected loss.</t>
  </si>
  <si>
    <t>Motivates nondiscrimination in domains covered by anti-discrimination law (credit, employment, education, criminal justice) and notes policy calls like “equal opportunity by design”; argues fairness-through-unawareness fails due to redundant encodings.</t>
  </si>
  <si>
    <t>Contextual/legal compliance, Error parity, Other, Outcome parity</t>
  </si>
  <si>
    <t>Provides explicit, testable fairness requirements (equalized odds/opportunity) and efficient post-processing procedures (including randomized thresholds) to satisfy them with quantified utility trade-offs, but does not address continuous monitoring or revision to maintain these requirements under shifting data and outcomes over time.</t>
  </si>
  <si>
    <t>Given labeled data with protected attribute A and outcome Y, estimate joint distribution of (Ŷ,A,Y) or (R,A,Y). Verify constraints by comparing conditional TPR/FPR across groups. Construct fairness-compliant derived predictor eŶ from (Ŷ,A) or (R,A) only: for binary Ŷ use a linear program over p_{y,a}=Pr(eŶ=1|Ŷ=y,A=a) with equality constraints enforcing equalized odds (or one constraint for equal opportunity) to minimize expected loss; for score R use group-conditional ROC curves, take intersection of convex hulls (may require randomization between two thresholds per group) to achieve common (FPR,TPR) point and optimize loss; analyze Bayes-optimal regressor R=E[Y|X,A] and show optimal fair predictor can be derived from (R,A); quantify near-optimality via conditional Kolmogorov distance d_K.</t>
  </si>
  <si>
    <t>Error-rate parity metrics: true positive rate and false positive rate parity across protected groups (equalized odds), and true positive rate parity for Y=1 (equal opportunity). Uses ROC curves conditional on A to characterize feasible trade-offs; optimizes expected loss subject to fairness constraints via linear programming for derived predictors from binary Ŷ and via convex hull / ROC intersection (with possible randomized thresholds) for score-based predictors; reports utility comparisons in a FICO credit scoring case study (profit under different fairness constraints).</t>
  </si>
  <si>
    <t>Protected attribute A (e.g., race, gender); case study uses race with four groups (Asian, White non-Hispanic, Hispanic, Black) and outcome Y = non-default; discusses other domains and protected attributes in law (race, color, religion, gender, disability, family status).</t>
  </si>
  <si>
    <t>Frames fairness as an ‘oblivious’ auditable property based only on joint statistics of (prediction, protected attribute, outcome), enabling assessment when models/features are proprietary; discusses incentive effects shifting costs of misclassification from disadvantaged groups to the decision maker, but does not specify governance processes for deployment monitoring or revision.</t>
  </si>
  <si>
    <t>Equalized odds: Ŷ ⟂ A | Y; in binary case Pr(Ŷ=1|A=0,Y=y)=Pr(Ŷ=1|A=1,Y=y) for y∈{0,1} (equal TPR and FPR across groups). Equal opportunity: Pr(Ŷ=1|A=0,Y=1)=Pr(Ŷ=1|A=1,Y=1) (equal TPR across groups).</t>
  </si>
  <si>
    <t>P010</t>
  </si>
  <si>
    <t>No single universal fairness threshold; fairness is defined as equality constraints on conditional error rates. For score-based predictors, decisions are threshold-based Ŷ = I{R&gt;t} and post-processing may use group-specific (possibly randomized) thresholds; case study specifies a cost ratio (false positives 82/18 as expensive as false negatives) for profit optimization.</t>
  </si>
  <si>
    <t>Includes a case study using FICO scores (credit default prediction) comparing profit/utility under max-profit, race-blind, demographic parity, equal opportunity, and equalized odds constraints, and provides algorithms/theory for optimal post-processing under these constraints.</t>
  </si>
  <si>
    <t>P011 — Zhang2016Causal</t>
  </si>
  <si>
    <t>Key contribution is a requirements-like causal operationalization distinguishing direct vs indirect discrimination via path-specific effects and a repair procedure that modifies the causal mechanism for the decision (CPT of E) so that both effects fall below a legal threshold τ, with evidence that discrimination does not reappear in downstream model predictions. Strong on specification/operationalization and on validating the ‘no discrimination in predictions’ claim, but does not address post-deployment monitoring or revision under drift.</t>
  </si>
  <si>
    <t>Zhang2016Causal</t>
  </si>
  <si>
    <t>Models direct/indirect discrimination as path-specific causal effects in a learned causal DAG and provides algorithms to (1) discover discrimination by estimating these effects from observational data and (2) remove discrimination by modifying the decision node’s CPT via quadratic programming to keep both direct and indirect effects below τ while preserving data utility and ensuring models trained on modified data are non-discriminatory.</t>
  </si>
  <si>
    <t>Grounded in anti-discrimination law (e.g., Equal Credit Opportunity Act) and legal notions of direct vs indirect discrimination (redlining). Uses a user-defined legal threshold τ (e.g., 0.05 per British sex discrimination legislation example) for claiming discrimination based on causal effects.</t>
  </si>
  <si>
    <t>Provides an explicit, legally grounded causal specification of direct and indirect discrimination (path-specific effects with threshold τ) and a data repair method that prevents discrimination in downstream model predictions, but does not define monitoring or revision processes to maintain these guarantees as data and causal structure evolve over time.</t>
  </si>
  <si>
    <t>Build/learn causal network (DAG) from historical data (e.g., PC algorithm with CI test significance 0.01; uses temporal tiers). Specify protected attribute C (binary), decision attribute E (binary), and redlining attributes R (unjustified). Compute SE_d via Equation (3) and SE_i via Equation (4) when identifiable; if recanting witness criterion blocks identifiability, cut arcs into E that transmit through redlining attributes to restore identifiability. Removal: solve quadratic program to modify CPT P'(E|Pa(E)) so SE_d and SE_i for both directions are ≤ τ, while keeping P' close to P; generate modified dataset from modified causal model; train classifiers on modified training data and test predictions on held-out test data; re-run PSE-DD on predictions to verify no direct/indirect discrimination remains.</t>
  </si>
  <si>
    <t>Causal path-specific effects for discrimination: SE_d (direct) and SE_i (indirect) on positive decision E=e+ when changing protected attribute C between groups, computed using do-calculus / truncated factorization and identifiability conditions (recanting witness criterion). Uses τ as discrimination threshold. Utility preservation objective: minimize squared Euclidean distance between original and modified joint distributions Σ_v (P'(v)−P(v))^2 subject to discrimination constraints. Reports data utility (L2 distance) and prediction accuracy after repair, and tests discrimination in predictions via PSE-DD.</t>
  </si>
  <si>
    <t>Protected attributes include gender, age, sexual orientation, race, religion/belief, disability/illness; experiments treat Sex as protected attribute (Adult and Dutch Census). Redlining attribute example: Zip code (race proxy) and in experiments: Marital status. Decision attributes: Income (Adult) and Occupation (Dutch).</t>
  </si>
  <si>
    <t>Frames fairness as a data-governance/preprocessing intervention prior to model building, with explicit roles for ‘data owners’ choosing protected attribute, decision attribute, and redlining attributes; aims to guarantee downstream predictive models trained on released data will not discriminate, but does not specify ongoing monitoring or revision governance after deployment.</t>
  </si>
  <si>
    <t>Direct discrimination claimed if path-specific effect SE_d(c+,c−) &gt; τ or SE_d(c−,c+) &gt; τ, where SE_d is the effect along direct path C→E. Indirect discrimination claimed if SE_i(c+,c−) &gt; τ or SE_i(c−,c+) &gt; τ, where SE_i is the effect along paths from C to E that pass through redlining attributes R.</t>
  </si>
  <si>
    <t>P011</t>
  </si>
  <si>
    <t>User-defined discrimination threshold τ (example τ=0.05; also reports measured effects such as SE_i=0.175 on Adult). Uses CI test threshold 0.01 for causal discovery (PC algorithm).</t>
  </si>
  <si>
    <t>Offline evaluation, Other</t>
  </si>
  <si>
    <t>Experiments on Adult and Dutch Census datasets: estimate SE_d and SE_i, apply PSE-DR to remove discrimination, then train SVM/Decision Tree and re-test discrimination of predictions; compares to LMSG/LPS and Feldman DI repair, showing their method uniquely removes discrimination in downstream predictions with lower utility loss.</t>
  </si>
  <si>
    <t>Preprint</t>
  </si>
  <si>
    <t>P012 — GrgicHlaca2016</t>
  </si>
  <si>
    <t>Policing</t>
  </si>
  <si>
    <t>Drift not addressed, Governance absent, No revision process/ownership, No thresholds / acceptance criteria, Other</t>
  </si>
  <si>
    <t>Strongly requirements-relevant for RQ1/RQ2 as it defines an explicit, testable notion of procedural/process fairness grounded in stakeholder judgments of feature use (including conditional on accuracy and disparity effects), then operationalizes it and empirically maps trade-offs against outcome fairness and accuracy on COMPAS. Does not address monitoring/revision over time or governance beyond one-off elicitation.</t>
  </si>
  <si>
    <t>GrgicHlaca2016</t>
  </si>
  <si>
    <t>Defines process fairness measures over a model’s feature set and studies feature selection as a design-time mechanism: remove features judged ‘uncomfortable/unfair’ by users and analyze resulting accuracy and outcome fairness trade-offs across all 512 feature subsets (logistic regression on COMPAS).</t>
  </si>
  <si>
    <t>Motivates fairness notions by reference to anti-discrimination laws and legal decision contexts, but broadens beyond legally protected sensitive features to societal judgments of feature use (moral norms, privacy regulations, precedents).</t>
  </si>
  <si>
    <t>Fairness notions list, Other</t>
  </si>
  <si>
    <t>Surveys</t>
  </si>
  <si>
    <t>Recruits 100 US AMT workers and asks, for each of 9 features, whether it is fair to use (a priori), fair if it increases accuracy, and fair if it increases racial disparity; computes % judging each feature fair and uses these as inputs to process fairness measures.</t>
  </si>
  <si>
    <t>Error parity, Other, Outcome parity, Procedural fairness</t>
  </si>
  <si>
    <t>Provides explicit, testable process-fairness requirements grounded in stakeholder judgments for feature selection and quantifies trade-offs with outcome fairness and accuracy on COMPAS, but lacks acceptance thresholds and does not address monitoring or revision to keep process fairness valid as norms and data shift over time.</t>
  </si>
  <si>
    <t>Collect fairness judgments for each candidate feature via survey (Q1–Q3). For each feature subset F' (2^9 = 512), train logistic regression on COMPAS ProPublica data with repeated random 50/50 train-test splits (10 runs) and compute accuracy. Compute outcome fairness as disparity in misclassification rates between White vs non-White. Compute the three process fairness measures using the conditioned user sets per feature depending on whether adding the feature increases accuracy or increases disparity, then compare trade-offs among accuracy, outcome fairness, and process fairness across subsets.</t>
  </si>
  <si>
    <t>Process fairness metrics: feature-a priori fairness, feature-accuracy fairness, and feature-disparity fairness computed from survey-based user sets (intersection across used features divided by |U|). Outcome fairness metric: disparity in mistreatment via |FPR_w−FPR_nw| + |FNR_w−FNR_nw| (Eq.6) and outcome fairness = − outcome unfairness (Eq.7). Also reports prediction accuracy (logistic regression) under different feature subsets.</t>
  </si>
  <si>
    <t>Sensitive/protected-style features include race, gender, and age; outcome fairness computed between Whites vs non-Whites; survey explicitly asks about feature fairness including race/gender/age and how judgments change if feature increases racial disparity.</t>
  </si>
  <si>
    <t>Uses a user survey (AMT, US workers) to elicit societal judgments about feature fairness (Q1–Q3) and defines fairness as a fraction of users who consider all used features fair; connects process fairness to moral philosophy (deontological vs utilitarian) and distinguishes process vs outcome fairness, but does not provide governance/monitoring procedures post-deployment.</t>
  </si>
  <si>
    <t>Process fairness of a classifier using feature set F' is defined as the fraction of users who judge every feature in F' as fair; defines three quantitative measures: feature-a priori fairness (Eq.1), feature-accuracy fairness (Eq.2–3), and feature-disparity fairness (Eq.4–5), based on user sets U_f, U^Acc_f, U^Disp_f and measured changes in accuracy/disparity when adding/removing a feature.</t>
  </si>
  <si>
    <t>Constraint (formal/informal), Other</t>
  </si>
  <si>
    <t>Affected groups, Developers, Other, Regulators, Users</t>
  </si>
  <si>
    <t>P012</t>
  </si>
  <si>
    <t>Offline evaluation, User study</t>
  </si>
  <si>
    <t>Empirical evaluation on COMPAS ProPublica dataset with logistic regression across 512 feature subsets and repeated train/test splits; user study (100 AMT workers) to estimate feature fairness judgments; analyzes trade-offs between accuracy, process fairness, and outcome fairness.</t>
  </si>
  <si>
    <t>Workshop</t>
  </si>
  <si>
    <t>P013 — BarocasSelbst2016</t>
  </si>
  <si>
    <t>Governance absent, Missing context assumptions, No revision process/ownership, Other</t>
  </si>
  <si>
    <t>Key contribution is a detailed, legally grounded taxonomy of how data mining discriminates across the ML pipeline and how (and why) Title VII disparate impact / disparate treatment doctrine struggles to address unintentional algorithmic discrimination. Provides requirements-relevant ENV foundations and design-time failure mechanisms, but does not give testable system acceptance criteria beyond legal guidelines and includes no empirical validation/monitoring/revision process.</t>
  </si>
  <si>
    <t>BarocasSelbst2016</t>
  </si>
  <si>
    <t>Provides a taxonomy of technical mechanisms by which data mining can produce discriminatory outcomes across the pipeline (target variable and class labels, training data labeling/collection, feature selection, proxies, masking), highlighting how design choices operationalize or undermine legal fairness requirements.</t>
  </si>
  <si>
    <t>Analyzes algorithmic discrimination through the lens of U.S. anti-discrimination law (Title VII) and disparate impact doctrine; frames fairness as non-discrimination obligations toward protected classes and highlights tensions between anticlassification and antisubordination theories.</t>
  </si>
  <si>
    <t>Provides a legally grounded taxonomy linking data-mining pipeline choices to disparate impact risks and doctrinal criteria (including the EEOC four-fifths guideline and business necessity analysis), but offers no concrete, testable engineering acceptance criteria or lifecycle monitoring/revision mechanisms to maintain fairness over time.</t>
  </si>
  <si>
    <t>Conceptual/legal analysis (not an empirical study): identify where discrimination can arise in data mining (target definition, labeling, collection, feature selection, proxies, masking). Evaluate how Title VII disparate treatment vs disparate impact doctrines apply, including evidentiary burdens, business necessity/job-relatedness defenses, and practical difficulties in proving/repairing discrimination.</t>
  </si>
  <si>
    <t>Primarily legal/analytical operationalization: disparate impact measured as statistical disparity in selection rates (EEOC ‘four-fifths’ / 80% rule as guideline) and doctrinal tests for disparate impact liability (show disparate impact, then business necessity/job-relatedness, then less discriminatory alternative). Provides conceptual mapping from ML pipeline steps to potential disparate impact mechanisms.</t>
  </si>
  <si>
    <t>Protected classes under Title VII (race, sex, national origin, etc.); discusses historical disadvantage, vulnerable groups; examples include employment, credit, housing; references race-related proxying and disparate outcomes.</t>
  </si>
  <si>
    <t>Discusses institutional discrimination, proof challenges, accountability, and the limits of existing legal doctrine for regulating algorithmic decision making; addresses governance/policy reform difficulties but does not specify concrete monitoring or revision procedures for deployed systems.</t>
  </si>
  <si>
    <t>Explicit not testable</t>
  </si>
  <si>
    <t>Frames the core requirement as avoiding discriminatory effects on protected classes under Title VII (disparate treatment and disparate impact); discusses the four-fifths (80%) rule in EEOC Uniform Guidelines as a presumptive threshold for adverse impact, and the business necessity / job-relatedness defense and less discriminatory alternatives analysis.</t>
  </si>
  <si>
    <t>Narrative goal, Other, Policy/rule</t>
  </si>
  <si>
    <t>Affected groups, Auditors/Compliance, Developers, Org leadership, Other, Regulators</t>
  </si>
  <si>
    <t>P013</t>
  </si>
  <si>
    <t>EEOC Uniform Guidelines ‘four-fifths’ / 80% rule for adverse impact (as a guideline, not a strict legal formula).</t>
  </si>
  <si>
    <t>P014 — Zafar2017a</t>
  </si>
  <si>
    <t>Strong design-time requirements operationalization: makes disparate impact a testable constraint (p%-rule) and proposes a convex proxy (decision-boundary covariance) that can be embedded in learning objectives, including a business-necessity formulation that maximizes fairness under accuracy constraints. Provides offline validation on synthetic + Adult/Bank datasets. No monitoring or revision process for fairness over time.</t>
  </si>
  <si>
    <t>Zafar2017a</t>
  </si>
  <si>
    <t>Introduces a convex, decision-boundary covariance fairness constraint for margin-based classifiers (logistic regression, SVM) to control disparate impact while avoiding disparate treatment (do not use sensitive attributes at decision time). Provides two optimization formulations: maximize accuracy subject to fairness constraints, or maximize fairness subject to accuracy constraints (business necessity).</t>
  </si>
  <si>
    <t>Explicitly grounds fairness constraints in anti-discrimination law (disparate treatment vs disparate impact) and incorporates the ‘business necessity’ clause; adopts the EEOC p%-rule (80% rule as a common instantiation) as a legal/operational fairness requirement proxy.</t>
  </si>
  <si>
    <t>Provides explicit, testable fairness requirements (p%-rule and covariance proxy) and convex training procedures that encode disparate impact and business necessity as optimization constraints, but does not address post-deployment monitoring or revision to maintain these constraints under drift or changing norms.</t>
  </si>
  <si>
    <t>Train convex margin-based classifier (logistic regression/SVM) under fairness constraints: (1) minimize loss L(θ) subject to covariance constraints |(1/N)∑(zi−z̄)dθ(xi)| ≤ c (controls fairness vs accuracy), or (2) minimize |covariance| subject to loss constraint L(θ) ≤ (1+γ)L(θ*) (business necessity) with optional per-instance constraints. Evaluate on synthetic data and real datasets (Adult, Bank) with repeated train/test splits; compute achieved p%-rule on train/test and compare to baselines (preferential sampling, prejudice remover).</t>
  </si>
  <si>
    <t>Primary fairness requirement: p%-rule (80% rule as common case) for disparate impact. Operational proxy/metric: decision boundary covariance between sensitive attribute(s) and signed distance to classifier boundary. Also reports accuracy and relative loss. Supports multiple sensitive attributes and non-binary attributes; compares to CV score and other baselines.</t>
  </si>
  <si>
    <t>Sensitive attributes include gender, race, age. Adult dataset: gender (binary) and race (non-binary) as sensitive; Bank dataset: age (binary). Discusses protected vs non-protected groups (e.g., female vs male).</t>
  </si>
  <si>
    <t>Frames use in socio-legal decision contexts (employment, lending, pretrial) and discusses compliance and reverse discrimination risks; however, does not specify post-deployment monitoring, governance ownership, or revision triggers for maintaining constraints over time.</t>
  </si>
  <si>
    <t>Disparate treatment avoided by excluding sensitive attributes from decision inputs (x and z disjoint). Disparate impact specified via p%-rule: min(P(dθ(x)≥0|z=1)/P(dθ(x)≥0|z=0), P(dθ(x)≥0|z=0)/P(dθ(x)≥0|z=1)) ≥ p/100 (often p=80). Uses decision-boundary covariance Cov(z,dθ(x))≈(1/N)∑(zi−z̄)dθ(xi) as a convex proxy, constrained within ±c.</t>
  </si>
  <si>
    <t>P014</t>
  </si>
  <si>
    <t>p%-rule threshold p (commonly 80% per EEOC ‘80% rule’); covariance threshold c for fairness constraints; accuracy-loss tolerance γ for business necessity formulation.</t>
  </si>
  <si>
    <t>Empirical evaluation on synthetic datasets and real-world datasets (Adult income, Bank marketing) using logistic regression and SVM, with repeated train/test splits; reports trade-offs between accuracy and fairness (p%-rule) and compares to preprocessing and regularization baselines; demonstrates handling multiple and non-binary sensitive attributes.</t>
  </si>
  <si>
    <t>P015 — Zafar2017b</t>
  </si>
  <si>
    <t>Contributes a requirements-level shift from disparate impact (outcome parity) to disparate mistreatment (error parity) for settings with ground truth, with explicit, testable definitions (equalized error rates) and a concrete operationalization for decision-boundary classifiers via misclassification covariance constraints solved as DCCP. Provides offline evaluation on synthetic + COMPAS and discusses limitations (non-convexity/heuristics, small-data covariance estimation). No monitoring/revision lifecycle process.</t>
  </si>
  <si>
    <t>Zafar2017b</t>
  </si>
  <si>
    <t>Defines disparate mistreatment as group differences in misclassification rates (OMR/FPR/FNR/FDR/FOR) and proposes training decision-boundary classifiers (logistic regression, SVM) with fairness constraints based on misclassification covariance, formulated as disciplined convex-concave constraints (DCCP) with tunable threshold c controlling fairness-accuracy trade-off.</t>
  </si>
  <si>
    <t>Grounds fairness in anti-discrimination law distinctions (disparate treatment vs disparate impact) but argues that when ground truth is available, outcome proportionality (disparate impact) can be misleading and risk reverse discrimination; motivates a new requirement notion based on equal misclassification rates (disparate mistreatment).</t>
  </si>
  <si>
    <t>Contextual/legal compliance, Error parity, Other</t>
  </si>
  <si>
    <t>Provides explicit, testable fairness requirements based on equalizing misclassification rates (disparate mistreatment) and a training-time constraint mechanism (DCCP with covariance threshold c) validated on synthetic and COMPAS data, but does not address post-deployment monitoring or revision to maintain error-rate parity under drift or changing contexts.</t>
  </si>
  <si>
    <t>Train decision-boundary classifier (logistic regression; extensible to SVM) with fairness constraints derived from covariance of sensitive attribute and a function gθ(y,x) that captures misclassification type: min(0,y dθ(x)) for OMR; variants for FPR/FNR (Eqs.10–12). Convert constraints into a disciplined convex-concave program by splitting sums over z=0 and z=1 (difference of convex), solved with DCCP heuristics; tune covariance threshold c (often as multiplicative factor m of unconstrained covariance) to trade off fairness vs accuracy. Evaluate with repeated random train/test splits and compute DFPR/DFNR on test sets.</t>
  </si>
  <si>
    <t>Disparate mistreatment metrics: differences in error rates across sensitive groups, including DFPR and DFNR (defined as differences in FPR/FNR between z=0 and z=1). Uses covariance proxy on misclassified points (gθ) to impose fairness constraints. Reports accuracy and fairness trade-offs on synthetic data and COMPAS.</t>
  </si>
  <si>
    <t>Sensitive attributes include race and gender. Real-world case study uses COMPAS with Race ∈ {Black, White} (subset) and also includes Gender, Age as features; fairness focus reported on Black vs White error-rate differences.</t>
  </si>
  <si>
    <t>Uses criminal justice examples (NYPD stop-and-frisk, pretrial risk assessment, COMPAS) to motivate which error types matter (e.g., equal FPR for pretrial) and discusses legality/privacy constraints on using sensitive attributes at decision time, but does not specify deployment-time monitoring or governance for updating constraints.</t>
  </si>
  <si>
    <t>Avoid disparate treatment: P(ŷ|x,z)=P(ŷ|x). Avoid disparate impact: P(ŷ=1|z=0)=P(ŷ=1|z=1). New: avoid disparate mistreatment by equalizing misclassification rates across groups (e.g., OMR Eq.3, FPR Eq.4, FNR Eq.5; optionally FOR/FDR). Allows bounded differences by threshold ε. Operational constraints use covariance proxy Cov(z,gθ(y,x))≈(1/N)∑(z−z̄)gθ(y,x) constrained within ±c, where gθ targets misclassified points for OMR/FPR/FNR.</t>
  </si>
  <si>
    <t>P015</t>
  </si>
  <si>
    <t>Fairness tolerance via ε (allowed difference in error rates) and covariance threshold c (often c= m c* with m∈[0,1]).</t>
  </si>
  <si>
    <t>Experiments on synthetic datasets and the ProPublica COMPAS dataset using logistic regression with repeated train/test splits; evaluates trade-offs between accuracy and disparate mistreatment (DFPR/DFNR) under constraints; compares to Hardt et al. post-processing and a baseline penalty method.</t>
  </si>
  <si>
    <t>P016 — Zafar2017c</t>
  </si>
  <si>
    <t>Introduces preference-based fairness notions (preferred treatment and preferred impact) as relaxations of treatment/impact parity, grounded in envy-freeness and bargaining. Provides explicit formal requirements in terms of group benefit comparisons and operationalizes them via DCCP constraints for margin-based classifiers. Validates with offline evaluation on synthetic + COMPAS/Adult/SQF datasets showing accuracy gains vs parity. Does not address post-deployment monitoring or revision; also notes sensitivity to sample splitting and limitation to convex boundary-based classifiers; DCCP provides heuristic (non-global-optimal) solutions.</t>
  </si>
  <si>
    <t>Zafar2017c</t>
  </si>
  <si>
    <t>Defines preferred treatment (group envy-freeness) and preferred impact (Pareto improvement over impact parity baseline) using group benefit Bz and utility U; designs margin-based group-conditional classifiers θz with convex loss + regularization subject to preference constraints approximated via ramp function max(0, θz^T x) and solved as disciplined convex-concave programs (DCCP).</t>
  </si>
  <si>
    <t>Motivates fairness using law/social-science parity notions (treatment parity vs impact parity) but argues parity can be overly stringent and reduce utility; introduces preference-based fairness inspired by fair division (envy-freeness, bargaining), allowing group-conditional decision making when it improves outcomes for all groups.</t>
  </si>
  <si>
    <t>Provides explicit, testable preference-based fairness requirements (preferred treatment and preferred impact) that operationalize fairness as group-level ‘no-regret’ benefit comparisons and implement them via DCCP-constrained margin-based classifiers validated on synthetic and real datasets, but does not address post-deployment monitoring or revision to maintain these preferences under drift or changing contexts.</t>
  </si>
  <si>
    <t>Train group-conditional convex boundary-based classifiers (logistic regression, linear; extends to nonlinear SVM) to maximize accuracy under preference constraints. Approximate nonconvex indicators in objective/constraints using convex loss ℓ(θz;x,y) and ramp max(0, θz^T x) for benefits; solve resulting disciplined convex-concave programs (DCCP). Evaluate on synthetic dataset plus real datasets (COMPAS, Adult, NYPD SQF) with 70/30 train-test splits repeated 5 times; report average accuracy and group benefits; compare Uncons (unconstrained group-conditional), Parity (treatment+impact parity), Preferred-treatment, Preferred-impact, Preferred-both.</t>
  </si>
  <si>
    <t>Utility measured as overall accuracy; group benefit Bz as fraction of group classified into positive (beneficial) class (also notes conditional benefit variants). Preference-based fairness operationalized via inequalities comparing group benefits across classifiers (preferred treatment) and relative to an impact-parity classifier (preferred impact).</t>
  </si>
  <si>
    <t>Binary sensitive attribute groups: Adult: women (group-0) vs men (group-1). COMPAS and NYPD SQF: Black (group-0) vs White (group-1).</t>
  </si>
  <si>
    <t>Discusses reverse-discrimination concerns and the legal constraint that group-conditional decision rules may be prohibited under treatment parity; positions preference-based criteria as a group-level ‘no-regret’ relaxation (each group prefers its own treatment/outcomes), but does not propose governance, monitoring, or revision mechanisms for deployed systems.</t>
  </si>
  <si>
    <t>Defines utility U(θ)=E[I{sign(θ(x))=y}] and group benefit Bz(θ)=E[I{sign(θ(x))=1}|z]. Impact parity: Bz(θ)=Bz′(θ) (Eq.1). Preferred treatment for group-conditional classifiers {θz}: Bz(θz) ≥ Bz(θz′) for all z,z′ (Eq.3). Preferred impact over parity baseline θ⁰: Bz(θ) ≥ Bz(θ⁰) for all z (Eq.4/5).</t>
  </si>
  <si>
    <t>P016</t>
  </si>
  <si>
    <t>Preference criteria are stated as inequalities on group benefits (≥) without numeric acceptance thresholds; constraints are relative to baseline parity classifier outcomes rather than fixed p%-rule-style thresholds.</t>
  </si>
  <si>
    <t>Experiments on synthetic data and three real-world datasets (COMPAS, Adult, NYPD SQF) comparing parity-based vs preference-based constrained classifiers; reports accuracy-benefit trade-offs and shows preference-based notions can improve utility relative to parity constraints.</t>
  </si>
  <si>
    <t>P017 — GrgicHlaca2017Randomness</t>
  </si>
  <si>
    <t>Highlights a RE-relevant requirement gap: algorithmization reduces decision-process diversity. Proposes random ensembles as a design mechanism with formal fairness properties across several parity metrics, and introduces distributional fairness (intra-group equal chance) as a new requirement notion enabled by randomness. Evidence is primarily analytical + illustrative synthetic examples; no deployment monitoring/revision/governance process described.</t>
  </si>
  <si>
    <t>GrgicHlaca2017Randomness</t>
  </si>
  <si>
    <t>Proposes random classifier ensembles: an ensemble Cens selects one classifier Ck at random per case according to p(j). Shows formal properties: ensembles preserve equality of treatment; preserve equality of impact for acceptance-rate and TPR/TNR definitions; may fail for predictive value definitions; and ensembles of unfair classifiers can still meet parity constraints and improve accuracy–fairness trade-offs.</t>
  </si>
  <si>
    <t>Frames a socio-technical risk of replacing diverse human decision makers with a single scalable algorithm: loss of decision-process diversity. Motivates randomness/assignment analogies from courts (random judge panels) as an ENV-level fairness condition (equal chance of being judged by different ‘schools of thought’).</t>
  </si>
  <si>
    <t>Other, Outcome parity, Procedural fairness</t>
  </si>
  <si>
    <t>Shows that randomness via classifier ensembles can preserve or even improve standard parity-based fairness and accuracy–fairness trade-offs and motivates distributional (intra-group) fairness requirements, but provides no lifecycle monitoring or revision mechanisms to maintain these fairness properties under drift or changing contexts.</t>
  </si>
  <si>
    <t>Construct an ensemble of classifiers {Cj} with sampling distribution p(j); for a user x, sample a classifier then output its decision. Analyze fairness via expectations over the ensemble randomness; show when linearity of expectation preserves impact parity. Provide synthetic examples where unfair classifiers combined stochastically meet fairness constraints and improve accuracy–fairness trade-offs versus single constrained classifier. (Evaluation details beyond examples not fully specified in excerpt.)</t>
  </si>
  <si>
    <t>Fairness metrics discussed: equality of treatment; equality of impact measured by acceptance rate into positive/negative class; TPR/TNR; predictive positive/negative value (PPV/NPV) with caveat. New distributional fairness (intra-group): whether beneficial outcome probabilities are evenly distributed within a sensitive group (e.g., all members have equal chance), not only equal group rates.</t>
  </si>
  <si>
    <t>Assumes one binary sensitive attribute z ∈ {0,1} (e.g., gender or race). Examples use men vs women; mentions race in motivating domains (COMPAS).</t>
  </si>
  <si>
    <t>Discusses operational implications of randomness: reduced gaming (‘fence around the law’), smoother expected outcomes near boundaries, and motivates new “distributional fairness” notions capturing intra-group fairness (even distribution of beneficial-outcome chance within a group), beyond standard inter-group parity metrics. No governance/monitoring plan is specified.</t>
  </si>
  <si>
    <t>Defines ensemble classifier Cens: select Ck from {Cj} with probability p(j), output Cens(x)=Ck(x). Equality of treatment: prediction independent of sensitive attribute. Equality of impact: equal beneficial-outcome rates across groups for acceptance-rate or TPR/TNR definitions; not guaranteed for PPV/NPV since conditioning sets vary across Cj. Introduces distributional fairness idea: within-group equality of chance at beneficial outcomes.</t>
  </si>
  <si>
    <t>Affected groups, Developers, Org leadership, Other, Regulators</t>
  </si>
  <si>
    <t>P017</t>
  </si>
  <si>
    <t>No fixed numeric thresholds; fairness is expressed as parity equalities on expected rates (and distributional fairness as equal probabilities within group).</t>
  </si>
  <si>
    <t>Simulation</t>
  </si>
  <si>
    <t>Uses constructed synthetic decision scenarios to demonstrate three properties (fairness preservation, unfair-to-fair ensembles, and improved accuracy–fairness trade-offs) and motivates distributional fairness via illustrative examples.</t>
  </si>
  <si>
    <t>P018 — CorbettDavies2017</t>
  </si>
  <si>
    <t>Strong formalization of fairness requirements as explicit constraints and utility objective; derives optimal threshold-based decision rules and shows constrained fairness can require race-specific thresholds (raising normative/legal concerns). Provides offline empirical quantification of cost-of-fairness on Broward County data with repeated splits. Does not address lifecycle monitoring/revision; acknowledges outcome-data bias, subgroup validity, and long-term utility limits.</t>
  </si>
  <si>
    <t>CorbettDavies2017</t>
  </si>
  <si>
    <t>Reformulates fairness as constrained optimization: maximize immediate utility (public safety benefit minus detention cost) subject to formal fairness constraints (statistical parity, conditional statistical parity, predictive equality). Proves optimal constrained rules are deterministic threshold rules on risk p(Y=1|X) with group-specific thresholds t_g (and for conditional parity, thresholds depend on group + legitimate factors). Unconstrained optimum is a single uniform threshold c for all individuals.</t>
  </si>
  <si>
    <t>Frames the deployment context as pretrial release decisions where algorithmic risk tools can create racial disparities; also surfaces a competing normative/legal notion of equality: holding all individuals to the same standard irrespective of race, contrasted with group-parity definitions that imply race-specific treatment.</t>
  </si>
  <si>
    <t>Provides explicit, testable formulations of common fairness constraints and proves utility-optimal (often race-specific) threshold decision rules, empirically quantifying substantial public-safety trade-offs on Broward County data, but does not address post-deployment monitoring or revision of fairness requirements under shifting data or governance contexts.</t>
  </si>
  <si>
    <t>Model decisions as threshold rules over estimated risk p(Y=1|X) (learned via L1-regularized logistic regression + Platt scaling on Broward County data, excluding race). For each fairness constraint, choose group-specific thresholds to (i) satisfy the constraint, (ii) detain a fixed fraction (e.g., 30%), and (iii) maximize expected public safety/utility; evaluate via repeated train-test splits (e.g., 100 random 70/30 splits) and report impact on violent recidivism and proportion of detained low-risk individuals.</t>
  </si>
  <si>
    <t>Fairness constraints: statistical parity (equal detention rates), conditional statistical parity (equal detention rates conditional on ‘legitimate’ factors), predictive equality (equal FPR). Also discusses calibration for risk scores. Utility metric: immediate utility u(d,c)=E[Y d(X) − c d(X)] with Y indicating benefit of detention (e.g., would recidivate if released).</t>
  </si>
  <si>
    <t>Race groups (black vs white) in Broward County COMPAS dataset; notes logic applies to other protected attributes (e.g., gender).</t>
  </si>
  <si>
    <t>Discusses policy and governance implications: constrained rules require explicit race-specific thresholds which may raise strict scrutiny under Equal Protection; highlights that fairness constraints can detain low-risk individuals and release higher-risk ones, and emphasizes that algorithm choice is only one intervention among others (services, supervision, discretion). Does not specify monitoring/revision processes.</t>
  </si>
  <si>
    <t>Defines decision rule d: R^p → [0,1] (probability of detain). Statistical parity: E[d(X)|g(X)] = E[d(X)] (Eq.1). Conditional statistical parity: E[d(X)|ℓ(X),g(X)] = E[d(X)|ℓ(X)] (Eq.2). Predictive equality (equal FPR): E[d(X)|Y=0,g(X)] = E[d(X)|Y=0] (Eq.3). Utility u(d,c)=E[Y d(X) − c d(X)]. Theorem: optimal constrained rules are threshold rules on p(Y=1|X) with group-specific thresholds; unconstrained optimum is d*(X)=1{p(Y|X) ≥ c}.</t>
  </si>
  <si>
    <t>P018</t>
  </si>
  <si>
    <t>Decision rules are explicit thresholds on risk p(Y|X). Unconstrained threshold: c (detain if p(Y|X) ≥ c). Constrained thresholds: group-specific t_g (and for conditional parity, t_{g,ℓ}). Empirical section fixes detention rate at 30% and reports group-specific detention rates (e.g., single-threshold detains ~40% black vs ~18% white in Broward).</t>
  </si>
  <si>
    <t>Uses Broward County pretrial dataset to quantify trade-offs: under fairness constraints, more low-risk defendants are detained and estimated violent crime among released defendants increases (reported via repeated train/test splits and summarized in Table 1).</t>
  </si>
  <si>
    <t>P019 — Galhotra2017</t>
  </si>
  <si>
    <t>Provides explicit, testable discrimination/fairness specifications and a concrete RE-relevant artifact: a fairness testing method (Themis) that operationalizes discrimination as measurable scores without requiring a conventional oracle. Strong on operationalization (schema, θ, ε/conf), and offline validation across many software instances; highlights that fairness-aware learning methods can still causally discriminate, especially in subdomains. Does not address post-deployment monitoring/revision.</t>
  </si>
  <si>
    <t>Galhotra2017</t>
  </si>
  <si>
    <t>Defines fairness/discrimination measures and introduces Themis, an automated fairness testing approach that generates test suites from an input schema to measure group, causal, and apparent discrimination in black-box decision software, using caching, adaptive sampling, and sound pruning based on monotonicity proofs.</t>
  </si>
  <si>
    <t>Frames discrimination as a critical quality attribute for software used in societal domains (criminal justice, finance, promotions), where unfair outcomes can trigger public backlash and regulatory concern; argues fairness is undervalued in the development lifecycle and should be tested like other quality properties.</t>
  </si>
  <si>
    <t>Individual consistency, Other, Outcome parity, Procedural fairness</t>
  </si>
  <si>
    <t>Provides explicit, testable fairness/discrimination specifications and an automated fairness testing method (Themis) that quantifies causal and group discrimination (including in subdomains) across many software instances, but focuses on pre-deployment testing and does not define post-deployment monitoring or revision governance.</t>
  </si>
  <si>
    <t>Given input schema for valid inputs, generate random test inputs; estimate discrimination scores via adaptive sampling to reach error bound ε with confidence conf (z*√(p(1-p)/r)); reuse executions via caching; search for discriminating characteristic subsets using pruning based on monotonicity (if X′ discriminates ≥θ then any superset does) and relation d~≤d⃗. Evaluate on 20 instances of 8 systems (Adult and German Credit datasets), including 12 discrimination-aware algorithms and 8 standard ML baselines.</t>
  </si>
  <si>
    <t>Group discrimination (generalized CV score) over categorical characteristics; causal discrimination (counterfactual-style input perturbation); apparent discrimination on a partial domain/operational profile; supports discrimination thresholds θ for search.</t>
  </si>
  <si>
    <t>Sensitive characteristics include race and gender (also age, marital status, country, relationship in Adult). Experiments primarily measure discrimination w.r.t. race and gender; credit dataset includes gender (marital status+gender).</t>
  </si>
  <si>
    <t>Highlights stakeholder use (companies, government agencies) and policy implications (need to set and verify nondiscrimination requirements before deployment); discusses operational profiles to represent real-world input distributions and warns that focusing on global fairness can hide severe discrimination in subdomains. Does not define monitoring/revision processes beyond pre-deployment testing.</t>
  </si>
  <si>
    <t>Causal discrimination: d⃗_{X′}(S) is fraction of inputs k for which there exists k′ differing only in characteristics X′ with S(k)≠S(k′). Group discrimination: d~{X′}(S)=max(P)−min(P) over outcome frequencies by groups. Discrimination checking problem: given threshold θ, find all X′ such that d~{X′}(S)≥θ or d⃗_{X′}(S)≥θ.</t>
  </si>
  <si>
    <t>P019</t>
  </si>
  <si>
    <t>Uses discrimination threshold θ (e.g., θ=0.75 for search) plus confidence and error bound settings (e.g., conf=99%, ε=0.05) in experiments; also reports discrimination rates (e.g., up to 98.1% in some subdomains).</t>
  </si>
  <si>
    <t>Evaluates Themis on 20 software instances, showing it detects discrimination (including in discrimination-aware systems) and that optimizations/pruning reduce test-suite sizes by orders of magnitude; reports discrimination scores for race/gender and examples of severe subdomain discrimination (up to ~98%).</t>
  </si>
  <si>
    <t>P020 — Kusner2017</t>
  </si>
  <si>
    <t>Drift not addressed, Governance absent, Missing context assumptions, No revision process/ownership, No thresholds / acceptance criteria, Other</t>
  </si>
  <si>
    <t>Defines counterfactual fairness as an explicit, testable (given a causal model) individual-level requirement; provides guidance (non-descendants of A, latent-variable modeling, additive-noise residuals) and an algorithmic training recipe. Validates via offline demonstration on law school dataset and counterfactual evaluation under assumed generative model; acknowledges strong, often untestable causal assumptions and the need to revise models when contradicted. No deployment-time monitoring or change management process specified.</t>
  </si>
  <si>
    <t>Kusner2017</t>
  </si>
  <si>
    <t>Introduces a causal-model-based fairness requirement: counterfactual fairness. Defines a predictor Ŷ as fair if its distribution for an individual is invariant under a counterfactual intervention that changes protected attribute A to a′ while holding the individual’s latent background U fixed. Provides an implementation strategy using causal models, latent variables, and learning predictors from non-descendants of A or inferred U/residuals.</t>
  </si>
  <si>
    <t>Motivates fairness in high-stakes domains (insurance, lending, hiring, predictive policing) where historical bias can contaminate data and decisions; argues fairness definitions can conflict and practitioners need causal understanding of how protected attributes relate to data and outcomes.</t>
  </si>
  <si>
    <t>Contextual/legal compliance, Individual consistency, Other</t>
  </si>
  <si>
    <t>Provides an explicit causal specification of fairness (counterfactual invariance under protected-attribute interventions) and an operational recipe to train predictors from causal-model-derived non-descendants/latent variables with demonstrated accuracy–fairness trade-offs, but lacks deployment-time monitoring and explicit governance for revising causal assumptions under drift or changing social context.</t>
  </si>
  <si>
    <t>Assume/provide a causal model M=(U,V,F) with V=A∪X. Construct Ŷ=g_θ(U, X_A) where X_A are non-descendants of A; train by minimizing expected loss E[l(Y, g_θ(U, X_A)) | x,a] with U sampled from P_M(U|x,a) (e.g., via MCMC), yielding fair parameters θ̂. Demonstrates on law school success prediction with protected attributes race and sex; compares to Full (uses A) and Unaware (excludes A) baselines; reports RMSE trade-off (e.g., Full 0.873, Unaware 0.894, FairK 0.929, FairAdd 0.918) and checks fairness by comparing prediction distributions under counterfactual swaps.</t>
  </si>
  <si>
    <t>Fairness operationalized via counterfactual invariance of the prediction distribution under intervention do(A=a′) at the individual level. Also reviews common non-causal fairness definitions (FTU, individual fairness, demographic parity, equality of opportunity) and motivates counterfactual fairness as addressing limitations under historical bias.</t>
  </si>
  <si>
    <t>Protected attributes A include demographic group such as race and sex (also mentions gender, sexual orientation). Demonstration uses race and sex in law school dataset; examples discuss predictive policing with race-linked neighborhood effects.</t>
  </si>
  <si>
    <t>Notes that counterfactual/structural assumptions are often unfalsifiable and models should be treated as provisional and subject to modification if new evidence contradicts them, but does not define explicit revision triggers or ownership roles.</t>
  </si>
  <si>
    <t>Discusses ethical/legal implications and the need to regulate fairness via explicit causal modeling rather than purely probabilistic independence; highlights that observed labels/outcomes can be biased by policing practices or other social processes. Notes causal models require strong, often untestable assumptions and should be treated as provisional and revisable when new evidence contradicts the model, but does not provide operational governance/monitoring procedures.</t>
  </si>
  <si>
    <t>Counterfactual fairness: Ŷ is counterfactually fair if for any context X=x and A=a, P(Ŷ_{A←a}(U)=y | X=x, A=a) = P(Ŷ_{A←a′}(U)=y | X=x, A=a) for all y and any attainable a′. Lemma: Ŷ is counterfactually fair if it is a function of non-descendants of A in the causal graph.</t>
  </si>
  <si>
    <t>P020</t>
  </si>
  <si>
    <t>No numeric acceptance thresholds; fairness is a distributional equality constraint over counterfactual prediction distributions.</t>
  </si>
  <si>
    <t>Illustrates the approach on law school success prediction (LSAC data) with train/test split and compares RMSE across baselines; empirically evaluates counterfactual fairness by sampling counterfactual worlds from the assumed causal model and comparing predicted distributions under swapped protected attributes.</t>
  </si>
  <si>
    <t>P021 — Ensign2018</t>
  </si>
  <si>
    <t>Models predictive policing as an online learning system with feedback loops; formal urn analysis proves runaway feedback ("go with the winner") under discovered-incident updates; proposes black-box input filtering (rejection sampling / Thompson–Horvitz intuition) to correct PredPol-like systems; validated via simulations using Lum &amp; Isaac (2016) Oakland/PredPol setup. Does not frame explicit fairness requirements with demographic protected groups or acceptance thresholds, and does not cover post-deployment monitoring/revision governance beyond the corrective input policy.</t>
  </si>
  <si>
    <t>Ensign2018</t>
  </si>
  <si>
    <t>We use the theory of urns ... to analyze existing methods for predictive policing ... and demonstrate how to change the inputs to a predictive policing system (in a black-box manner) so the runaway feedback loop does not occur, allowing the true crime rate to be learned.</t>
  </si>
  <si>
    <t>Predictive policing systems are increasingly used to determine how to allocate police across a city ... Such systems have been empirically shown to be susceptible to runaway feedback loops ... where police are repeatedly sent back to the same neighborhoods regardless of the true crime rate.</t>
  </si>
  <si>
    <t>Provides a formal and empirically demonstrated explanation of why predictive policing can create runaway feedback loops and proposes a black-box input-filtering remedy, but does not specify fairness requirements as explicit acceptance thresholds nor provide monitoring/revision governance for maintaining fairness over time.</t>
  </si>
  <si>
    <t>Model predictive policing as generalized Pólya urns with discovered vs reported incidents (weights wd, wr); prove convergence pathologies (e.g., Lemma 4: if λA&gt;λB, asymptotic probability of sampling A tends to 1) and evaluate via simulations using Oakland/PredPol setup; apply black-box input filtering (rejection sampling) to discovered incidents so urn/PredPol converge to true crime rate ratios.</t>
  </si>
  <si>
    <t>Deployment allocation should converge to true crime rate proportions ("Effective Policing" goal); disparity/degree of runaway feedback linked to disparity in crime rates between areas; urn model asymptotic allocation (e.g., converging to 100% for one region under discovery-only) and corrected via rejection-sampling/Thompson–Horvitz-style filtering of discovered incidents inputs.</t>
  </si>
  <si>
    <t>Neighborhoods/regions (e.g., Oakland Top1/Top2/Random regions). No explicit protected demographic attribute is modeled; fairness concern is observational bias leading to disparate policing allocation.</t>
  </si>
  <si>
    <t>Decisions made by the system influence the data that is fed to it in the future ... predictive policing algorithms only observe crime in neighborhoods they patrol.</t>
  </si>
  <si>
    <t>Goal 3.1 (Effective Policing) A region with Λ percent of the crime in the precinct should receive Λ percent of the police.</t>
  </si>
  <si>
    <t>Constraint (formal/informal), Narrative goal</t>
  </si>
  <si>
    <t>Affected groups, Developers</t>
  </si>
  <si>
    <t>P021</t>
  </si>
  <si>
    <t>Offline evaluation, Simulation</t>
  </si>
  <si>
    <t>We develop a mathematical model ... show empirically that this model exhibits such problems ... and demonstrate how to change the inputs to a predictive policing system (in a black-box manner) ... Using the Lum and Isaac (2016) data ... we simulate ... and show PredPol converges to the appropriate crime rate predictions under the improvement policy.</t>
  </si>
  <si>
    <t>P022 — GrgicHlaca2018Procedural</t>
  </si>
  <si>
    <t>Introduces procedural/process fairness as fairness of feature usage (organizational justice lens), operationalizes via human moral judgments collected through AMT surveys, defines three explicit set-function measures (apr./acc./disp.) and proves (super/sub)modularity properties enabling constrained optimization for fairness–accuracy trade-offs. Evaluated on COMPAS and NYPD SQF with extensive feature-subset experiments; also compares to outcome fairness via FPR/FNR gaps (white vs non-white). No lifecycle monitoring/revision governance beyond offline evaluation.</t>
  </si>
  <si>
    <t>GrgicHlaca2018Procedural</t>
  </si>
  <si>
    <t>We introduce three scalar measures of procedural fairness ... and provide fast submodular mechanisms to optimize the tradeoff between procedural fairness and prediction accuracy.</t>
  </si>
  <si>
    <t>We leverage the rich literature on organizational justice ... distinguish between ... distributive and procedural fairness ... humans’ moral judgments ... rooted in prevailing cultural or social norms, political beliefs, and legal regulations.</t>
  </si>
  <si>
    <t>For gathering human judgments, we use the Amazon Mechanical Turk (AMT) platform ... asking ... yes or no to three questions ... each feature is judged by 200 different workers.</t>
  </si>
  <si>
    <t>Error parity, Other, Procedural fairness</t>
  </si>
  <si>
    <t>Defines and operationalizes procedurally fair learning as explicit, testable constraints over feature sets grounded in human moral judgments and optimizes fairness–accuracy trade-offs, but does not address deployment-time monitoring or revision processes to keep procedural fairness requirements valid over time.</t>
  </si>
  <si>
    <t>Collect AMT judgments (200 US-based master workers) per feature for three questions (apr./acc./disp.); compute fraction judging feature fair; define set-function fairness as fraction judging all features in subset fair with conditioning on whether feature increases accuracy/disparity; evaluate feature subsets via logistic regression (L2) on COMPAS and NYPD SQF; optimize acc(S) subject to unf(S)≤t (and converse) using constrained submodular optimization; measure outcome fairness via FPR/FNR gaps between white vs non-white.</t>
  </si>
  <si>
    <t>Procedural/process fairness set functions over feature subsets: feature-apriori fairness(F), feature-accuracy fairness(F), feature-disparity fairness(F); disparity uses disparate mistreatment (Zafar et al. 2017a) and outcome unfairness uses |FPR_w−FPR_nw|+|FNR_w−FNR_nw| (in COMPAS experiments).</t>
  </si>
  <si>
    <t>COMPAS recidivism: race (white vs non-white; also mentions African American vs white in survey question), sex, age. NYPD SQF: race, sex, age (plus other stop context features). Outcome disparity measured for whites vs non-whites.</t>
  </si>
  <si>
    <t>Our key insight ... is to rely on humans’ moral judgments ... Their collective opinions ... reflect societal consensus on the desirability of using particular features.</t>
  </si>
  <si>
    <t>We define the process fairness of C to be the fraction of all users who consider the use of every feature in F to be fair ... feature-apriori fairness(F) := |⋂_{f∈F} U_f| / |U|.</t>
  </si>
  <si>
    <t>Affected groups, Developers, Users</t>
  </si>
  <si>
    <t>P022</t>
  </si>
  <si>
    <t>ε = 5% of full range (used to decide whether a feature increases accuracy/disparity); multiple unfairness/accuracy thresholds (21 values) for constrained optimization trade-offs.</t>
  </si>
  <si>
    <t>We operationalize these measures on two real world datasets using human surveys on the Amazon Mechanical Turk (AMT) platform ... and demonstrate good performance empirically ... compare approximate solutions with brute-force optimum over feature subsets.</t>
  </si>
  <si>
    <t>P023 — Udeshi2018</t>
  </si>
  <si>
    <t>Defines software fairness testing as finding discriminatory input pairs (individual fairness style) that differ only on sensitive parameters and yield output difference beyond threshold γ; proposes Aeqitas directed probabilistic search (global+local) leveraging model robustness to efficiently uncover discriminatory regions; provides LLN-based estimation of discriminatory-input prevalence with confidence intervals; includes automated retraining module that iteratively adds portions of discriminatory inputs to training data and accepts updates only if estimated discrimination decreases. Strong operationalization and evaluation on six classifiers; no deployment-time monitoring or requirements revision governance.</t>
  </si>
  <si>
    <t>Udeshi2018</t>
  </si>
  <si>
    <t>Given a machine-learning model f ... we are interested to discover inputs I or I′ where |f(I)−f(I′)| is beyond a pre-determined threshold γ ... We call such inputs ... discriminatory inputs ... our Aeqitas approach automatically discovers discriminatory inputs ... and retrains the model to reduce its unfairness.</t>
  </si>
  <si>
    <t>Nondiscrimination is ... to eliminate any societal bias based on sensitive attributes, such as race, gender or religion ... it is crucial that decisions influenced by any machine-learning model are free of any unnecessary bias.</t>
  </si>
  <si>
    <t>Individual consistency, Other</t>
  </si>
  <si>
    <t>Provides an explicit, testable operationalization of individual fairness violation (discriminatory input pairs over sensitive attributes with a tunable discrimination threshold) and an automated testing-and-retraining pipeline, but does not address post-deployment monitoring or revision processes to keep fairness requirements valid over time.</t>
  </si>
  <si>
    <t>Black-box directed test generation: global uniform sampling to find discriminatory seeds; local neighborhood search guided by robustness with random/semi-directed/fully-directed probability updates (σv, σpr) to perturb non-sensitive features while varying sensitive features exhaustively; estimate discriminatory-input prevalence via repeated uniform sampling (LLN) and compute 95% CI; retraining module iteratively augments training data with random portions of discriminatory inputs from Test and accepts updates only if estimated discrimination decreases.</t>
  </si>
  <si>
    <t>Individual fairness violation via discriminatory input pairs differing only on sensitive parameters; discrimination magnitude |f(I)−f(I′)| compared to threshold γ; effectiveness measured as % discriminatory inputs among generated; fairness estimation via LLN; retraining effectiveness measured as reduction in estimated % discriminatory inputs (with 95% CI) and % improvement.</t>
  </si>
  <si>
    <t>Sensitive/discriminatory parameters Pd isc include gender (used in experiments), and paper cites race, religion as examples; fairness framed as nondiscrimination w.r.t. sensitive attributes. Evaluation task: US Census income prediction (&gt;$50k) with gender as Pd isc.</t>
  </si>
  <si>
    <t>Aeqitas has a completely automated module which guarantees a decrease in the percentage of discriminatory inputs in I ... to provide useful capabilities to a developer.</t>
  </si>
  <si>
    <t>If |f(I) − f(I′)| &gt; γ, then I is called a discriminatory input ... manifests the violation of (individual) fairness in f.</t>
  </si>
  <si>
    <t>P023</t>
  </si>
  <si>
    <t>γ discrimination threshold (user-supplied); in experiments γ=0 with Pd isc=gender; perturbation δ∈{−1,+1}; ∆v=0.001, ∆pr=0.001; termination by target # discriminatory inputs or time bound.</t>
  </si>
  <si>
    <t>We implemented Aeqitas and ... evaluated it on six state-of-the-art classifiers ... Aeqitas generates up to 70% discriminatory inputs ... and ... improve the fairness up to 94% ... Table 5 shows reduction in estimated % of discriminatory inputs (95% CI).</t>
  </si>
  <si>
    <t>P024 — Liu2018Delayed</t>
  </si>
  <si>
    <t>Liu2018Delayed</t>
  </si>
  <si>
    <t>Error parity, Other, Outcome parity</t>
  </si>
  <si>
    <t>Shows that static fairness constraints can worsen protected-group long-term outcomes under feedback, motivating fairness requirements that explicitly model delayed impact and measurement error; does not provide concrete deployment-time monitoring or revision processes.</t>
  </si>
  <si>
    <t>Model: two-group score distributions π_A, π_B over discrete score set X; success probability ρ(x); institution utility u(x); outcome Δ(x) as expected score change if selected. Evaluate fairness constraints by solving utility maximization under (i) no constraint, (ii) equal selection rate, (iii) equal TPR, then compute Δμ outcomes. Empirics: FICO TransUnion TransRisk 2003 scores (300–850), default label (≥90 days delinquency within 18–24 months), set c+=75, c−=−150; compare MaxUtil vs DemParity vs EqOpt across bank profit/loss ratios.</t>
  </si>
  <si>
    <t>Demographic parity (equal selection rates), equality of opportunity (equal TPR), MaxUtil utility U(τ); outcome metric is change in mean score Δμ_j(τ)=Σ_x π_j(x) τ_j(x) Δ(x); outcome curve maps selection rate β→Δμ.</t>
  </si>
  <si>
    <t>Key claim: static fairness constraints (DemParity/EqOpt) do not generally guarantee long-term improvement; can cause active harm in a one-step feedback model. Introduces 'outcome curve' and characterizes regimes; discusses measurement error and outcome-based alternative objective.</t>
  </si>
  <si>
    <t>Two groups A (protected/disadvantaged) and B; experiments on race groups (Black vs White non-Hispanic) using FICO credit scores.</t>
  </si>
  <si>
    <t>Defines Demographic Parity as equal selection rates: Σ_x π_A(x) τ_A(x) = Σ_x π_B(x) τ_B(x). Defines Equal Opportunity as equal true positive rates: TPR_A(τ_A) = TPR_B(τ_B), where TPR_j(τ)= (Σ_x π_j(x) ρ(x) τ(x)) / (Σ_x π_j(x) ρ(x)).</t>
  </si>
  <si>
    <t>P024</t>
  </si>
  <si>
    <t>Symbolic selection-rate thresholds: β_MaxUtil, harm threshold β0 (Δμ=0), outcome-optimal β*; plus group-dependent score thresholds (not given as fixed numbers).</t>
  </si>
  <si>
    <t>"We perform experiments on FICO credit score data from 2003 ... and show that under various models of bank utility and score change, the outcomes of applying fairness criteria are in line with our theoretical predictions."</t>
  </si>
  <si>
    <t>P025 — Zhang2018Adversarial</t>
  </si>
  <si>
    <t>Drift not addressed, Missing context assumptions, No revision process/ownership, Other</t>
  </si>
  <si>
    <t>Zhang2018Adversarial</t>
  </si>
  <si>
    <t>Multi-modal</t>
  </si>
  <si>
    <t>Error parity, Outcome parity</t>
  </si>
  <si>
    <t>Provides explicit, testable fairness constraints and an adversarial operationalization with offline evaluation across tasks, but treats fairness as a design-time model property without stakeholder elicitation, deployment monitoring, or revision governance.</t>
  </si>
  <si>
    <t>Adversarial debiasing: train predictor to minimize task loss L_P while reducing adversary’s ability to infer protected variable Z from Ŷ (DemParity) or from (Ŷ,Y) (EqOdds). Update rule uses ∇_W L_P − proj_{∇_W L_P}(∇_W L_A) − α∇_W L_A. Evaluate on (i) toy scenario, (ii) word-embedding analogies (gender subspace via PCA on gender word pairs), and (iii) UCI Adult income prediction with sex as protected attribute; report confusion matrices and subgroup FPR/FNR and z-tests for differences.</t>
  </si>
  <si>
    <t>Fairness constraints: Demographic Parity, Equality of Odds, Equality of Opportunity (Hardt et al. 2016). Uses group-wise error rates (FPR, FNR, TPR) and confusion matrices; reports achieving equality of odds within ~1% across sex groups on UCI Adult.</t>
  </si>
  <si>
    <t>Focus is model-level mitigation via adversarial learning; provides theoretical guarantees under convex/concave assumptions and discusses training instability/local minima and hyperparameter scheduling (α). No deployment monitoring/revision process.</t>
  </si>
  <si>
    <t>Protected variable Z (examples: gender; zip code as proxy). Experiments report subgroup metrics for sex (Male vs Female); discussion references race/ethnicity and gender.</t>
  </si>
  <si>
    <t>Defines Demographic Parity: Ŷ ⟂ Z, i.e., P(Ŷ=ŷ)=P(Ŷ=ŷ|Z=z). Defines Equality of Odds: (Ŷ ⟂ Z)|Y, i.e., P(Ŷ=ŷ|Y=y)=P(Ŷ=ŷ|Z=z,Y=y). Defines Equality of Opportunity as conditional independence on Y=y.</t>
  </si>
  <si>
    <t>P025</t>
  </si>
  <si>
    <t>Example operational target: equality of odds achieved within 1% across protected groups (sex) on UCI Adult; no general deployment threshold policy specified.</t>
  </si>
  <si>
    <t>Reports empirical results on word analogies and UCI Adult; provides subgroup confusion matrices and FPR/FNR, noting debiasing yields near equality of odds with small accuracy change (86.0% vs 84.5%).</t>
  </si>
  <si>
    <t>P026 — Agarwal2018Reductions</t>
  </si>
  <si>
    <t>Uses constrained optimization (error minimization under DP/EO constraints) and reductions to cost-sensitive learning (exp-gradient saddle point) to produce randomized classifier with minimal empirical error; evaluates across multiple datasets and reports trade-off curves. Does not cover socio-technical governance or post-deployment lifecycle practices beyond offline evaluation.</t>
  </si>
  <si>
    <t>Agarwal2018Reductions</t>
  </si>
  <si>
    <t>Provides a general, testable operationalization of fairness requirements (DP/EO and other conditional-moment constraints) with explicit tolerance ε and strong algorithmic/finite-sample guarantees, but remains design-time and does not address stakeholder elicitation, deployment monitoring, or requirements revision over time.</t>
  </si>
  <si>
    <t>Reduces fair classification (empirical constrained optimization) to repeated cost-sensitive classification via Lagrangian saddle-point game between Q-player and λ-player; solves with exponentiated gradient algorithm. Uses black-box cost-sensitive learner (e.g., weighted logistic regression, gradient-boosted trees). Finite-sample/statistical guarantees via Rademacher complexity; explores accuracy–fairness trade-offs via varying ε and (optionally) grid search for small constraint sets.</t>
  </si>
  <si>
    <t>DP and EO constraints expressed as conditional moment (expectation) equalities/inequalities; constraint violation measured as max_a |E[h(X)|A=a] − E[h(X)]| for DP and max_{a,y} |E[h(X)|A=a,Y=y] − E[h(X)|Y=y]| for EO. Uses cost-sensitive classification reduction and returns randomized classifier Q over H minimizing empirical error under constraints.</t>
  </si>
  <si>
    <t>Core contribution is an algorithmic RE-style operationalization: fairness requirements as explicit linear constraints with tolerance ε, solved via reductions to cost-sensitive classification; provides finite-sample guarantees and does not require protected attribute at test time (though experiments include A in X for fair comparison). No monitoring/revision lifecycle process.</t>
  </si>
  <si>
    <t>Protected attribute A (pre-defined; examples include race, sex; also discusses proxy features like zipcode correlated with race). Experiments: Adult (gender; also gender+race as combined attribute), COMPAS (race: Black vs White), LSAC bar passage (race: Black vs White), Dutch census (gender).</t>
  </si>
  <si>
    <t>Defines Demographic Parity (DP): h(X) ⟂ A, i.e., P[h(X)=ŷ|A=a]=P[h(X)=ŷ] (equiv. E[h(X)|A=a]=E[h(X)]). Defines Equalized Odds (EO): h(X) ⟂ A | Y, i.e., P[h(X)=ŷ|A=a,Y=y]=P[h(X)=ŷ|Y=y] (equiv. E[h(X)|A=a,Y=y]=E[h(X)|Y=y]). Expresses fairness as linear inequalities on conditional moments Mμ(h) ≤ c.</t>
  </si>
  <si>
    <t>P026</t>
  </si>
  <si>
    <t>Constraint slack ε used as tolerance: ε ∈ {0.001, …, 0.1}; sets ĉ_k = ε for all constraints to allow small violations. Mentions four-fifths rule (4/5) as motivation for DP.</t>
  </si>
  <si>
    <t>Evaluates reductions vs baselines (post-processing, reweighting, relabeling, unconstrained) on Adult, COMPAS, LSAC bar passage, and Dutch census; plots test error vs fairness-constraint violation with confidence intervals.</t>
  </si>
  <si>
    <t>P027 — Binns2018</t>
  </si>
  <si>
    <t>Drift not addressed, Missing context assumptions, No revision process/ownership, No thresholds / acceptance criteria, Other</t>
  </si>
  <si>
    <t>Conceptual/philosophical paper that clarifies the normative assumptions behind different fairness metrics and why metric choice is context-dependent; strong for RQ1 (cross-disciplinary translation) and framing trade-offs, but does not provide an implementable lifecycle process, thresholds, monitoring, or empirical evaluation.</t>
  </si>
  <si>
    <t>Binns2018</t>
  </si>
  <si>
    <t>Surveys and critiques operational fairness measures (disparate impact/demographic parity, accuracy equity, conditional accuracy, equality of opportunity, disparate mistreatment/FPR differences, counterfactual fairness) and highlights impossibility results requiring trade-offs among metrics.</t>
  </si>
  <si>
    <t>The paper argues that metric choices embed normative assumptions from political philosophy, and that the appropriateness of a fairness measure depends on social context (e.g., spheres of justice, luck egalitarianism, historical injustice), not just statistical properties.</t>
  </si>
  <si>
    <t>Provides a cross-disciplinary (political philosophy) grounding that clarifies why fairness metrics encode contested normative commitments and must be chosen contextually, but does not supply testable acceptance thresholds, validation protocols, or monitoring/revision mechanisms to maintain fairness requirements over time.</t>
  </si>
  <si>
    <t>Conceptual synthesis: maps fairness metrics and trade-offs in fair ML to debates in political philosophy (discrimination, egalitarianism, spheres of justice, luck egalitarianism, deontic justice, distributive vs representational harms). Provides implications for how to choose/justify fairness notions in context rather than prescribing a single metric.</t>
  </si>
  <si>
    <t>Discusses/compares operational fairness definitions: disparate impact/statistical (demographic) parity; accuracy equity; conditional accuracy equity; equality of opportunity; disparate mistreatment (FPR differences); counterfactual fairness; and notes incompatibility results (Kleinberg et al. 2016).</t>
  </si>
  <si>
    <t>Use as evidence that fairness requirements need environment/context modeling and explicit justification of metric choice; highlights that protected-class lists can be too narrow/static and that historical/social context (deontic justice) matters.</t>
  </si>
  <si>
    <t>Discusses protected characteristics (race, gender, religion) as salient groups in algorithmic decision-making; examples include loans, insurance, employment, recidivism prediction; also discusses representational harms (e.g., word embeddings).</t>
  </si>
  <si>
    <t>Emphasizes that fairness decisions involve ethical trade-offs, legitimacy of variables, and consideration of broader social harms beyond the immediate decision context, implying governance and accountability requirements for selecting and justifying metrics.</t>
  </si>
  <si>
    <t>Poses the core specification problem: "What does it mean for a machine learning model to be ‘fair’, in terms which can be operationalised?" and analyzes how different mathematical definitions correspond to different philosophical accounts of justice and discrimination.</t>
  </si>
  <si>
    <t>Narrative goal, Other</t>
  </si>
  <si>
    <t>P027</t>
  </si>
  <si>
    <t>P028 — Elzayn2019</t>
  </si>
  <si>
    <t>Missing context assumptions, No revision process/ownership, Other</t>
  </si>
  <si>
    <t>Strong operationalization of fairness constraints for allocation with explicit discovery model assumptions; includes learning under censored feedback and feedback-loop motivation. Empirical evaluation is simulation/offline using reported-crime data; does not provide stakeholder elicitation, deployment monitoring plan, or change-management governance.</t>
  </si>
  <si>
    <t>Elzayn2019</t>
  </si>
  <si>
    <t>Defines allocative fairness via discovery probability fi(vi)=E[disc(vi,ci)/ci] and α-fairness requiring |fi(vi)−fj(vj)|≤α; introduces discovery models (precision: disc=min(ci,vi); random: hypergeometric sampling) and learning algorithm under censored feedback using MLE (Poisson) + repeated computation of optimal α-fair allocations.</t>
  </si>
  <si>
    <t>Motivated by feedback loops in predictive policing (arrest data misestimates true crime rates) and frames fairness as equality of opportunity for candidates (e.g., conditional on committing a crime, arrest probability should be independent of district).</t>
  </si>
  <si>
    <t>Defines explicit, testable fairness constraints for resource allocation (via discovery probability) and provides learning algorithms with finite-sample guarantees under censored feedback plus empirical evaluation on predictive policing data, but does not address stakeholder elicitation, production monitoring, or revision governance for maintaining fairness requirements over time.</t>
  </si>
  <si>
    <t>Models allocation as V units across G groups with unknown candidate-count distributions Ci and discovery model disc(vi,ci). Computes optimal α-fair allocations offline (Algorithm 1, greedy with tail probabilities) and learns online under censored feedback in precision model by repeatedly estimating Ci via MLE (Poisson family) and recomputing optimal α-fair allocation (Algorithm 2), with finite-sample bounds on parameter error and resulting (α+4D)-fairness/utility gap (D=TV distance).</t>
  </si>
  <si>
    <t>Discovery probability per group fi(vi)=E[disc(vi,ci)/ci]; fairness violation as max_{i,j}|fi−fj|; utility χ(v)=Σ_i E_{ci∼Ci}[disc(vi,ci)] (expected discovered candidates). Price of Fairness PoF(α)=χ(w*)/χ(wα) (and inverse PoF in plots).</t>
  </si>
  <si>
    <t>Key link to RQ3: makes feedback loops explicit and shows how a learning algorithm can avoid under-exploration under censored feedback. Still primarily pre-deployment/offline evaluation rather than production monitoring.</t>
  </si>
  <si>
    <t>Groups are districts (predictive policing) and demographics (lending/hiring examples; e.g., racial groups, demographics on ad platform). Fairness goal: candidate-level equality of opportunity across groups.</t>
  </si>
  <si>
    <t>Discusses deployment-time learning from its own allocations (arrest data) creating feedback loops, and designs algorithms that provably overcome under-exploration; frames fairness constraints over districts/demographics in policing and hiring allocation contexts.</t>
  </si>
  <si>
    <t>Allocative fairness definition: for any α∈[0,1], allocation v is α-fair if |fi(vi,disc,Ci) − fj(vj,disc,Cj)| ≤ α for all groups i,j, where fi(vi)=E_{ci∼Ci}[disc(vi,ci)/ci].</t>
  </si>
  <si>
    <t>P028</t>
  </si>
  <si>
    <t>Fairness slack/violation budget α (unfairness budget) varied, e.g., α in [0,0.15] in Pareto/frontier plots; examples discuss α=0.05 and α≈0.1 (10% discovery-probability difference) regimes.</t>
  </si>
  <si>
    <t>Empirical evaluation on Philadelphia Crime Incidents dataset: verifies Poisson fit per district, simulates censored observations under precision model, compares learned vs optimal Pareto frontiers (crimes discovered vs fairness violation), and analyzes Price of Fairness curves for different V.</t>
  </si>
  <si>
    <t>P029 — Hu2019</t>
  </si>
  <si>
    <t>The paper contributes a formal, testable model showing that unequal manipulation costs yield systematic inequality-reinforcing classification errors (FP benefiting advantaged group; FN harming disadvantaged group) even when the learner knows costs, and that subsidy interventions can paradoxically harm both groups’ welfare. Strong conceptual/analytical contribution but no lifecycle monitoring/revision or acceptance thresholds for fairness requirements.</t>
  </si>
  <si>
    <t>Hu2019</t>
  </si>
  <si>
    <t>Formalizes a strategic classification Stackelberg game with two groups A (advantaged) and B (disadvantaged) where manipulation costs differ (cA(y)−cA(x) ≤ cB(y)−cB(x)); analyzes equilibrium learner classifiers and shows inevitable asymmetric error patterns under heterogeneous manipulation costs.</t>
  </si>
  <si>
    <t>Frames strategic manipulation as shaped by social inequality: groups face different costs to feature manipulation due to structural factors (resources, access), which can reinforce existing patterns of advantage/disadvantage in consequential decision systems.</t>
  </si>
  <si>
    <t>Provides an explicit, formal analysis of how unequal costs of strategic manipulation produce inequality-reinforcing errors and can make even well-intentioned interventions (subsidies) harmful, but does not provide elicitation artifacts, operational fairness acceptance thresholds, or monitoring/revision governance for maintaining fairness requirements over time.</t>
  </si>
  <si>
    <t>Define Strategic Classification Game with Groups (Stackelberg): learner publishes classifier f; candidates manipulate features y ≥ x if it flips outcome and manipulation cost &lt; 1; analyze equilibrium (undominated learner strategies) in 1D and dD with linear costs; characterize systematic error types (FP on advantaged group, FN on disadvantaged group) and analyze subsidy interventions (proportional/flat) via resulting equilibrium shifts and welfare effects.</t>
  </si>
  <si>
    <t>Learner loss/penalty based on false positives and false negatives (CFP/CFN) under strategic best responses; candidate welfare modeled as payoff f(y) − (cm(y)−cm(x)) (and subsidy-adjusted costs). Group-level impacts analyzed via equilibrium error regions and welfare comparisons.</t>
  </si>
  <si>
    <t>Useful primarily for RQ3/RQ4 framing: shows how post-publication agent adaptation and unequal capacity to respond can invalidate naive fairness expectations and create unintended harms; emphasizes agent welfare rather than only accuracy.</t>
  </si>
  <si>
    <t>Abstracts groups as advantaged (A) vs disadvantaged (B); motivates with protected attributes like race and gender and resource-access differences affecting ability to manipulate features (e.g., test prep access).</t>
  </si>
  <si>
    <t>Highlights sociotechnical consequences of deployment: publishing a classifier changes agent behavior; unequal capacity to respond yields inequality-reinforcing outcomes; considers an intervention (learner subsidies) and shows cases where subsidies improve learner utility but reduce welfare for both groups.</t>
  </si>
  <si>
    <t>Model requirement/assumption: for all x∈[0,1]^d and y ≥ x, manipulation cost differences satisfy cA(y)−cA(x) ≤ cB(y)−cB(x) (disadvantaged group faces higher costs). Learner objective penalizes false positives/negatives under equilibrium with strategic best responses.</t>
  </si>
  <si>
    <t>P029</t>
  </si>
  <si>
    <t>Formal verification</t>
  </si>
  <si>
    <t>Provides theoretical equilibrium characterizations (propositions/theorems) showing inequality-reinforcing error structure under heterogeneous manipulation costs and constructing counterexamples where subsidies reduce welfare for both groups.</t>
  </si>
  <si>
    <t>P030 — Milli2019</t>
  </si>
  <si>
    <t>Governance absent, No revision process/ownership, Other</t>
  </si>
  <si>
    <t>Introduces explicit operational constructs for the impact of strategy-robust classifiers on individuals (social burden) and proves an inherent trade-off between institutional strategic utility and burden. Extends to fairness by defining group burdens and social gap, proving robustness can worsen disparities under feature- or cost-based disadvantage, and illustrates with FICO (white vs black) case study. Does not provide stakeholder elicitation, monitoring, or revision governance.</t>
  </si>
  <si>
    <t>Milli2019</t>
  </si>
  <si>
    <t>Formalizes strategic classification with best-response feature manipulation under outcome-monotonic costs; shows any gain in institutional (strategic) utility necessarily increases social burden B+(f) on positive individuals, with threshold classifiers on outcome likelihood τ capturing the trade-off interval between non-strategic τ0 and Stackelberg τ* solutions.</t>
  </si>
  <si>
    <t>Motivates strategic behavior in high-stakes decisions via Goodhart/Campbell’s Law (“Once a measure becomes a target, it ceases to be a good measure”) and argues robustness against gaming can create negative externalities and fairness harms, especially for disadvantaged subpopulations.</t>
  </si>
  <si>
    <t>Contestability/recourse, Other, Procedural fairness</t>
  </si>
  <si>
    <t>Defines measurable constructs (social burden and social gap) showing that improving strategic robustness increases costs borne by positive individuals and can widen disparities for disadvantaged groups, but does not provide stakeholder elicitation artifacts or deployment-time monitoring/revision mechanisms to govern these requirements over time.</t>
  </si>
  <si>
    <t>Model: binary classifier published by institution; individuals best respond by choosing x′ maximizing u_x(f,x′)=f(x′)−c(x,x′). Assume outcome-monotonic costs so cost depends only on outcome likelihood ℓ(x)=P(Y=1|X=x). Show any classifier has equivalent outcome-likelihood threshold classifier f_τ. Prove U_Δ(τ) quasiconcave and B+(τ) non-decreasing; improving institutional utility implies higher social burden. Extend to subpopulations with group-specific burden and prove social gap increases with τ when disadvantaged in features or costs. Empirically illustrate assumptions and gaps with FICO credit score dataset (white vs black).</t>
  </si>
  <si>
    <t>Institutional (strategic) utility U_Δ(f)=P(f(Δ(x))=y); non-strategic utility U(f)=P(f(x)=y). Social burden B+(f)=E[b_f(x) | y=1] with b_f(x)=min_{f(x′)=1} c(x,x′). Group burden B+,g and social gap G(f)=B+,b−B+,a. Uses thresholds on outcome likelihood τ (or score threshold in FICO example, e.g., τ=58 prime loan threshold) to trace trade-off curves.</t>
  </si>
  <si>
    <t>Strong support for RQ3: shows a mechanism by which post-deployment adaptation (gaming) and robustness responses can shift burdens and exacerbate group disparities, motivating requirements-level acceptance criteria beyond accuracy. Focus is analytical + offline case study, not operational monitoring.</t>
  </si>
  <si>
    <t>Race-based subpopulations in case study: a=white, b=black (FICO credit data). Also discusses disadvantaged subpopulations by gender, socioeconomic status, and other protected attributes in general framing.</t>
  </si>
  <si>
    <t>Defines and analyzes group-specific social burden B+,g and social gap G(f)=B+,b−B+,a; proves strategic robustness increases disparity when groups differ in feature distributions or manipulation costs; illustrates with FICO lending case study (white vs black) and discusses societal implications of raising decision thresholds.</t>
  </si>
  <si>
    <t>Defines social burden requirement construct: individual burden b_f(x)=min_{f(x′)=1} c(x,x′); social burden B+(f)=E[b_f(x) | y=1]. Under outcome-monotonic costs, any classifier is equivalent to an outcome-likelihood threshold classifier f_τ(x)=I{ℓ(x)≥τ}, enabling explicit trade-offs between institutional utility U_Δ(τ) and social burden B+(τ).</t>
  </si>
  <si>
    <t>P030</t>
  </si>
  <si>
    <t>Non-strategic threshold τ0=0.5 (in likelihood space); strategic/Stackelberg optimum τ≥τ0; trade-off interval [τ0,τ]. In FICO case study, uses score threshold τ=58 for prime loans (score normalized 0–100).</t>
  </si>
  <si>
    <t>Formal verification, Offline evaluation</t>
  </si>
  <si>
    <t>Theoretical proofs establish utility–burden trade-offs and monotonic social gap results; a case study on FICO credit data empirically illustrates assumptions (monotonic repayment probability vs score) and plots social gap vs threshold under linear cost models.</t>
  </si>
  <si>
    <t>P031 — Ustun2019</t>
  </si>
  <si>
    <t>Healthcare</t>
  </si>
  <si>
    <t>Strong preference-based fairness operationalization (rationality + envy-freeness) grounded in beneficence/non-maleficence; explicit, testable constraints in terms of group generalization error; adaptive decoupling procedure with statistical tests to detect preference violations and guard against intersectional gerrymandering; empirical validation on multiple datasets. Does not cover deployment monitoring or revision governance under distribution shift.</t>
  </si>
  <si>
    <t>Ustun2019</t>
  </si>
  <si>
    <t>Defines preference guarantees for decoupled classifiers: rationality R_z(ĥ_z) ≤ R_z(ĥ_0) (vs pooled) and envy-freeness R_z(ĥ_z) ≤ R_z(ĥ_{z′}) (vs other groups), in terms of true risk/generalization error; proposes recursive decoupling over sensitive attributes with finite-sample conditions (Theorem 2) and a grow+prune tree procedure; trains linear models via 0-1 loss minimization using integer programming.</t>
  </si>
  <si>
    <t>Argues that in domains like medicine, using sensitive attributes (treatment disparity) can be acceptable when aligned with ethical principles: beneficence (do the best for each group) and non-maleficence (do no harm), so any group-specific modeling should be in each group’s best interest.</t>
  </si>
  <si>
    <t>Provides explicit, testable preference-based fairness requirements (rationality and envy-freeness) and an adaptive decoupling procedure with finite-sample guarantees and empirical validation, but does not address deployment-time monitoring, drift handling, or revision governance to keep these requirements valid over time.</t>
  </si>
  <si>
    <t>Train pooled classifier ĥ_0 and candidate decoupled classifiers for groups; ensure training-time preference satisfaction via direct 0-1 loss minimization (Remark 1). Provide finite-sample sufficient condition for generalization-error preference guarantees (Theorem 2). Learn an adaptive decoupling tree by recursively splitting on feasible sensitive attributes and scoring splits by a bound on preference-violation probability. Prune candidate trees using hold-out set with McNemar tests for rationality/envy-freeness, control multiple testing with Bonferroni, and select remaining tree minimizing a cost (e.g., worst-case group risk).</t>
  </si>
  <si>
    <t>Group-wise true risk (generalization error) R_z(h) and empirical risk Ŕ_z(h); preference gaps Δ_z(h,h′)=R_z(h)−R_z(h′) and empirical gaps; count of preference violations tested via McNemar test; worst-case group risk max_z R_z(h_a(z)) and population risk Σ_z π_z R_z(h_a(z)) as optional objectives.</t>
  </si>
  <si>
    <t>Maps well to RQ2: explicit requirements as generalization-error constraints; also provides concrete acceptance testing procedure (McNemar + Bonferroni) that can be interpreted as a validation oracle. Limited RQ3 coverage: no post-deployment monitoring/revision; assumes static data distributions.</t>
  </si>
  <si>
    <t>Sensitive attributes such as gender, ethnicity, age; experiments include multiple sensitive attributes (e.g., Adult: gender, immigrant, marital status; COMPAS recidivism; medical datasets for sleep apnea and lung cancer) with atomic intersectional groups Z.</t>
  </si>
  <si>
    <t>Frames fairness as group preference satisfaction under potential reporting/misreporting of sensitive attributes; warns about ‘gerrymandering’ across intersectional groups and uses atomic-group preference constraints to prevent harm to small subgroups; uses hypothesis testing (McNemar + Bonferroni) on hold-out/test data to detect preference violations.</t>
  </si>
  <si>
    <t>Preference-based fairness requirements: (Rationality) R_z(ĥ_z) ≤ R_z(ĥ_0) for all z; (Envy-freeness) R_z(ĥ_z) ≤ R_z(ĥ_{z′}) for all z,z′, where R_z is true (generalization) error for group z. These constraints formalize ‘fairness without harm’ under beneficence/non-maleficence.</t>
  </si>
  <si>
    <t>P031</t>
  </si>
  <si>
    <t>Preference constraints are thresholded at 0 (no worse error): Δ_z(assigned, pooled) ≤ 0 and Δ_z(assigned, other) ≤ 0. Uses significance level 10% in pruning/tests; sample complexity condition in Theorem 2 requires n_z ≥ (64 ln|H| + 4 ln(2|Z|^2/δ))/ε̂_z^2 and ε̂_z&gt;0.</t>
  </si>
  <si>
    <t>Proves finite-sample conditions for preference guarantees (generalization-error bounds) and validates empirically on several real-world datasets (Adult, COMPAS, sleep apnea, lung cancer), reporting preference-violation counts on test data (McNemar, 10% level) and accuracy gains without violating preferences.</t>
  </si>
  <si>
    <t>P032 — Cotter2019</t>
  </si>
  <si>
    <t>Core contribution is a requirements-like interface for ML via explicit, testable rate constraints (including fairness constraints) and practical optimization for non-differentiable constraints. Strong operationalization: constraints over slices/groups, concrete slack/threshold examples, and verification via constraint-violation reporting. Provides both theory (game-theoretic equilibria, feasibility/optimality, support shrinking) and extensive offline experiments. Does not provide deployment monitoring or revision governance; focus is training-time constraint satisfaction and evaluation generalization.</t>
  </si>
  <si>
    <t>Cotter2019</t>
  </si>
  <si>
    <t>Formalizes many ML goals as explicit rate constraints on predictions (e.g., positive rate ≥ 0.8; statistical parity, equal opportunity/odds, minimum recall/accuracy, churn, etc.) and introduces proxy-Lagrangian constrained optimization for non-convex, non-differentiable constraints, yielding stochastic solutions with feasibility/optimality guarantees and a shrinking step to a mixture of ≤ m+1 deterministic models.</t>
  </si>
  <si>
    <t>Positions rate constraints as a practical interface to meet “societal, legal, and practical goals” and argues constraints have an absolute meaning that better reflects practitioner intent than weighted penalties, supporting easier verification of whether goals were achieved.</t>
  </si>
  <si>
    <t>Provides an explicit, testable constraint-based specification of fairness and other policy goals (rate constraints) plus optimization/verification procedures with theoretical guarantees and extensive experiments, but does not address post-deployment monitoring, drift handling, or revision governance to keep such constraints valid over time.</t>
  </si>
  <si>
    <t>Specify m rate constraints on datasets/slices D_k using indicator-based rates. Train models by constrained optimization: (i) Lagrangian game for non-convex constraints (mixed equilibria) with oracle-based θ-player and regret-minimizing λ-player; (ii) proxy-Lagrangian non-zero-sum game to handle non-differentiable constraints using proxy constraints for θ-player and original constraints for λ-player, converging to semi-coarse correlated equilibrium. Produce stochastic classifier (mixture over iterates) and shrink support to ≤ m+1 deterministic solutions via LP. Evaluate error and max constraint violation on train/validation/test across multiple datasets and constraints.</t>
  </si>
  <si>
    <t>Rate constraints over prediction rates p_+(D;θ), p_-(D;θ); fairness metrics expressible as rate constraints: statistical/demographic parity, equal opportunity, equal odds; plus “no lost benefits”, “not worse off”, minimum coverage/accuracy/recall; churn and loss-only churn; win-loss ratio; constraint violation magnitudes measured on train/valid/test.</t>
  </si>
  <si>
    <t>Useful for RQ2: shows how fairness requirements can be specified as constraints with absolute meaning (vs penalty weights) and verified via constraint violation; also provides group-specific policy goals like ‘not worse off’ and ‘no lost benefits’ that resemble change-control requirements for model updates, but still pre-deployment/offline.</t>
  </si>
  <si>
    <t>Fairness constraints applied to protected groups (e.g., gender, race; Adult and COMPAS use Black/White and Male/Female; Bank Marketing uses age quantiles). Also supports group/slice constraints more generally (countries, business type, etc.).</t>
  </si>
  <si>
    <t>Emphasizes practitioner-facing specification/verification of constraints across slices (groups, locales) and discusses policy-style goals like “no lost benefits” and “not worse off” for each group vs a baseline classifier, reflecting governance concerns about not harming important subsets during model updates, though without runtime monitoring governance.</t>
  </si>
  <si>
    <t>Defines constrained ERM: minimize empirical loss subject to m inequality constraints g_i(θ) ≤ 0, including rate constraints of the form Σ_k α_k p_+(D_k;θ) + β_k p_-(D_k;θ) ≤ κ (and examples like p_+(D[y=1];θ) ≥ 0.95 p_+(D[y=1];θ) for equal opportunity-style constraints).</t>
  </si>
  <si>
    <t>P032</t>
  </si>
  <si>
    <t>Example thresholds include: positive rate ≥ 0.8; equal opportunity at 95% (multiplicative slack 0.95) on Adult/COMPAS; additive slacks e.g., 2% demographic parity slack (Bank Marketing), 5% additive slack in COMPAS variant; minimum accuracy on steering examples 0.67; significance/selection heuristic uses max loss-rank vs constraint-violation rank (Eq. 18).</t>
  </si>
  <si>
    <t>Provides theoretical guarantees for approximate feasibility/optimality via (proxy-)Lagrangian game equilibria and proves existence/shrinking to ≤ m+1 support; extensive experiments on benchmark (Adult, COMPAS, Bank Marketing) and real-world datasets showing constraint satisfaction/violations and accuracy trade-offs.</t>
  </si>
  <si>
    <t>P033 — Golz2019</t>
  </si>
  <si>
    <t>Bridges ML fairness (equalized odds) with fair-division relational axioms under explicit cardinality constraints, exposing paradoxes and stability requirements across allocation instances. Strong formalization and operationalization with geometric characterization and polynomial-time algorithm, plus theory results showing: resource monotonicity can be satisfied ‘for free’; consistency forces uniform allocation; population monotonicity precludes constant-factor approximation, and empirically yields near-uniform efficiency. No stakeholder elicitation or deployment-time monitoring/revision mechanisms.</t>
  </si>
  <si>
    <t>Golz2019</t>
  </si>
  <si>
    <t>Extends equalized odds to cardinality-constrained classification/resource allocation (allocate k units) and provides a geometric characterization/algorithm for the optimal equalized-odds allocation under the cardinality line intersection with the maximum curve; defines efficiency as number of true positives under fixed k; proves compatibility/incompatibility results between equalized odds and fair-division axioms.</t>
  </si>
  <si>
    <t>Motivates fairness requirements for resource allocation under algorithmic decision-making (loans, admissions, parole) and argues that limited resources (exactly k positives) are ubiquitous, so fairness notions must be compatible with ‘paradox-avoiding’ relational axioms from fair division (resource monotonicity, consistency, population monotonicity).</t>
  </si>
  <si>
    <t>Error parity, Other</t>
  </si>
  <si>
    <t>Shows that under explicit resource/cardinality constraints, equalized odds can coexist with resource monotonicity but is severely incompatible with consistency and population monotonicity (forcing near-uniform allocations and large efficiency loss), highlighting governance-relevant paradoxes yet offering no deployment-time monitoring or revision mechanisms.</t>
  </si>
  <si>
    <t>Assume calibrated bucketed risk scores per group (g,p) with counts d^p_g. Choose allocations ℓ^p_g (divisible goods/probability of receiving item) subject to per-agent cap and total k. Compute signatures (mean allocation to positives/negatives) and enforce equalized odds by intersecting implementable signature sets S_g across groups plus the cardinality line. Prove axiomatic results: resource monotonicity compatible with optimal equalized odds; consistency + equalized odds implies uniform allocation; population monotonicity + equalized odds cannot approximate optimal EO by constant factor. Empirically evaluate efficiency loss on FICO dataset across k values.</t>
  </si>
  <si>
    <t>Equalized odds expressed via equal group TPR/FPR (in allocation form: equal mean allocation among positives and among negatives across groups). Efficiency objective is total allocation to positives (true positives) under fixed cardinality k. Evaluates efficiency loss (fraction of unfair optimum) for equalized-odds allocations under additional axioms; compares to uniform allocation and an upper bound for population monotonicity.</t>
  </si>
  <si>
    <t>Strong for RQ2 and RQ3 framing: shows that fairness constraints can conflict with ‘stability across instances’ requirements (consistency/population monotonicity), creating paradoxes that matter for governance/change scenarios. Still treated as offline allocation rule design; no runtime monitoring or revision process.</t>
  </si>
  <si>
    <t>Groups are protected subpopulations; empirical evaluation uses race groups on FICO credit scores (white, black, Hispanic, Asian) with buckets over credit-score values and calibrated repayment probabilities.</t>
  </si>
  <si>
    <t>Interprets fairness as stability/justifiability across changing allocation instances: resource monotonicity avoids decreasing anyone’s allocation when more resources appear; consistency links allocations across subpopulations (and would preclude Simpson’s paradox-like effects); population monotonicity captures ‘no one is worse off when others leave/join’—showing that some fairness constraints can yield counter-intuitive, hard-to-justify policy outcomes.</t>
  </si>
  <si>
    <t>Equalized odds allocation constraints: mean allocation to positive agents is equal across groups and mean allocation to negative agents is equal across groups; i.e., allocation signatures (L^+g/D^+_g, L^-_g/D^-_g) must match across groups, subject to a global cardinality constraint Σ{g,p} ℓ^p_g = k with 0 ≤ ℓ^p_g ≤ d^p_g.</t>
  </si>
  <si>
    <t>P033</t>
  </si>
  <si>
    <t>Cardinality constraint k (fixed number of positives/loans) is the key threshold-like parameter; allocations are threshold allocations within groups over calibrated probability buckets p, with a group threshold p* implied by the optimal equalized-odds solution for a given k.</t>
  </si>
  <si>
    <t>Provides theoretical proofs of compatibility/incompatibility (Theorems 2–4) and empirically evaluates efficiency loss of equalized-odds allocation rules satisfying each axiom on FICO credit score data.</t>
  </si>
  <si>
    <t>P034 — Passi2019</t>
  </si>
  <si>
    <t>Governance absent, Missing context assumptions, No thresholds / acceptance criteria, Other</t>
  </si>
  <si>
    <t>Ethnographic study of how fairness-relevant requirements emerge upstream through problem formulation (targets/proxies) in corporate data science. Strong for RQ1/RQ2 at ENV/SOC levels: shows discretionary, negotiated specification and operationalization, shaped by org incentives, data constraints, and legal limits. Provides an operational example (credit score &gt;500 threshold) but does not define formal fairness metrics, acceptance criteria, monitoring, or revision mechanisms.</t>
  </si>
  <si>
    <t>Passi2019</t>
  </si>
  <si>
    <t>Shows that ‘problem specification and operationalization’ are negotiated and elastic: teams translate goals into target variables and proxies (e.g., dealer decisions → credit score ranges → threshold at 500), and these choices determine downstream fairness properties and error burdens even before model training.</t>
  </si>
  <si>
    <t>Argues fairness concerns depend on upstream ‘problem formulation’ choices (target variables, proxies) and that normative assessments often take these for granted; fairness is shaped by discretionary translations of business goals into tractable ML problems, raising distinct ethical concerns across formulations.</t>
  </si>
  <si>
    <t>Other, Stakeholder goals</t>
  </si>
  <si>
    <t>Interviews, Other</t>
  </si>
  <si>
    <t>Conducted six months of ethnographic fieldwork including 50+ interviews across roles (data scientists, product managers, business analysts, executives) and grounded-theory coding; the project goal (‘lead quality’) was negotiated into specific target variables and proxies.</t>
  </si>
  <si>
    <t>Shows via ethnography that fairness is strongly determined by upstream problem formulation (targets, proxies, thresholds like credit score &gt;500) negotiated under organizational/legal constraints, but provides no formal fairness metrics, acceptance criteria, or lifecycle monitoring/revision mechanisms for maintaining fairness requirements over time.</t>
  </si>
  <si>
    <t>Qualitative ethnographic analysis of problem formulation work in a corporate ‘special financing’ lending project. Traces iterative translations from strategic goals to targets/proxies and shows how data availability, legal limits (FCRA), incentives, and costs drive operational definitions (e.g., dealer decisions proxy; then credit score ranges proxy; then &gt;500 threshold) that shape fairness implications and what gets optimized/measured.</t>
  </si>
  <si>
    <t>No formal fairness metrics; fairness is treated as normative/ethical evaluation of target/proxy choices (e.g., disparate impact depends on which target variable is chosen; mismeasurement and label bias can hide discrimination in standard performance metrics).</t>
  </si>
  <si>
    <t>Use as key evidence that fairness requirements are often implicit and negotiated during problem formulation, and that ‘requirements’ are instantiated as target variables/proxies shaped by organizational constraints; connects to RQ3 by highlighting that early formulation decisions are rarely revisited critically.</t>
  </si>
  <si>
    <t>Does not operationalize protected groups directly; discusses protected characteristics (race/gender) as potentially correlated with target variables and as sources of measurement bias (e.g., arrests as proxy for crime with racial bias), and uses lending/admissions examples where formulations can create disparate impact.</t>
  </si>
  <si>
    <t>Based on six months ethnographic fieldwork with a corporate data science team, highlighting the multi-actor negotiation (data scientists, product managers, business analysts, executives) and organizational constraints (data availability, legal constraints like FCRA, costs, incentives) that shape fairness-relevant requirements in practice.</t>
  </si>
  <si>
    <t>Demonstrates how high-level goals (‘improve lead quality’, ‘financeability’) were iteratively specified into tractable ML targets and proxies (e.g., predicting dealer-specific financeability; later classifying credit score above/below 500 as proxy for financeability), altering what “fairness” would mean and who is affected.</t>
  </si>
  <si>
    <t>Developers, Org leadership, Other</t>
  </si>
  <si>
    <t>P034</t>
  </si>
  <si>
    <t>Illustrative operational threshold in case study: credit score &gt; 500 used to define ‘financeable’ leads (binary classification proxy) after collapsing heterogeneous credit-score ranges.</t>
  </si>
  <si>
    <t>Other, User study</t>
  </si>
  <si>
    <t>Empirical evidence comes from ethnographic fieldwork and grounded-theory analysis (interviews, field notes) rather than quantitative model evaluation; validates claims by tracing decisions and negotiations across an observed project lifecycle.</t>
  </si>
  <si>
    <t>P035 — Selbst2019</t>
  </si>
  <si>
    <t>Drift not addressed, Governance absent, Missing context assumptions, No thresholds / acceptance criteria, Other</t>
  </si>
  <si>
    <t>Strong sociotechnical/STS critique that directly supports RQ1 and RQ3: shows why fairness requirements cannot be reduced to portable metrics/constraints and why guarantees fail when social actors and institutions are outside the abstraction boundary. Provides a process-oriented checklist and mitigation strategies, but no empirical case study or formal acceptance thresholds; no monitoring/revision mechanism beyond recommending process and documentation.</t>
  </si>
  <si>
    <t>Selbst2019</t>
  </si>
  <si>
    <t>Characterizes fair-ML as relying on abstraction/modularity (fairness metrics, constraints, portable wrappers) and identifies five ‘abstraction traps’ (Framing, Portability, Formalism, Ripple Effect, Solutionism) showing why purely technical framing/solutions can mis-specify requirements and invalidate fairness guarantees in deployment contexts.</t>
  </si>
  <si>
    <t>Argues that fairness, justice, and due process are properties of social and legal systems, and that abstracting away social context makes fair-ML interventions ineffective or dangerously misguided; emphasizes that social context determines what fairness means and which trade-offs are appropriate.</t>
  </si>
  <si>
    <t>Contestability/recourse, Contextual/legal compliance, Other, Procedural fairness</t>
  </si>
  <si>
    <t>Argues that treating fairness as a portable, formal property of a technical subsystem creates predictable ‘abstraction traps’ that can invalidate fairness guarantees in real sociotechnical contexts, motivating process- and governance-oriented requirements approaches but offering no concrete metrics, monitoring, or revision procedures.</t>
  </si>
  <si>
    <t>Conceptual/analytical synthesis grounded in STS and socio-legal scholarship; explains how abstraction choices determine what is measured and which fairness guarantees hold, and why guarantees can break when sociotechnical behavior deviates from modeled assumptions (e.g., judges’ inconsistent adoption of recommendations).</t>
  </si>
  <si>
    <t>Discusses common fairness metrics/constraints (e.g., disparate impact via EEOC 80% rule; error-rate parity; equal accuracy) and critiques treating them as complete fairness definitions. Uses illustrative ‘fairness guarantee’ examples with thresholds (e.g., disparity no more than X%) but does not propose a new metric.</t>
  </si>
  <si>
    <t>Key conceptual anchor for your ENV/DES/SOC axis and for ‘validity over time’ arguments: fairness definitions are contested and shifting, and insertion of tech changes the system (ripple effects), so static requirements/metrics can lose validity.</t>
  </si>
  <si>
    <t>Discusses protected groups and demographic information in fair-ML generally; uses examples including race in criminal justice risk assessment and employment/hiring contexts; highlights that fairness criteria must be tied to the relevant human outcome (e.g., detain-or-release) rather than only predicted labels.</t>
  </si>
  <si>
    <t>Emphasizes sociotechnical framing: fairness guarantees can fail when human institutions (e.g., judges) do not follow algorithmic thresholds consistently or modify decisions in biased ways; highlights how technologies reshape incentives/power (ripple effects), and why procedural/contextual/contestable notions of fairness require processes and governance beyond metrics.</t>
  </si>
  <si>
    <t>Defines the core problem as an ‘abstraction error’: treating fairness/justice as properties of a technical subsystem rather than end-to-end sociotechnical outcomes; proposes five traps as failure modes and a process-oriented checklist for deciding whether and how to design fair-ML systems (considering solutionism→ripple effects→formalism→portability→framing).</t>
  </si>
  <si>
    <t>P035</t>
  </si>
  <si>
    <t>Multi-task/Other</t>
  </si>
  <si>
    <t>Illustrative examples: EEOC ‘80% rule’ as threshold for disparate impact; hypothetical guarantee of ‘racial disparity in treatment no more than X%’ if thresholds are used. These are discussed critically rather than prescribed as acceptance criteria.</t>
  </si>
  <si>
    <t>Presents theory-driven analysis of abstraction failure modes (five traps) with grounding examples (risk assessment, hiring) and design-oriented mitigations; not an empirical evaluation of a specific algorithm.</t>
  </si>
  <si>
    <t>P036 — Creager2019</t>
  </si>
  <si>
    <t>Technical contribution: multi-attribute/subgroup fair representation learning with compositional test-time adaptation; clear formalization of demographic parity and auditing-based measurement. Strong RQ2 (operationalization) but limited on ENV/SOC: no stakeholder elicitation, governance, monitoring, or revision mechanisms; acknowledges distribution shift robustness as future work.</t>
  </si>
  <si>
    <t>Creager2019</t>
  </si>
  <si>
    <t>Proposes Flexibly Fair VAE (FFVAE) to learn representations that can be modified at test time (discard/noise sensitive latent dimensions) to achieve subgroup demographic parity across multiple sensitive attributes and their conjunctions; defines desiderata via independence constraints among latent subspaces and predictiveness MI alignment between sensitive attributes and designated latent dimensions.</t>
  </si>
  <si>
    <t>Motivates fairness as avoiding discriminatory behavior in high-stakes domains (law, finance, medicine) and notes legal/ethical constraints and practical/legal barriers to collecting sensitive attributes, motivating methods that can reduce discrimination even when sensitive attributes are unavailable at inference time.</t>
  </si>
  <si>
    <t>Other, Outcome parity</t>
  </si>
  <si>
    <t>Provides a formal, testable operationalization of multi-attribute subgroup demographic parity via flexibly fair representations and offline audits, but does not address sociotechnical governance, deployment-time monitoring, or how fairness validity is maintained under distribution shift.</t>
  </si>
  <si>
    <t>Train encoder FFVAE using multiple sensitive attributes at training time; at audit/test time, modify representation by dropping/noising sensitive latent dimensions to enforce subgroup demographic parity; evaluate via auditing scheme on held-out data: train downstream MLP on modified representation to predict held-out label y and report accuracy–DP trade-offs across groups and conjunctions; compare to baselines (β-VAE, FactorVAE, CVAE variants).</t>
  </si>
  <si>
    <t>Demographic parity distance (DP) for group/subgroup fairness; accuracy vs DP Pareto fronts in audits; disentanglement and predictiveness audits via classifiers to test whether sensitive attribute can be predicted from designated latent b_i and not from the remainder; uses held-out labels y for downstream tasks (e.g., XPosition, violentCrimesPerCapita, HeavyMakeup).</t>
  </si>
  <si>
    <t>Mark as multi-modal because evaluated on both tabular and image datasets. Note that fairness notion is primarily outcome parity (DP), not error parity. Highlights test-time adaptation without requiring sensitive attributes (useful in legally constrained settings).</t>
  </si>
  <si>
    <t>Multiple sensitive attributes a (binary vector) and their intersections/subgroups. Experiments use (i) DSpritesUnfair: sensitive attributes Shape and Scale; (ii) Communities &amp; Crime: racePctBlack, blackPerCapIncome, pctNotSpeakEnglWell; (iii) CelebA: Chubby, Eyeglasses, Male.</t>
  </si>
  <si>
    <t>Fairness criterion is demographic parity (ŷ ⟂ a). Uses demographic parity distance DP = |E[ŷ=1|a=1] − E[ŷ=1|a=0]|, and extends to multi-attribute/subgroup fairness by requiring independence w.r.t. each sensitive attribute and conjunctions; enables compositional adaptation by removing the corresponding latent dimensions {b_j}.</t>
  </si>
  <si>
    <t>P036</t>
  </si>
  <si>
    <t>Empirical evaluation on synthetic DSpritesUnfair plus real datasets Communities &amp; Crime (tabular) and CelebA (images), reporting fairness–accuracy trade-offs across multiple sensitive attributes and subgroups.</t>
  </si>
  <si>
    <t>P037 — Zhang2019TKDE</t>
  </si>
  <si>
    <t>Strong RQ2 operationalization paper: formalizes discrimination as causal path-specific effects (direct vs indirect) with explicit threshold t; provides algorithms for discovery and removal with utility-preserving optimization, plus treatment of unidentifiable indirect effects via bounds (recanting witness/kite pattern). Evaluates on real datasets and checks downstream prediction discrimination. Limited on SOC/over-time: no monitoring or revision process; focuses on pre-release data remediation and offline evaluation; acknowledges future work on fair predictive models.</t>
  </si>
  <si>
    <t>Zhang2019TKDE</t>
  </si>
  <si>
    <t>Models direct and indirect discrimination as causal path-specific effects in a causal graph; provides criteria (SE_pd, SE_pi &gt; t) and algorithms (PSE-DD discovery; PSE-DR removal via optimizing modified CPT of decision node under discrimination constraints) including handling unidentifiable indirect effects via upper/lower bounds.</t>
  </si>
  <si>
    <t>Frames anti-discrimination as a legal/ethical requirement, citing laws like the Equal Credit Opportunity Act and distinguishing direct vs indirect discrimination (e.g., redlining via ZIP code as proxy for race), motivating non-discrimination constraints on data and decisions.</t>
  </si>
  <si>
    <t>Provides a causal, testable specification of direct and indirect discrimination (path-specific effects with legal threshold t) and utility-preserving removal algorithms with bounds for unidentifiable cases, but does not address sociotechnical governance or how fairness requirements remain valid under deployment-time drift.</t>
  </si>
  <si>
    <t>1) Learn causal graph (e.g., PC algorithm via TETRAD). 2) Compute SE_pd and SE_pi using path-specific effect formulas; if recanting witness criterion holds, compute bounds ub/lb for SE_pi. 3) Discovery flags direct/indirect discrimination when SE&gt;t. 4) Removal: solve quadratic program to modify CPT P(e|pa_E) minimizing Euclidean/χ² distance between joint distributions subject to discrimination constraints; generate modified dataset from resulting causal model; re-test discrimination and evaluate downstream classifier outcomes.</t>
  </si>
  <si>
    <t>Causal path-specific effects (SE_pd for direct; SE_pi for indirect) computed from observational data on a learned causal graph using truncated factorization; discrimination threshold t (default 0.05; examples include 0.05 legal threshold) used as acceptance bound. Also reports utility loss as χ² distance between original and modified joint distributions; evaluates downstream classifier discrimination after preprocessing.</t>
  </si>
  <si>
    <t>Maps well to your ‘requirements as testable constraints’ theme: explicit acceptance bound t and a decision rule (modify CPT) tied to measured discrimination effects. Also provides a clear example of how legal/causal notions translate into measurable requirements.</t>
  </si>
  <si>
    <t>Protected attribute C examples include sex, race, age; redlining (unjustified) attributes R include ZIP code / marital_status / education level etc. Experiments: Adult (protected=sex, decision=income, redlining=marital_status and others in unidentifiable setting); Dutch Census (protected=sex, decision=occupation, redlining=marital_status).</t>
  </si>
  <si>
    <t>Defines direct discrimination as pd-specific effect SE_pd(c⁺,c) along C→E and indirect discrimination as pi-specific effect SE_pi(c⁺,c) along paths through redlining attributes R; discrimination exists if SE &gt; t for either direction, where t is a user-defined legal threshold (e.g., 0.05 in British sex-discrimination legislation).</t>
  </si>
  <si>
    <t>Auditors/Compliance, Developers, Other, Regulators</t>
  </si>
  <si>
    <t>P037</t>
  </si>
  <si>
    <t>Discrimination threshold t: default 0.05 (varied 0.025–0.1); cites example legal threshold t=0.05. Constraints require SE_pd and SE_pi ≤ t (both directions) after removal.</t>
  </si>
  <si>
    <t>Experiments on Adult and Dutch Census datasets evaluate discrimination discovery/removal, utility loss, and whether classifiers trained on modified data still produce discriminatory predictions; also analyzes unidentifiable situations via bounds and compares refined vs crude removal.</t>
  </si>
  <si>
    <t>P038 — Wick2019</t>
  </si>
  <si>
    <t>Key paper for your RQ2/RQ3 framing around ‘requirements validity’ and evaluation: argues fairness–accuracy trade-off can be an evaluation artifact when labels are biased; introduces controlled simulation with latent unbiased labels to evaluate accuracy properly. Provides explicit, testable operationalization of demographic parity selection-rate constraints and a semi-supervised method that uses fairness constraints on unlabeled data to improve both fairness and accuracy under label and selection bias. No monitoring/revision/governance mechanisms beyond offline evaluation; assumptions (“we’re all equal”) are critical and may not hold.</t>
  </si>
  <si>
    <t>Wick2019</t>
  </si>
  <si>
    <t>Defines a group fairness constraint based on statistical parity of selection rates on unlabeled data (difference in mean predicted positive probability between protected and unprotected groups) and uses it as a differentiable loss term in semi-supervised training (posterior regularization / generalized expectation) to improve both fairness and accuracy under label and selection bias.</t>
  </si>
  <si>
    <t>Frames fairness as an externally supplied rule (e.g., government/legal standards) imposed on learning algorithms; discusses protected attributes (race, gender, religion) and references legal grounding such as U.S. 4/5ths rule, highlighting how evaluation practices must account for label/selection bias when interpreting fairness–accuracy trade-offs.</t>
  </si>
  <si>
    <t>Shows that apparent fairness–accuracy trade-offs can disappear when evaluation accounts for label/selection bias and proposes a semi-supervised fairness-constraint method that can improve both, but does not provide deployment-time monitoring or explicit acceptance thresholds/governance for maintaining fairness requirements over time.</t>
  </si>
  <si>
    <t>Simulate datasets with controlled label bias (y sampled from z with bias parameter α conditioned on protected attribute) and controlled selection bias in training set (parameter β); evaluate classifiers by sweeping fairness enforcement strength and plotting fairness vs accuracy when accuracy is computed on biased vs unbiased ground truth; propose semi-supervised objective combining supervised NLL on labeled data with fairness loss on unlabeled data, optimized via SGD in standard toolkits.</t>
  </si>
  <si>
    <t>Fairness measured by selection rate ratio ḡ_w(D^P)/ḡ_w(D^U) (perfect fairness=1). Accuracy measured via weighted macro F1, evaluated against both biased labels y and simulated/unbiased labels z. Studies fairness–accuracy curves under varying label-bias parameter α and selection-bias parameter β; compares supervised baseline, in-processing fairness regularizer, reweighing pre-processing, and proposed semi-supervised method.</t>
  </si>
  <si>
    <t>Useful synthesis point: shows why fairness requirements tied to biased labels can create misleading acceptance decisions; supports your ‘specification + validation must align’ argument. Treat as ‘evaluation validity’ rather than deployment monitoring.</t>
  </si>
  <si>
    <t>Binary protected attribute ρ representing protected vs unprotected groups; examples include race, gender, religion. Experiments use simulated data and COMPAS-derived data with protected attribute and biased/unbiased labels (y vs latent unbiased z).</t>
  </si>
  <si>
    <t>Uses a demographic-parity-style constraint on selection rates: want ḡ_w(D^P_un)/ḡ_w(D^U_un) close to 1 (parity), relaxed to a differentiable loss C(D_un,w) = (p̄_w(D^P_un) − p̄_w(D^U_un))^2 with parity achieved at 0, applied over large unlabeled datasets.</t>
  </si>
  <si>
    <t>P038</t>
  </si>
  <si>
    <t>Mentions U.S. 4/5ths rule as legal grounding for statistical parity selection-rate constraints (no explicit numeric threshold used as acceptance criterion in experiments; fairness target is ratio≈1 / loss=0).</t>
  </si>
  <si>
    <t>Empirical study on simulated data (Bayesian network generator) and COMPAS-derived data, varying label/selection bias and comparing baselines; reports mean and standard error over repeated runs/splits.</t>
  </si>
  <si>
    <t>P039 — Polyzotis2019</t>
  </si>
  <si>
    <t>Drift not addressed, Monitoring without triggers, No thresholds / acceptance criteria, Other</t>
  </si>
  <si>
    <t>SysML 2019 paper describing TensorFlow Data Validation within TFX. Strong operational RE relevance: explicit schema constraints, monitoring signals, drift/skew metrics, and an iterative human-in-the-loop workflow (schema inference + suggested edits + versioning) plus schema-guided fuzz/unit tests for training code. Empirical support comes from production deployment stats and case studies rather than controlled experiments. Fairness is not a primary focus, but the work is directly about monitoring/validation and preventing silent failures in ML pipelines.</t>
  </si>
  <si>
    <t>Polyzotis2019</t>
  </si>
  <si>
    <t>Describes a deployed data validation system (part of TFX/TF Data Validation) with three components: Data Analyzer (summary statistics), Data Validator (schema-based anomaly detection + suggested schema updates), and Model Unit Tester (schema-guided synthetic data / fuzz testing to catch training-code assumptions). Supports single-batch validation, inter-batch validation (drift + training-serving skew), and model unit testing workflows.</t>
  </si>
  <si>
    <t>Assumes production ML pipelines where training and serving data evolve continuously and can contain structured, code-induced errors (schema-free data, training-serving skew, drift) that ML models may “soldier on” through; emphasizes feedback loops where serving logs become training data, amplifying small data bugs.</t>
  </si>
  <si>
    <t>Presents a production-deployed, schema-driven data validation and model unit-testing framework (TFDV/TFX) that operationalizes continuous monitoring for anomalies, drift, and training-serving skew with actionable alerts and schema co-evolution, but it does not explicitly connect data validation to fairness/protected-group harms or define governance beyond schema ownership/versioning.</t>
  </si>
  <si>
    <t>Mature</t>
  </si>
  <si>
    <t>Compute per-batch summary statistics (Data Analyzer). Validate each batch vs schema constraints (Data Validator) to flag anomalies and suggest schema updates as data evolves. For inter-batch checks, compare training vs serving and successive batches: feature-level joins for feature skew, distribution distance for distribution skew, including estimation with Dirichlet priors. Use schema to generate synthetic data for fuzz-style unit tests of training code to reveal mismatches between code assumptions and schema/data. Report production deployment evidence and case studies.</t>
  </si>
  <si>
    <t>Operational metrics: anomaly categories and alerting; distribution distance metrics (d∞ and also L1/d1 discussed) for drift/skew; empirical validation from deployment (e.g., schema edit counts across pipelines; anomaly firing/fix rates; unit-test execution counts and failure rate; A/B win from removing skew).</t>
  </si>
  <si>
    <t>Schema violations (missing/new features, type/domain violations, value-count issues), training-serving skew (feature/value mismatches), distribution drift/skew (d∞/d1 distances), and model unit-test failures indicating training-code assumptions not reflected in schema.</t>
  </si>
  <si>
    <t>System continuously validates each incoming training/serving batch against schema, monitors training-serving skew and distribution drift, and generates anomaly alerts plus suggested schema edits; emphasizes catching errors early before they propagate through feedback loops.</t>
  </si>
  <si>
    <t>Schema is inferred initially then manually curated and evolves with data via user-reviewed suggested edits; stored in version control and treated as a production asset, with iterative updates when anomalies reflect natural data evolution (otherwise code fixes are required).</t>
  </si>
  <si>
    <t>Frames data validation as necessary for reliability and safety of ML systems, reducing outages and engineering burden; focuses on operational accountability via high-precision, actionable alerts to on-call engineers (spammy/non-actionable alerts are ignored), but does not directly address protected groups or discrimination.</t>
  </si>
  <si>
    <t>Codifies expected data properties via an ML-oriented schema (types, domains, presence, value counts, lifecycle stage, drift/skew comparators) and validates each batch against it, producing interpretable anomaly categories and suggested schema edits. For distribution drift/skew, argues standard statistical tests (e.g., chi-square) are too sensitive at scale and uses interpretable distribution-distance metrics like d∞(p,q)=max_i|p_i−q_i| with thresholds, with statistical estimation via Dirichlet priors. Adds schema-guided model unit tests by generating synthetic examples conforming to schema to expose hidden assumptions in training code (e.g., log of negative values).</t>
  </si>
  <si>
    <t>Constraint (formal/informal), Other, Policy/rule</t>
  </si>
  <si>
    <t>P039</t>
  </si>
  <si>
    <t>User-tuned thresholds for distribution distance (e.g., “allow changes up to 1% per value” for d∞). Confidence level example alpha=0.01 for chi-square is discussed as problematic at scale; drift/skew comparators are encoded in schema constraints.</t>
  </si>
  <si>
    <t>Validation includes (a) production deployment evidence at Google/TFX scale (petabytes/day; hundreds of teams), with aggregate statistics on schema co-evolution, anomaly frequencies, and unit-test failures, and (b) case studies including a 2% install-rate lift after fixing training-serving feature skew in a recommender pipeline and faster debugging/migration wins.</t>
  </si>
  <si>
    <t>P040 — Atwood2019</t>
  </si>
  <si>
    <t>Drift not addressed, Governance absent, No revision process/ownership, No thresholds / acceptance criteria</t>
  </si>
  <si>
    <t>Preprint (arXiv 1911.05489v1, 2019) proposing a precision contagion control environment and analyzing efficiency–fairness trade-offs in simulated networks. Fairness operationalized as distributions of expected sick days across communities and centrality groups; equalization formulated as constrained LP (preemptive vs 1-step precision). No stakeholder elicitation or real-world deployment/monitoring/revision process described.</t>
  </si>
  <si>
    <t>Atwood2019</t>
  </si>
  <si>
    <t>"... define the precision disease control problem ... optimally allocating vaccines in a social network in a step-by-step fashion ..."</t>
  </si>
  <si>
    <t>"... comparatively little attention has been paid to understanding the fairness implications of different treatment strategies – that is, how might such strategies distribute the expected disease burden differentially across various subgroups or communities in the population?"</t>
  </si>
  <si>
    <t>Defines and operationalizes outcome fairness for sequential vaccine allocation in networks (equalizing expected disease burden across individuals/communities/centrality strata) via simulation + LP-constrained policies, but provides no acceptance thresholds, monitoring signals, or revision/governance process for sustaining fairness over time.</t>
  </si>
  <si>
    <t>Simulate SIR dynamics on graphs (barbell, chain, scale-free, karate club) in ML Fairness Gym; evaluate policies by expected total sick days and by burden distribution across individuals, communities, and centrality groups (degree/betweenness/eigenvector). For chain graphs, formulate fairness constraints (equalized burden) as linear programs over (preemptive or 1-step precision) treatment strategies.</t>
  </si>
  <si>
    <t>Expected disease burden / expected sick days (including expected total sick days and distributions over individuals/communities/centrality strata); probability of infection (chain graph).</t>
  </si>
  <si>
    <t>Graph-defined subgroups/communities (community structure in networks) and role-based groups via centrality (degree, betweenness, eigenvector); also position-based risk groups (e.g., chain middle vs ends).</t>
  </si>
  <si>
    <t>"... pursuing a coarse metric of success ... averaged over an entire population ... can ... leave parts of the population under-served."</t>
  </si>
  <si>
    <t>"Finding a precision policy that equalizes disease burden can be formulated as a constrained linear program ..."</t>
  </si>
  <si>
    <t>P040</t>
  </si>
  <si>
    <t>"We implement the simulated dynamics of this environment using the ML Fairness Gym ..."</t>
  </si>
  <si>
    <t>P041 — Foulds2020</t>
  </si>
  <si>
    <t>Drift not addressed, Governance absent, Missing context assumptions, No revision process/ownership, Other</t>
  </si>
  <si>
    <t>Conceptual/position paper on whether parity-based fairness is desirable. Strong for defining parity metrics (p%-rule, statistical parity) and articulating arguments pro/contra, including infra-marginality and confounding critiques, subgroup gerrymandering, tokenism/self-fulfilling prophecy, and legal disparate impact framing. Provides a 12-item guideline checklist (RE-relevant decision artifact) but no empirical evaluation or concrete monitoring/revision mechanism.</t>
  </si>
  <si>
    <t>Foulds2020</t>
  </si>
  <si>
    <t>Defines parity-based metrics including the 80% rule / p%-rule and statistical (demographic) parity; contrasts with equalized odds / equality of opportunity, individual fairness, causal fairness, and threshold tests.</t>
  </si>
  <si>
    <t>Unknown</t>
  </si>
  <si>
    <t>Parity-based fairness advances the intrinsically valuable ideal of equality, can rectify societal bias, can prevent bias from unfair class labels, and has economic and legal benefits in some contexts.</t>
  </si>
  <si>
    <t>Contextual/legal compliance, Error parity, Individual consistency, Other, Outcome parity, Procedural fairness</t>
  </si>
  <si>
    <t>Provides a structured, cross-disciplinary argument and guideline checklist for when parity-based fairness metrics are appropriate, but does not operationalize end-to-end lifecycle governance (monitoring signals, triggers, ownership) or empirical acceptance criteria beyond disparate-impact style thresholds.</t>
  </si>
  <si>
    <t>Defines outcome parity via ratios (p%-rule) and distributional distance (statistical parity); discusses use as penalties/constraints in training and selecting hyperparameters to bound accuracy loss (e.g., keep validation accuracy within ~95% of baseline).</t>
  </si>
  <si>
    <t>p%-rule / disparate impact ratio (80% / four-fifths rule); statistical/demographic parity (TV distance); equalized odds; equality of opportunity; individual fairness; counterfactual fairness; threshold tests; subgroup/intersectional parity (subgroup fairness, differential fairness)</t>
  </si>
  <si>
    <t>Trade-offs managed set to Unclear per coding rule (count trade-offs only when empirically operationalized/measured).</t>
  </si>
  <si>
    <t>Discusses protected attributes such as gender, race, nationality, sexual orientation, age, social class, political affiliation; also intersectional subgroups (e.g., Black women).</t>
  </si>
  <si>
    <t>Guidelines emphasize stakeholder involvement and post-deployment monitoring/adaptation: “After deployment, it is important to continue to monitor the fairness of the system… and adapt the intervention accordingly.”</t>
  </si>
  <si>
    <t>Presents a 12-item “pre-flight checklist” of guidelines on when/how to use parity-based fairness interventions, including when to prefer alternatives (e.g., confounders, infra-marginality, individual guarantees).</t>
  </si>
  <si>
    <t>P041</t>
  </si>
  <si>
    <t>0.8 (four-fifths rule) for disparate impact ratio threshold; also discusses tolerance ε in statistical parity (conceptual).</t>
  </si>
  <si>
    <t>P042 — Fu2020</t>
  </si>
  <si>
    <t>SIGIR’20 paper on fairness-aware explainable recommendation over knowledge graphs. Defines fairness as disparity in recommendation performance and explanation diversity between active vs inactive users, introduces group (GRU, GEDU) and individual (Gini-based IRU/IEDU) unfairness metrics, and proposes a 0–1 integer programming reranking framework with fairness constraints (ε set to baseline disparities) plus hyperparameter studies (α, β). Strong operationalization and offline evaluation on four Amazon datasets; lacks lifecycle monitoring/revision governance for fairness over time.</t>
  </si>
  <si>
    <t>Fu2020</t>
  </si>
  <si>
    <t>Defines group and individual unfairness metrics (GRU/GEDU, IRU/IEDU), fairness-aware optimization with constraints GRU≤ε1 and GEDU≤ε2 (and individual variants), and a reranking algorithm combining path score and diversity score.</t>
  </si>
  <si>
    <t>Frames unfairness from data imbalance and user invisibility (inactive users) and notes protected attributes are hard to obtain; motivates fairness as mitigating disparity in recommendation performance and explanation diversity for disadvantaged users.</t>
  </si>
  <si>
    <t>Provides explicit, testable group/individual fairness metrics and a constrained reranking/optimization method for KG-based explainable recommendation (active vs inactive users), validated on multiple datasets, but does not address post-deployment monitoring, drift handling, or revision governance to keep fairness requirements valid over time.</t>
  </si>
  <si>
    <t>Split users into active (top 5% by purchases) vs inactive (remaining 95%). Compute recommendation metrics (NDCG, F1) per group and disparity GRU. Compute explanation diversity via Simpson’s Index of Diversity over user–item path patterns; compute GEDU as group mean difference. Compute individual unfairness via Gini coefficient over per-user scores. Optimize 0–1 selection Q to maximize recommendation score subject to fairness constraints; then rank with combined fairness+rec score.</t>
  </si>
  <si>
    <t>Group Recommendation Unfairness (GRU) using NDCG@K/F1 averages difference between active vs inactive; Group Explanation Diversity Unfairness (GEDU) using Simpson’s Index of Diversity; Individual unfairness via Gini coefficient (IRU for recommendation metrics, IEDU for explanation diversity); also uses ranking/recommendation scores combined with fairness score.</t>
  </si>
  <si>
    <t>Uses empirical measurements (NDCG/F1 and fairness metrics) and ablations, so Trade-offs managed is set to Yes.</t>
  </si>
  <si>
    <t>Primary grouping is user activity/visibility: active users (top 5% by purchases) vs inactive users (remaining). Discusses traditional protected attributes (gender, age, race, religion) but treats them as often unobserved and not used for grouping here.</t>
  </si>
  <si>
    <t>Discusses disadvantaged/inactive users and economic motivation to improve their experience; fairness goal is to narrow disparity between user groups in a platform context, but no operational governance roles or post-deployment process is specified.</t>
  </si>
  <si>
    <t>Formalizes fairness-aware recommendation as 0–1 integer programming maximizing recommendation quality subject to fairness constraints (e.g., GRU(G1,G2,Q̂) ≤ ε1, GEDU(G1,G2,Q̂) ≤ ε2).</t>
  </si>
  <si>
    <t>Affected groups, Developers, Org leadership, Other, Users</t>
  </si>
  <si>
    <t>P042</t>
  </si>
  <si>
    <t>Recommender</t>
  </si>
  <si>
    <t>ε1, ε2 set to baseline disparities; uses α∈[0,1] and β∈[0,1] hyperparameters (e.g., α=0.75, β=0.5 in main results).</t>
  </si>
  <si>
    <t>Extensive experiments on four Amazon e-commerce datasets (CDs &amp; Vinyl, Clothing, Cell Phones, Beauty) comparing fairness-aware reranking on top of KG-based explainable recommenders (HeteroEmbed, PGPR, KGAT), reporting NDCG/F1 and fairness metrics plus ablations over α and β.</t>
  </si>
  <si>
    <t>P043 — DAmour2020</t>
  </si>
  <si>
    <t>Drift not addressed, Governance absent, Monitoring without triggers, No revision process/ownership, Other</t>
  </si>
  <si>
    <t>FAccT’20 conceptual + simulation paper arguing fairness is dynamic and static dataset evaluations are insufficient. Introduces simulation/MDP framing and ml-fairness-gym. Three scenarios: dynamic lending (max-util vs EO per-step constraint; aggregate metric mismatch), attention allocation with dynamic incident rates (caught vs missed incidents; equality of discovery probability), and strategic manipulation admissions (accuracy vs social burden; equilibria under retraining and noise). Strong on operationalization of dynamics and evaluation via simulation; lacks concrete RE artifacts for deployment governance (monitoring triggers, revision ownership) and does not provide acceptance criteria for real systems.</t>
  </si>
  <si>
    <t>DAmour2020</t>
  </si>
  <si>
    <t>Proposes simulation studies (MDP agent–environment loop) as a design/evaluation framework for long-term fairness; implements three simulated domains (lending, attention allocation, college admissions) and compares policies (e.g., max-utility vs equality of opportunity; greedy vs fairness-constrained allocation).</t>
  </si>
  <si>
    <t>Motivates fairness in high-impact decision ecosystems where long-term dynamics, feedback loops, and counterfactual outcomes matter; argues static fairness evaluations on fixed datasets miss key consequences of deployment over time.</t>
  </si>
  <si>
    <t>Contextual/legal compliance, Error parity, Other, Procedural fairness</t>
  </si>
  <si>
    <t>Demonstrates via simulation that fairness properties and audits can break under feedback dynamics (e.g., per-step EO not matching aggregate TPR, discovered vs missed incident non-equivalence) and provides an extensible simulation framework, but does not specify deployment-time monitoring triggers/ownership or acceptance thresholds for operational fairness requirements.</t>
  </si>
  <si>
    <t>Runs repeated multi-step simulations (toy environments) for three scenarios: (1) dynamic lending with group credit score evolution; compare max-utility fixed threshold vs EO agent with group-conditional thresholds; evaluate long-run credit distributions, loans granted, and aggregate TPR gap. (2) attention allocation with incident rates responding to allocations; compare uniform, proportional, and greedy fairness-constrained agents; measure discovered vs missed incidents and discovery-probability disparity over history. (3) strategic manipulation college admissions game; compare static, robust, and continuously retrained agents; measure accuracy and group social burden at equilibrium across noise regimes. Provides ml-fairness-gym framework to reproduce/extend simulations.</t>
  </si>
  <si>
    <t>Equality of opportunity (equal TPR per step) in lending; aggregate TPR gap (shows mismatch under dynamics); equality of discovery probability in attention allocation measured as max gap in discovered/occurred incidents across sites; welfare metrics include discovered and missed incidents; strategic manipulation setting uses accuracy and social burden (cost borne by eligible candidates), with group-specific cost functions.</t>
  </si>
  <si>
    <t>Counts trade-offs as Yes (explicitly analyzes long-run welfare/fairness and objective misalignment; e.g., maximize discovered vs minimize missed incidents, access-to-loans vs credit-gap, accuracy vs social burden).</t>
  </si>
  <si>
    <t>Uses group membership A in lending (two groups with shifted initial credit distributions); attention allocation uses sites/locations as subpopulations; college admissions uses two applicant groups with different manipulation costs (disadvantaged group pays higher cost). References vulnerable populations generally.</t>
  </si>
  <si>
    <t>Highlights sociotechnical feedback effects: decisions shape the environment and power structures; warns auditing can fail when only discovered outcomes are observable (missed incidents unmeasured) and when aggregate metrics misrepresent per-step constraints (Simpson’s paradox).</t>
  </si>
  <si>
    <t>Defines long-term fairness evaluation as measuring realized consequences over time in simulations (agent–environment MDP); uses specific fairness objectives like equality of opportunity per step and equality of discovery probability, but positions them as evaluation lenses rather than requirements with deployment acceptance thresholds.</t>
  </si>
  <si>
    <t>P043</t>
  </si>
  <si>
    <t>Uses fairness constraint parameters and thresholds in simulations (e.g., EO decision thresholds vary over time; attention allocation uses δ constraint on discovery-probability gap and epsilon-greedy exploration ε; dynamic factor d in incident-rate update; college admissions threshold θ). Numeric values are scenario-specific and varied in experiments.</t>
  </si>
  <si>
    <t>Simulation studies across three canonical scenarios; compares agents/policies and shows static fairness conclusions can differ from long-run dynamics; provides open-source ml-fairness-gym code for reproducibility.</t>
  </si>
  <si>
    <t>P044 — Creager2020</t>
  </si>
  <si>
    <t>Drift not addressed, Governance absent, Missing context assumptions, Monitoring without triggers, No revision process/ownership, Other</t>
  </si>
  <si>
    <t>ICML’20 paper proposing causal DAGs/SCMs as a unifying framework for fairness in dynamical systems. Key contribution is making policy interventions explicit and leveraging causal identification (backdoor) to improve off-policy evaluation (doubly robust estimators) from historical data, plus using SCM modularity for simulation, multi-actor interventions (credit bureau), multi-step extensions, and sensitivity analysis. Strong operationalization of causal estimands; lacks concrete post-deployment governance/monitoring process for real systems.</t>
  </si>
  <si>
    <t>Creager2020</t>
  </si>
  <si>
    <t>Uses causal DAGs/structural causal models with policy interventions do(f→π) to unify dynamical fairness literature; enables simulation when dynamics known and off-policy estimation when dynamics unknown; provides empirical off-policy estimation improvements in lending.</t>
  </si>
  <si>
    <t>Motivates fairness in domains with long-term effects (lending, education, recommenders) and emphasizes that repeated deployment in changing environments yields long-term fairness implications distinct from short-term ones.</t>
  </si>
  <si>
    <t>Contextual/legal compliance, Error parity, Individual consistency, Other, Procedural fairness</t>
  </si>
  <si>
    <t>Provides a causal-SCM framework to specify and evaluate fairness interventions in dynamical systems (including off-policy estimation from observational data and simulation/sensitivity when dynamics are known), but does not define deployment-time monitoring/revision governance for keeping fairness requirements valid in production systems.</t>
  </si>
  <si>
    <t>Defines SCMs for sequential settings (Fair-MDP, lending, repeated classification) and uses do-operator for atomic/policy interventions. Shows off-policy evaluation from observational trajectories by identifying backdoor sets and applying doubly robust estimators; validates via lending experiment (historical MAXPROF data → evaluate/learn EQOPP-type policy). Also demonstrates on-policy simulation when dynamics known, including multi-actor interventions (credit bureau) and long-term sensitivity analysis of policies under model mismatch.</t>
  </si>
  <si>
    <t>Interventional/policy-evaluation quantities (e.g., E_{do(f_T→π)}[U] utility, E_{do(f_T→π)}[Δ_j] group score change); equal opportunity gap δEqOpp = |P(T=1|Y=1,A=0) − P(T=1|Y=1,A=1)|; demographic parity and max-profit/EO threshold policies in lending example; repeated classification/disparity amplification model; long-term outcomes XK in Fair-MDP; off-policy estimator error comparisons (regression vs doubly robust).</t>
  </si>
  <si>
    <t>Trade-offs managed set to Yes (explicit fairness–utility trade-off via λ; discusses estimation bias/variance trade-offs; evaluates welfare/fairness under different interventions).</t>
  </si>
  <si>
    <t>Uses sensitive attribute A explicitly (e.g., two groups in lending with group-specific thresholds); repeated classification uses latent groups Z with changing proportions α_k; discusses group and individual outcomes under interventions.</t>
  </si>
  <si>
    <t>Highlights usefulness of causal graphs for communicating assumptions to non-technical stakeholders/policy makers and for scrutinizing assumptions in fairness-sensitive settings; discusses regulators and ethical constraints that make online testing of policies difficult.</t>
  </si>
  <si>
    <t>Frames fairness evaluation/learning in dynamical systems as estimating interventional quantities under policy interventions (e.g., E_{p^{do(f_T→π)}}[U], E_{p^{do(f_T→π)}}[Δ_j], δEqOpp) using SCMs; focuses on causal estimands rather than requirements statements for deployment.</t>
  </si>
  <si>
    <t>P044</t>
  </si>
  <si>
    <t>Group-specific thresholds τ_j for lending policies; fairness–utility trade-off hyperparameter λ in V_π = U − λ·δEqOpp; credit-bureau intervention example uses τ_CB = 600; multi-step horizon K/steps varied in simulations.</t>
  </si>
  <si>
    <t>Empirically compares off-policy estimators (regression vs doubly robust) in a lending SCM, showing improved estimation error and improved learned policy objective V_π; also runs on-policy simulations for extensions (credit bureau intervention, multi-step robustness/sensitivity).</t>
  </si>
  <si>
    <t>P045 — Mitchell2021</t>
  </si>
  <si>
    <t>Missing context assumptions, Other</t>
  </si>
  <si>
    <t>Annual Review (2021) that systematizes algorithmic fairness for prediction-based decision-making: clarifies policy/problem-formulation assumptions (goals, population selection, decision space), data issues (selective labels, sampling bias, differential measurement error, societal bias), and provides a notationally consistent catalog of fairness definitions (parity metrics from confusion matrix, calibration/sufficiency, equalized odds/separation, demographic parity, metric fairness, and causal/path-specific notions). Emphasizes impossibility results, documentation/auditing, and community input/oversight; limited on concrete RE-style lifecycle artifacts or implementable acceptance/monitoring triggers beyond high-level recommendations.</t>
  </si>
  <si>
    <t>Mitchell2021</t>
  </si>
  <si>
    <t>Provides a structured taxonomy of choices/assumptions in prediction-based decisions and a notationally consistent catalog of formal fairness definitions (oblivious parity metrics, metric/individual fairness, and causal/path-specific notions), plus impossibility results showing incompatibilities among definitions.</t>
  </si>
  <si>
    <t>Frames fairness issues in prediction-based decision-making deployed in real domains (lending, pretrial detention, welfare, hiring) and highlights key background assumptions (population selection, decision space, measurement) that shape fairness outcomes beyond the model itself.</t>
  </si>
  <si>
    <t>Argues for involving impacted communities across the development process and calls for community input, independent revalidation, and meaningful oversight (example: pretrial risk assessment statement of civil rights concerns).</t>
  </si>
  <si>
    <t>Full loop</t>
  </si>
  <si>
    <t>Error parity, Individual consistency, Other, Outcome parity, Procedural fairness</t>
  </si>
  <si>
    <t>Offers a comprehensive, consistent catalog of fairness definitions and the often-implicit assumptions behind prediction-based decision-making (including data/measurement and policy framing), highlighting impossibility trade-offs and urging documentation and community oversight, but does not provide an end-to-end operational method for turning these considerations into concrete, monitored fairness requirements for a deployed system.</t>
  </si>
  <si>
    <t>Developing</t>
  </si>
  <si>
    <t>Conceptual synthesis: lays out decision-theoretic setup (V=(A,X), score S=ψ(V), decision D=δ(V)), links fairness notions to conditional independence statements and confusion-matrix rates; explains impossibility results (e.g., separation vs sufficiency under unequal base rates and imperfect prediction) and when different fairness notions are motivated (measurement error, visibility of decisions, stakeholder perspectives).</t>
  </si>
  <si>
    <t>Catalogs parity-based metrics from the confusion matrix (FPR, TPR, FNR, TNR, PPV, NPV, accuracy), equalized odds/separation, sufficiency/predictive parity/calibration, demographic parity/statistical parity, metric fairness/individual fairness (Lipschitz), and causal counterfactual/path-specific definitions (counterfactual fairness, no direct effect, path-specific effects). Also discusses assumptions like selective labels, measurement error (including differential measurement error), and dynamic/temporal assumptions (no interference, static vs dynamic evaluation).</t>
  </si>
  <si>
    <t>Calls for regular revalidation, independent audits, and documentation of data/model performance (e.g., model cards, datasheets) plus public reporting and oversight.</t>
  </si>
  <si>
    <t>Recommends documentation and oversight, and notes a principle that tools should be “revalidated regularly by independent data scientists” with community input and subjected to oversight.</t>
  </si>
  <si>
    <t>Set Monitoring/Revision to YES because the paper explicitly recommends regular revalidation/auditing and oversight, though not as a detailed operational process.</t>
  </si>
  <si>
    <t>Discusses protected characteristics (race, gender, class) and intersectionality (e.g., Black women; darker-skinned females) and notes cultural/context dependence of salient group categories; emphasizes that entry into the modeled population (e.g., arrest, loan application) can itself be biased.</t>
  </si>
  <si>
    <t>Suggests regular revalidation and meaningful oversight as part of responsible deployment; does not specify operational triggers/owners in a concrete system lifecycle.</t>
  </si>
  <si>
    <t>Explicitly connects formal fairness metrics to social goals, stakeholders, and power structures (e.g., policing and lending institutions), emphasizes community input/oversight and documentation, and warns about gaps between mathematical convenience and societal objectives.</t>
  </si>
  <si>
    <t>Defines many fairness criteria as parity/conditional independence constraints over (A,X,Y,S,D), e.g., equalized odds (D ⟂ A | Y), sufficiency (Y ⟂ A | D or S), demographic parity (D ⟂ A), and individual/metric fairness (|δ(v)−δ(v′)| ≤ m(v,v′)).</t>
  </si>
  <si>
    <t>P045</t>
  </si>
  <si>
    <t>Discusses threshold-based decision rules δ(v)=I(ψ(v)≥c) and notes thresholding choices; does not prescribe universal numeric thresholds (context-dependent).</t>
  </si>
  <si>
    <t>Review article that surveys and harmonizes definitions/assumptions/terminology, using canonical examples (pretrial risk assessment and lending) to illustrate how fairness criteria, data issues, and decision assumptions interact; not an empirical evaluation of a new algorithm.</t>
  </si>
  <si>
    <t>P046 — Vasudevan2020</t>
  </si>
  <si>
    <t>Missing context assumptions, Monitoring without triggers, Other, Unstable subgroup definitions</t>
  </si>
  <si>
    <t>CIKM’20 applied research paper introducing LinkedIn Fairness Toolkit (LiFT) for scalable fairness measurement in production ML systems. Strong RE-relevant contribution: explicit lifecycle integration (pre/during/post training + online), distributed computation design (Spark, caching, hybrid single-node/distributed), configurable metrics/UDF extensibility, and statistical testing for subgroup performance gaps. Discusses practical challenges: data quality and small samples, protected attribute availability/uncertainty, impossibility trade-offs (precision/recall/FPR under prevalence differences), and need for multi-stakeholder governance. Mitigation coverage is limited (preprocessing variant), with open problems for end-to-end product fairness and streaming/nearline mitigation.</t>
  </si>
  <si>
    <t>Vasudevan2020</t>
  </si>
  <si>
    <t>Presents LiFT (LinkedIn Fairness Toolkit) architecture and system design for scalable fairness measurement integrated across the ML lifecycle (before/during/after training and online serving), including distributed computation (Spark), caching, and configurable APIs/UDF extensibility.</t>
  </si>
  <si>
    <t>Frames fairness risks in web-scale ML applications trained on biased feedback/judgments and deployed in search/recommendation and safety products; emphasizes real-world constraints: large distributed datasets, production pipelines, and fairness drift over time.</t>
  </si>
  <si>
    <t>Explicitly calls for fairness decisions to be guided by social, ethical, and legal dimensions and inputs from a diverse set of key stakeholders; discusses stakeholder alignment when metrics conflict (e.g., precision vs recall trade-off).</t>
  </si>
  <si>
    <t>Provides an end-to-end, production-oriented framework (LiFT) for scalable fairness measurement integrated across the ML lifecycle with statistical significance testing and monitoring signals, but leaves key governance questions (who sets fairness thresholds, how to resolve conflicting metrics, and when/how to trigger mitigation or rollback) largely to organizational stakeholder processes rather than specifying concrete operational requirements.</t>
  </si>
  <si>
    <t>Implements Spark-based pipeline: join labels/scores with protected-attribute dataset, build cached virtual dataset, compute distributions/benefit vectors, then compute fairness metrics either single-node (on aggregated Distribution/BenefitMap) or distributed (on cached dataset). Supports pre- and post-training measurement and (limited) mitigation via preprocessing reweighting; includes permutation testing using sampling (≈100k points) for power. Evaluated on 3 LinkedIn production pipelines (D1/D2 classifiers; D3 ranking model) plus UCI Adult dataset (oversampled to 10M) to show scalability and interpretability trade-offs among metrics.</t>
  </si>
  <si>
    <t>Training data: representativeness and label-distribution metrics including KL divergence, Jensen–Shannon divergence, Lp norms, total variation distance, and label-distribution demographic parity δ_DP. Post-training/model: predicted-score distribution distances; equalized odds δ_EO; performance metrics across groups (AUC/AUROC, accuracy, PPV/precision, TPR/recall, FPR/FNR); aggregate inequality metrics (Generalized Entropy Index, Theil L/T) over benefit vectors; permutation tests for statistically significant subgroup differences (p-values).</t>
  </si>
  <si>
    <t>Ongoing fairness metric measurement in online serving; drift detection with respect to fairness; track trends of fairness metrics over time (e.g., GEI/EO) plus statistical tests.</t>
  </si>
  <si>
    <t>Online serving stage measures and monitors fairness metrics continuously, supports A/B tests, and can detect model drift with respect to fairness.</t>
  </si>
  <si>
    <t>Uses protected attributes such as gender (male/female/unknown) and country in LinkedIn deployments; discusses missing/uncertain protected attributes (volunteered vs inferred) and the need to account for uncertainty; notes additional segments (education qualifications) may be relevant.</t>
  </si>
  <si>
    <t>Suggests iterative metric selection and model/data updates when unfairness is detected; highlights need for stakeholder consensus and notes hooks across lifecycle to enable repeated measurement and mitigation, but does not specify concrete operational owners/triggers beyond monitoring and stakeholder processes.</t>
  </si>
  <si>
    <t>Notes potential discrimination/harms for disadvantaged groups; stresses socio-technical governance: selecting fairness notions requires consensus across stakeholders (product, legal, policy, PR, engineering, ML) and careful handling of protected-attribute data and uncertainty.</t>
  </si>
  <si>
    <t>Defines deployment requirements for fairness tooling: flexibility (library + production workflows), scalability (distributed computation), integration hooks across ML lifecycle; formalizes fairness measurements such as δ_DP(g1,g2)=|P(Y=1|G=g1)−P(Y=1|G=g2)| for label distribution and δ_EO(y,g1,g2)=|P(Ŷ=1|Y=y,G=g1)−P(Ŷ=1|Y=y,G=g2)| for equalized odds.</t>
  </si>
  <si>
    <t>P046</t>
  </si>
  <si>
    <t>Uses statistical significance testing (permutation tests with p-values) and notes need for decision thresholds/CI/SE to make bias thresholds clearer; does not prescribe universal numeric thresholds (application-specific).</t>
  </si>
  <si>
    <t>Deployed in three LinkedIn ML pipelines (datasets up to ~28M records) and evaluated on UCI Adult; reports resource utilization (GB-hours) for fairness metric computation vs training/scoring and shows ability to compute multiple metrics at scale; provides deployment case insights and lessons learned.</t>
  </si>
  <si>
    <t>P047 — Schumann2021</t>
  </si>
  <si>
    <t>Missing context assumptions, Other, Unstable subgroup definitions</t>
  </si>
  <si>
    <t>AIES’21 poster paper introducing MIAP (More Inclusive Annotations for People), a 100k-image relabeling of Open Images with exhaustive person boxes plus attributes for perceived gender presentation and perceived age range. Key fairness contribution is showing how the original person-subtree labeling and partial-annotation pipeline creates systematic missing boxes correlated with gendered/age-related labels and image context, which can distort both training and fairness evaluation. Provides statistical analysis (nPMI), count comparisons, and explicit intended-use/ethics caveats (do not build gender/age classifiers). Limitations include remaining imbalance (predominantly masculine), no skin tone attribute, and partial coverage of other taxonomy elements (relationships/triplets not re-annotated).</t>
  </si>
  <si>
    <t>Schumann2021</t>
  </si>
  <si>
    <t>Proposes MIAP: an updated annotation protocol producing exhaustive person bounding boxes on a 100k-image subset, plus attribute labels for perceived gender presentation and perceived age range, specifically to enable fairness analysis and study effects of partial annotations.</t>
  </si>
  <si>
    <t>Image</t>
  </si>
  <si>
    <t>Highlights that large CV datasets use partial, non-exhaustive annotations; warns that systematic missing person boxes can yield misleading fairness evaluation and biased detectors, especially when subgroup labels (man/woman/boy/girl) interact with the annotation pipeline and societal norms.</t>
  </si>
  <si>
    <t>Expert elicitation, Other</t>
  </si>
  <si>
    <t>Annotation guidelines remind annotators that gender-expression norms vary across cultures/time and instruct them to avoid rigid stereotype-based rules; includes explicit instructions and examples to mitigate unconscious bias and to use “unknown” when uncertain.</t>
  </si>
  <si>
    <t>Introduces MIAP, an exhaustive person-annotation subset of Open Images with perceived gender-presentation and age-range labels designed for fairness research, showing how partial annotation pipelines can encode societal norms and create systematic missing ground truth, but it does not provide deployment-time monitoring/revision governance and explicitly restricts use of these labels to fairness research rather than building gender/age classifiers.</t>
  </si>
  <si>
    <t>Analyze Open Images annotation pipeline (image-level labels proposed by classifiers + human verification → boxes for most specific positive labels) and show how person subclasses cause systematic omissions when collapsing to person. Create MIAP by relabeling 100k images (70k train, 30k val/test) with at least one person-subtree positive label: draw exhaustive person boxes; label each box with perceived gender presentation and perceived age range; compare original vs MIAP box counts per split/attribute; compute nPMI(Missing,label)−nPMI(Not Missing,label) to identify attributes correlated with missing boxes.</t>
  </si>
  <si>
    <t>Dataset bias/fairness support metrics: counts of missing vs added person boxes; subgroup distribution comparisons; normalized pointwise mutual information (nPMI) to measure association between missing boxes and attribute labels; motivates downstream fairness evaluation via disaggregated metrics across gender-presentation and age-range slices (e.g., equality of opportunity) but does not itself define model-level acceptance thresholds.</t>
  </si>
  <si>
    <t>Set Thresholds stated = No and Acceptance criteria = No because the paper focuses on dataset annotation and bias analysis rather than specifying acceptance thresholds for model fairness.</t>
  </si>
  <si>
    <t>Perceived gender presentation (predominantly feminine, predominantly masculine, unknown) and perceived age range (young, middle, older, unknown) for each person box; explicitly distinguishes presentation from identity/actual age. Notes skin tone (e.g., Fitzpatrick type) as important but not covered.</t>
  </si>
  <si>
    <t>Explicitly discusses how annotation procedures interact with societal norms and language (e.g., gender stereotypes, ‘girl’ vs ‘boy’) and cautions against harmful uses of gender/age labeling; recommends using labels for fairness evaluation only and not for deploying gender/age classifiers.</t>
  </si>
  <si>
    <t>Defines a relabeling protocol: select images with any positive person-subtree label, draw boxes around all visible people, and assign attributes for perceived gender presentation (predominantly feminine/masculine/unknown) and perceived age range (young/middle/older/unknown); provides quantitative comparisons and statistics (e.g., nPMI) to analyze missing-box patterns.</t>
  </si>
  <si>
    <t>Constraint (formal/informal), Narrative goal, Policy/rule</t>
  </si>
  <si>
    <t>Affected groups, Developers, Other</t>
  </si>
  <si>
    <t>P047</t>
  </si>
  <si>
    <t>CV</t>
  </si>
  <si>
    <t>Validates the annotation changes via comparative analysis on 100k-image subset: reports added-box rate (~30% images with additional boxes), box-count deltas by attribute and split, and statistical association (nPMI) between missing boxes and attribute labels; provides examples/visualizations of new boxes.</t>
  </si>
  <si>
    <t>P048 — Krishnaswamy2021</t>
  </si>
  <si>
    <t>No revision process/ownership, No thresholds / acceptance criteria, Other, Unstable subgroup definitions</t>
  </si>
  <si>
    <t>AISTATS 2021 paper defining “best-effort” fairness: guarantee each group g achieves performance close to its own optimum (h*g), addressing harms of absolute parity-style constraints and the problem of unknown/mis-specified groups. Provides PF theoretical guarantees for all subgroups (2^N) and BeFair algorithm for linearly separable groups via min-max formulation, fictitious play, and convex relaxation; evaluates on Adult and COMPAS using MAEu03b4. No stakeholder elicitation methods; governance/monitoring are not treated beyond offline evaluation.</t>
  </si>
  <si>
    <t>Krishnaswamy2021</t>
  </si>
  <si>
    <t>Introduces two algorithmic frameworks for best-effort group fairness guarantees in classification: (1) Proportional Fairness (PF) classifier when considering all possible groups, and (2) BeFair (Best-effort Fair) approach for more structured group classes (e.g., linearly separable groups), using a minmax/fictitious-play style procedure and convex relaxations.</t>
  </si>
  <si>
    <t>Frames deployment contexts (criminal justice, credit/lending, healthcare) as high-stakes and motivates fairness due to disparate impact/bias; argues that standard fairness depends on pre-specified protected groups which may be missing, unusable, or mis-specified.</t>
  </si>
  <si>
    <t>Error parity, Individual consistency, Other, Outcome parity</t>
  </si>
  <si>
    <t>Proposes best-effort group fairness guarantees that compare each group’s performance to the best achievable on that group (PF for all subgroups, BeFair for structured subgroup classes), showing empirically improved worst-group fidelity versus ERM, but it remains largely an offline optimization/evaluation approach without operational monitoring or governance processes for maintaining guarantees over time.</t>
  </si>
  <si>
    <t>Formal model: define groups g u2286 N, u_g(h) as mean correctness over g, and h*g maximizing u_g over H. For PF: optimize u2211_i ln u_i(h) over randomized classifiers u0394(H) and prove worst-case subgroup guarantees. For BeFair: define err_g(h) and solve min_h err_N(h) subject to best-effort constraints for all g in a structured group class; recast into min-max game, use fictitious play, with learner best response as weighted ERM and adversary best response approximated via convex relaxation; evaluate on Adult and COMPAS datasets using overall accuracy and MAEu03b4.</t>
  </si>
  <si>
    <t>Group-wise accuracy / error rate (err_g); PF utility u_g(h) and individual utilities u_i(h); MAE_u03b4(h)=max_g err_g(h) u2212 u03b4·err_g(h*g) as evaluation metric for best-effort fidelity; reports overall test accuracy and MAEu03b4 curves for Adult and COMPAS benchmarks.</t>
  </si>
  <si>
    <t>Motivates protected groups like race and gender but key contribution is handling unknown/unobserved/mis-specified groups. Considers group class G as (a) all subsets of the data (2^N) and (b) structured groups such as linearly separable groups; experiments use Adult/COMPAS (which include sensitive attributes like race/sex, but the framework is not limited to a fixed list).</t>
  </si>
  <si>
    <t>Discusses societal risks and unintended consequences of group mis-specification and reliance on sensitive attributes (legal constraints, treatment parity, heterogeneous populations, resentment), and uses fairness notions (parity/equalized odds) as potentially harmful when groups differ in intrinsic difficulty; positions best-effort guarantees as reducing harm to easier-to-classify groups while still protecting harder groups.</t>
  </si>
  <si>
    <t>Defines a best-effort fairness constraint relative to each group’s optimal achievable performance: for all groups g in a class G, guarantee performance of h on g compared with h_g. For G=2^N, PF maximizes u2211_i ln u_i(h) and guarantees u_g(hPF) u2265 |g|/|N| for any perfectly-classifiable subgroup. For structured G (linearly separable groups), formulates BeFair(u03b3): minimize overall error s.t. u2200g, err_g(h) u2264 err_g(h_g)+u03b3 (or u03b4·err_g(h*_g)+u03b3), solved via min-max game with learner/adversary best responses and convexification of the adversary subproblem.</t>
  </si>
  <si>
    <t>P048</t>
  </si>
  <si>
    <t>BeFair uses additive u03b3 and multiplicative u03b4 parameters; experiments sweep u03b4 (e.g., 1.0 to 1.30) and report MAE_u03b4, with example results that u03b4u22481.10 yields MAE u22481% on benchmarks (as reported).</t>
  </si>
  <si>
    <t>Empirical evaluation on Adult (UCI) and COMPAS datasets: compares ERM baselines (logistic regression, AdaBoost) vs PF heuristic and u03b4-BeFair; reports overall test accuracy and computes MAE_u03b4(h) over linearly separable groups for varying u03b4, showing substantial improvements of BeFair over ERM and low MAE for small u03b4&gt;1.</t>
  </si>
  <si>
    <t>P049 — Agarwal2021</t>
  </si>
  <si>
    <t>UAI 2021 paper proposing NIFTY to jointly enforce counterfactual fairness and stability in GNN embeddings. Clear formal definitions, objective (λ-weighted task + similarity loss), architectural Lipschitz/spectral normalization, theoretical bounds, and extensive offline evaluation/ablation on lending and criminal-justice graphs. No stakeholder elicitation process; governance/monitoring over time not covered; fairness acceptance criteria/thresholds not specified beyond tunable λ and perturbation parameters.</t>
  </si>
  <si>
    <t>Agarwal2021</t>
  </si>
  <si>
    <t>Proposes NIFTY, a unified framework to learn fair and stable GNN representations by (1) adding a Siamese/triplet-style objective that aligns embeddings across noisy and counterfactual graph views, and (2) modifying the GNN architecture with layer-wise Lipschitz (spectral) normalization of weights to improve message passing robustness and promote counterfactual fairness/stability.</t>
  </si>
  <si>
    <t>Motivates that GNN representations are used in real-world/high-stakes settings and must be both fair (avoid discriminatory bias tied to sensitive attributes) and stable (robust to small perturbations/attacks on graph structure and node attributes). Introduces application contexts and datasets in criminal justice (bail/recidivism) and financial lending (credit risk/default).</t>
  </si>
  <si>
    <t>NIFTY unifies counterfactual fairness and stability for GNN representations via augmentation-based objectives and Lipschitz-normalized message passing, demonstrating strong offline improvements on fairness and robustness metrics in high-stakes graph datasets, but it does not specify operational acceptance thresholds or monitoring/revision governance for maintaining these properties after deployment.</t>
  </si>
  <si>
    <t>Generate augmented graph views by (a) masking/noising non-sensitive attributes, (b) flipping binary sensitive attribute to create counterfactual node ũ_s, and (c) dropping edges with probability p_e. Train encoder ENC with Siamese-style objective L_s using cosine distance and stop-gradient; jointly optimize with downstream BCE classification loss L_c using λ. Architecturally, compute per-layer Lipschitz constants via spectral norm and normalize weights W_a^k to bound embedding sensitivity; theoretically derive bounds (product of layer norms) for stability and counterfactual unfairness.</t>
  </si>
  <si>
    <t>Counterfactual unfairness rate (percent of test nodes whose predicted label changes when sensitive attribute is flipped); instability rate (percent whose prediction changes under random attribute noise/edge perturbations); group fairness metrics ΔSP (statistical parity difference) and ΔEO (equal opportunity difference); predictive performance AUROC and F1-score.</t>
  </si>
  <si>
    <t>Binary sensitive attribute s per dataset: gender (German credit), race (recidivism/bail), age (credit defaulter). Counterfactual fairness is operationalized by flipping s; group fairness measured via ΔSP and ΔEO between s=0 vs s=1 groups.</t>
  </si>
  <si>
    <t>Frames fairness as avoiding discriminatory bias and specifically targets invariance to sensitive attributes (e.g., gender, race, age) in high-stakes decisions. Discusses fairness notions (group, individual, counterfactual) and evaluates both counterfactual unfairness and group fairness gaps (ΔSP, ΔEO) on datasets with protected attributes.</t>
  </si>
  <si>
    <t>Defines requirements for the encoder ENC: counterfactual fairness ENC(u)=ENC(ũ_s) when flipping sensitive attribute s; stability via Lipschitz continuity |ENC(ũ)−ENC(u)|_p ≤ L|b̃_u−b_u|_p under attribute/edge perturbations. Specifies NIFTY training objective min[(1−λ)L_c + λ L_s], where L_s is a (stop-grad) similarity loss aligning embeddings of original nodes with their perturbed and counterfactual counterparts, and adds layer-wise weight normalization using Lipschitz/spectral norms to bound representation changes; provides theorems bounding stability and counterfactual unfairness.</t>
  </si>
  <si>
    <t>P049</t>
  </si>
  <si>
    <t>Regularization coefficient λ controls trade-off between task loss and fairness/stability objective (used λ=0.6; sensitivity over λ). Perturbation probabilities p_n (attribute) and p_e (edge drop) are parameters; no fixed acceptance thresholds for fairness metrics are specified.</t>
  </si>
  <si>
    <t>Evaluates NIFTY on three constructed graph datasets (German credit, Recidivism/bail, Credit defaulter) across five GNN backbones (GCN, GraphSAGE, JK, GIN, InfoMax). Reports AUROC/F1 plus unfairness/instability rates and ΔSP/ΔEO; includes ablation (objective vs architecture) and sensitivity to λ; compares against FairGCN and RobustGCN baselines.</t>
  </si>
  <si>
    <t>P050 — Yeom2021</t>
  </si>
  <si>
    <t>Missing context assumptions, No thresholds / acceptance criteria, Other</t>
  </si>
  <si>
    <t>FAccT 2021 paper that formalizes how different assumptions about bias in observed labels (worldviews) change which empirical fairness test is appropriate if the goal is to avoid disparity amplification relative to an unobservable construct. Strong theoretical contributions (definitions + theorems + counterexamples) and clear implications for why DP vs EO debates persist; however, it does not provide stakeholder elicitation methods for picking the worldview/α parameter, and offers no monitoring or deployment governance guidance.</t>
  </si>
  <si>
    <t>Yeom2021</t>
  </si>
  <si>
    <t>Provides a theoretical framework connecting construct-based discrimination criteria (disparity amplification, construct accuracy) + worldviews to motivate or critique empirical fairness tests (demographic parity, equalized odds, predictive parity, calibration). Introduces α-disparity test corresponding to α-hybrid worldviews and a stronger disparity-amplification notion using Lipschitz continuity + earthmover distance for numerical constructs.</t>
  </si>
  <si>
    <t>Assumes a supervised prediction setting where observed labels may be biased proxies for the (often unobservable) construct; introduces “worldviews” (WAE: construct independent of protected attribute; WYSIWYG: observed labels reflect the construct) and a more realistic α-hybrid worldview to reason about when observed data is biased.</t>
  </si>
  <si>
    <t>Provides a construct-and-worldview lens for selecting among fairness tests by defining disparity amplification and proving when demographic parity or equalized odds prevent it (under WAE vs WYSIWYG), while showing predictive parity and calibration can still permit amplification, but it remains a theoretical diagnostic framework without empirical case studies or operational monitoring/governance guidance for choosing worldview parameters like α in practice.</t>
  </si>
  <si>
    <t>Mathematical analysis using joint distributions of (Y′,Y,Ŷ,Z) consistent with given worldviews. Proves (a) which empirical tests guarantee no disparity amplification under a worldview and (b) whether they allow construct-optimal models. Provides counterexamples showing predictive parity and calibration can permit or enable disparity amplification (including via threshold post-processing). Proposes α-hybrid worldview to interpolate between WAE and WYSIWYG and derives α-disparity test; extends disparity amplification to numerical constructs using Kantorovich duality and Lipschitz bounds.</t>
  </si>
  <si>
    <t>Distances and criteria: total variation distance d_tv for output/construct disparity; earthmover distance d_em for numerical constructs; construct accuracy (average Pr[Y′=Ŷ|Z=z] over groups); conditions for fairness tests (DP, EO, predictive parity, calibration); α parameter for α-hybrid worldview and α-disparity test; Lipschitz constant ρ*ℓ for stronger disparity amplification definition.</t>
  </si>
  <si>
    <t>Binary protected attribute Z∈{0,1} (e.g., gender, race). Focus is group-level nondiscrimination across protected groups; examples include bail/recidivism and university admissions; links to disparate impact and four-fifths rule context.</t>
  </si>
  <si>
    <t>Interprets common fairness tests as abstractions of disparate impact (including legal context like the four-fifths rule) and argues that disagreement over fairness tests can stem from different assumptions about data bias (“worldviews”); emphasizes that fairness tests are diagnostics and that no single test/criterion ensures fairness across contexts.</t>
  </si>
  <si>
    <t>Defines three spaces (construct Y′, observed Y, prediction Ŷ) and formal empirical tests: demographic parity, equalized odds, predictive parity, calibration. Defines output disparity d_tv(Ŷ|Z=0,Ŷ|Z=1) and disparity amplification when this exceeds construct disparity d_tv(Y′|Z=0,Y′|Z=1). Shows: under WAE, demographic parity prevents disparity amplification and is satisfied by construct-optimal models; under WYSIWYG, equalized odds prevents disparity amplification and is satisfied by construct-optimal models. Proves predictive parity allows arbitrarily large output disparity and calibration is not robust to post-processing (thresholding). Introduces α-hybrid worldview and α-disparity test: d_tv(Ŷ|Z=0,Ŷ|Z=1) ≤ α·d_tv(Y|Z=0,Y|Z=1). Extends disparity amplification for numerical constructs using earthmover distance and Lipschitz constant of ℓ(y′)=Pr[Ŷ=1|Y′=y′].</t>
  </si>
  <si>
    <t>P050</t>
  </si>
  <si>
    <t>α in the α-hybrid worldview / α-disparity test (α∈[0,1]) parameterizes tolerated output disparity relative to observed disparity. Discusses four-fifths rule / p%-rule as related legal thresholding heuristics (as context), but does not prescribe a numeric α for deployment.</t>
  </si>
  <si>
    <t>Validation is primarily theoretical: formal theorems and counterexamples comparing fairness definitions under worldviews; not an empirical evaluation on datasets or deployed systems.</t>
  </si>
  <si>
    <t>P051 — Chen2021</t>
  </si>
  <si>
    <t>Missing context assumptions, No revision process/ownership, No thresholds / acceptance criteria, Other</t>
  </si>
  <si>
    <t>Paper focuses on label/annotation bias P(Y|X) in facial expression recognition, operationalizing fairness as conditional independence of labels from gender given objective AU evidence (AUs as proxy ground truth). Strong empirical evidence across multiple datasets and a mitigation method (AUC-FER) that outperforms composition-bias debiasing baselines. No explicit stakeholder elicitation or governance processes; fairness is evaluated with a discrimination score and conditional tests rather than real-world acceptance criteria.</t>
  </si>
  <si>
    <t>Chen2021</t>
  </si>
  <si>
    <t>Proposes AU-Calibrated Facial Expression Recognition (AUC-FER) / AUCFER to mitigate expression annotation bias by using facial action units (AUs) as an auxiliary objective benchmark and adding a triplet-loss regularizer to learn an embedding where samples with similar AUs are close regardless of gender, reducing reliance on biased emotion labels without relabeling.</t>
  </si>
  <si>
    <t>Positions supervised CV pipelines as relying on large in-the-wild, crowdsourced datasets where annotations are often assumed unbiased; argues this “gold-standard labels” assumption can be wrong because annotators may share systematic cultural stereotypes, creating label/annotation bias P(Y|X) that propagates to trained models (e.g., facial expression recognition used in video job interviews and other high-impact HCI applications).</t>
  </si>
  <si>
    <t>Error parity, Individual consistency, Other</t>
  </si>
  <si>
    <t>Shows that facial-expression datasets can encode systematic annotation bias (not just composition bias), which models learn and amplify (notably for happy/angry across gender), and proposes AUC-FER using AU-calibrated triplet loss to mitigate this without relabeling, but it does not address deployment-time monitoring/governance or how to set acceptance thresholds for discrimination in real hiring/emotion-analysis systems.</t>
  </si>
  <si>
    <t>1) Validate AU recognizer (OpenFace) is not systematically biased across genders using EmotioNet expert-coded AUs; calibrate AU presence thresholds. 2) Quantify annotation bias in expression datasets by comparing P(Happy|AU,gender) (and analogous for Angry) across lab-controlled (KDEF, CFD) vs in-the-wild (ExpW, RAF-DB, AffectNet manual/automatic) and testing independence Y ⫫ Z | AU. 3) Show trained models learn annotation bias: train ResNet-50 on ExpW, test on balanced CFD, compute Disc; compare raw vs AU-conditionally relabeled ExpW. 4) Mitigate without label editing via AUC-FER (triplet loss with AU-based triplets) and compare against debiasing baselines (uniform confusion, gradient projection, domain discriminative/independent).</t>
  </si>
  <si>
    <t>Annotation-bias tests: conditional happy/angry label proportions by gender given AU6/AU12 (and chi-square / logistic regression significance). Model bias metric: Calders–Verwer discrimination score Disc = P(Ŷ=Happy|F) − P(Ŷ=Happy|M) on balanced test set. Also reports AU detector parity checks (OpenFace AU6/AU12 accuracy/F1 by gender, p-values).</t>
  </si>
  <si>
    <t>Gender (M/F) is primary protected attribute; also reports analyses for age and race (noting dataset imbalance limits conclusions).</t>
  </si>
  <si>
    <t>Highlights fairness concerns of facial expression recognition and emotion analysis in contexts like algorithmic evaluation of job applicants; links observed label bias to gender stereotypes (women perceived as happier, men as angrier) and argues models trained on biased annotations undermine trust and can discriminate by protected attributes (gender; also analyzes age/race).</t>
  </si>
  <si>
    <t>Defines annotation bias as conditional dependence of emotion label Y on protected attribute Z given objective AU evidence: Y ⫫ Z | AU (e.g., P(Y=1|AU6,AU12,Z=M)=P(Y=1|AU6,AU12,Z=F)). Uses AUs (OpenFace) as proxy for objective expression intensity to separate composition bias P(X) from label bias P(Y|X). Proposes AUC-FER loss: L = L_softmax + λ·L_trp, where triplet loss builds triplets (X_i,X_j,X_k) with same AU presence for (i,j) and different AU for k, encouraging AU-consistent embeddings across genders.</t>
  </si>
  <si>
    <t>P051</t>
  </si>
  <si>
    <t>Hyperparameter λ (triplet-loss weight) and triplet margin α; AU intensity thresholds calibrated to optimize overall AU accuracy on EmotioNet for binarizing AU presence; classification threshold chosen to maximize accuracy on test set.</t>
  </si>
  <si>
    <t>Offline experiments across multiple datasets (KDEF, CFD, ExpW, RAF-DB, AffectNet) and architectures (ResNet-50, MobileNetV2). Evaluates fairness via Disc on balanced CFD test set and shows AUC-FER reduces discrimination substantially (e.g., Disc ≈0.006 vs baseline ≈0.059 in one reported setting) while composition-bias mitigation baselines do not fully remove annotation bias.</t>
  </si>
  <si>
    <t>P052 — Karkkainen2021</t>
  </si>
  <si>
    <t>WACV 2021 paper creating FairFace to address composition bias in face datasets by balancing race (7 groups), gender, and age. Strong dataset-spec + operationalization via subgroup accuracy parity metrics and extensive cross-dataset/generalization evaluations, including audits of commercial APIs. Stakeholder elicitation is limited to labeling workflow (MTurk) rather than participatory governance; acceptance thresholds and monitoring over time are not specified.</t>
  </si>
  <si>
    <t>Karkkainen2021</t>
  </si>
  <si>
    <t>Constructs FairFace (108,501 images) with labels for race (7 groups), gender, and age, using controlled collection from YFCC-100M plus other sources and multi-annotator adjudication; trains baseline attribute classifiers (ResNet-34) and provides evaluation protocol for cross-dataset generalization and balanced accuracy; includes benchmarking of commercial APIs.</t>
  </si>
  <si>
    <t>Motivates that existing public face datasets are compositionally biased toward White/Caucasian faces, leading to inconsistent accuracy for non-White groups; positions FairFace as a data-centric mitigation by balancing race, gender, and age to improve generalization and enable bias measurement/mitigation in face analytics.</t>
  </si>
  <si>
    <t>Other, Surveys</t>
  </si>
  <si>
    <t>Uses human annotation via Amazon Mechanical Turk with 3 annotators per face (re-annotation if disagreement), plus manual re-verification of items where model predictions disagree with labels; this functions as a structured elicitation/labeling workflow for protected attributes.</t>
  </si>
  <si>
    <t>Introduces FairFace, a large in-the-wild face attribute dataset balanced across 7 race groups plus gender and age to reduce representation bias and enable more consistent subgroup accuracy and auditing of commercial APIs, but it does not provide deployment-time monitoring/governance for ongoing bias, nor does it define explicit acceptance thresholds for subgroup disparity beyond reporting metrics like ε and STD.</t>
  </si>
  <si>
    <t>Collect images from YFCC-100M (CC BY/SA) with adaptive country sampling to avoid over-dominance by White faces; detect faces (min 50×50) and label race/gender/age via MTurk with agreement rule (2/3 majority; re-annotate otherwise; discard unresolved). Refine labels by training a model and manually re-verifying disagreements. Train ResNet-34 attribute classifiers with Adam; evaluate (i) dataset composition bias via race proportions, (ii) cross-dataset classification across FairFace, UTKFace, LFWA+, CelebA, (iii) generalization to novel datasets (geo-tagged tweets, media photos, protest images) and subgroup consistency (STDV, ε), and (iv) commercial API bias for gender classification.</t>
  </si>
  <si>
    <t>Balanced accuracy across race/gender/age groups; subgroup-wise accuracies and standard deviations; maximum accuracy disparity ε(Ŷ) based on ratios of conditional accuracies across demographic groups; cross-dataset generalization accuracy for race/gender/age; commercial API accuracy by subgroup; supplemental skin-color (ITA) analyses.</t>
  </si>
  <si>
    <t>Race (7 groups: White, Black, Indian, East Asian, Southeast Asian, Middle Eastern, Latino), gender (M/F), and age groups; also considers skin color (ITA) as a complementary proxy measure but argues race is multidimensional and cannot be reduced to skin tone alone.</t>
  </si>
  <si>
    <t>Dataset construction includes iterative label refinement and manual re-verification when model predictions disagree with initial annotations; code/data/models are released (implying ownership for future dataset/model revisions) but no operational monitoring process is described.</t>
  </si>
  <si>
    <t>Frames fairness as avoiding demographic performance disparities in face analytics (notably gender classifiers failing on dark-skinned females) and notes downstream harms (public trust, service termination, demographic surveys with policy implications); explicitly treats race, gender, and age as protected attributes and emphasizes representation of groups (Latino, Middle Eastern, SE Asian).</t>
  </si>
  <si>
    <t>Defines dataset requirements: balanced composition across 7 race groups (White, Black, Indian, East Asian, Southeast Asian, Middle Eastern, Latino) with gender and age group labels; defines fairness target as balanced accuracy / accuracy equality across demographic groups (links to equalized-odds/accuracy-equality style constraints). Defines maximum accuracy disparity ε(Ŷ)=max_{j,k∈D} |log(P(Ŷ=Y|A=j)/P(Ŷ=Y|A=k))| as a group-disparity measure; includes protocol for evaluating cross-dataset performance and subgroup gaps.</t>
  </si>
  <si>
    <t>P052</t>
  </si>
  <si>
    <t>Validates via extensive offline evaluation: cross-dataset and external generalization tests with subgroup breakdowns, plus an audit-style benchmark of commercial gender classifiers (Amazon, Microsoft, Face++, IBM) on a balanced FairFace subset; reports improved generalization and reduced subgroup disparities for models trained on FairFace.</t>
  </si>
  <si>
    <t>P053 — Zhao2023</t>
  </si>
  <si>
    <t>Drift not addressed, Governance absent, No thresholds / acceptance criteria, Other</t>
  </si>
  <si>
    <t>AAAI 2023 paper explicitly distinguishes result-oriented vs procedure-oriented bias, proposes two explanation fairness metrics based on explanation quality (fidelity/top-K) and a distance-based optimization (CFA) over representations of original and attribution-masked inputs. Strong operationalization and evaluation across multiple datasets; limited stakeholder/governance discussion and no monitoring/revision process beyond hyperparameter tuning.</t>
  </si>
  <si>
    <t>Zhao2023</t>
  </si>
  <si>
    <t>Proposes explanation-fairness metrics (Ratio-based ΔREF and Value-based ΔVEF) based on explanation quality, and a Comprehensive Fairness Algorithm (CFA) that optimizes utility plus a distance-based fairness objective on representations computed from both original inputs and masked inputs guided by feature attributions, aiming to improve traditional fairness and explanation fairness simultaneously.</t>
  </si>
  <si>
    <t>Assumes deployment-relevant settings where ML models can be unfair to sensitive groups (gender, age, race) and where bias may exist not only in outputs but in the decision-making procedure; uses explanation methods to expose procedure-oriented bias through explanation quality gaps.</t>
  </si>
  <si>
    <t>Defines and operationalizes procedure-oriented fairness via explanation-quality gap metrics (ΔREF/ΔVEF) and proposes CFA to jointly optimize utility, traditional group fairness, and explanation fairness, but it relies on design choices like top-K thresholds, fidelity and explainer selection (which may vary across domains) and does not specify deployment-time monitoring or governance for explanation fairness over time.</t>
  </si>
  <si>
    <t>Compute explanations via an explainer (GraphLime used in experiments; with neighbors for non-graph data). Compute explanation quality using fidelity (accuracy-based) as prediction change when masking top important feature(s). Compute ΔREF using top-K thresholded quality labels and ΔVEF using mean fidelity within each subgroup’s top-K. Train CFA by learning representations for original features and masked features, minimizing distance between subgroup representations (conditional on utility label) for both original and masked inputs while optimizing utility loss; tune λ based on validation overall score; evaluate over multiple runs with means/std.</t>
  </si>
  <si>
    <t>Traditional (result-oriented): ΔSP, ΔEO. Procedure-oriented: ΔREF, ΔVEF computed from explanation quality (fidelity). Utility: AUC, F1, accuracy. Also defines an overall score aggregating utility and fairness terms; uses representation-distance metrics (e.g., Sliced-Wasserstein, cosine, KL, MSE) in ablations.</t>
  </si>
  <si>
    <t>Sensitive/protected attributes considered in framing and experiments include gender, age, and race; experiments use datasets where s is a binary sensitive attribute (and discuss multi-class extension via pairwise subgroup comparisons/variance).</t>
  </si>
  <si>
    <t>Motivates societal discrimination risks from biased ML decisions and argues that procedure-oriented bias matters for fair decision making; primarily treats fairness as group-based parity across sensitive attributes (e.g., gender/race/age) and emphasizes transparency via explainability, but does not deeply engage with stakeholder governance or recourse.</t>
  </si>
  <si>
    <t>Defines procedure-oriented group fairness via explanation-quality gaps: ΔREF = |P( q̂=1|s=0 ) − P( q̂=1|s=1 )| with q̂ derived from top-K explanation-quality instances, and ΔVEF as the difference in average explanation quality among each subgroup’s top-K instances. Uses fidelity-based explanation quality (prediction change under masking top-k important features) and defines CFA objective L = L_u + λ L_exp, where L_exp minimizes representation distances between sensitive groups for both original and masked inputs; evaluates alongside traditional ΔSP and ΔEO.</t>
  </si>
  <si>
    <t>P053</t>
  </si>
  <si>
    <t>Top-K criterion for high-quality explanations (K% of instances), and masking top-k important features (often k=1 in experiments) for fidelity; λ controls trade-off between utility and fairness.</t>
  </si>
  <si>
    <t>Extensive offline experiments on benchmark tabular datasets (German, Recidivism, Math, Por) comparing CFA to baselines (MLP, Reduction, Reweight) on utility, traditional fairness (ΔSP/ΔEO), and explanation fairness (ΔREF/ΔVEF), plus a graph-domain extension (NIFTY/FairVGNN) and distance-metric ablations; reports overall score improvements and Pareto-style trade-offs.</t>
  </si>
  <si>
    <t>P054 — Do2022</t>
  </si>
  <si>
    <t>Drift not addressed, Governance absent, Missing context assumptions, Other</t>
  </si>
  <si>
    <t>AAAI 2022 paper on auditing personalized recommenders using preference-based fairness (envy-freeness) rather than group parity. Strong formal specification and operationalization through online certification (OCEF) and probabilistic audit (AUDIT) with conservative exploration constraints and duration/cost analysis. Raises ethical/privacy considerations of randomized internal audits but leaves non-stationarity, monitoring, and governance largely to future work.</t>
  </si>
  <si>
    <t>Do2022</t>
  </si>
  <si>
    <t>Defines preference-based user-side fairness via (ε-)envy-freeness and proposes an online certification/auditing procedure (OCEF) that casts envy testing as a pure-exploration multi-armed bandit with conservative exploration constraints, plus an AUDIT wrapper to certify a probabilistic relaxation with guarantees independent of total user count.</t>
  </si>
  <si>
    <t>Assumes personalized recommender systems where user preferences are partially observed, disparities in delivered opportunities may be justified by differing preferences, and auditing requires counterfactual exposure (showing user A recommendations intended for user B) plus an assumption of stationarity over the audit horizon (policies and user needs change slowly).</t>
  </si>
  <si>
    <t>Contestability/recourse, Individual consistency, Other</t>
  </si>
  <si>
    <t>Proposes a formally specified, preference-based user-side fairness audit for personalized recommenders via ε-envy-freeness and online bandit certification with conservative exploration guarantees, but it assumes stationarity and requires intrusive counterfactual exposure/randomization (raising privacy/ethics and deployment feasibility questions) and does not provide monitoring or revision governance once certified.</t>
  </si>
  <si>
    <t>Model each user’s recommender as a stochastic policy π_m(a|x) with stationary context distribution q_m and reward distribution ν_m; define utility u_m(π) as expected reward. Audit by intermittently replacing a user’s recommendations with those from another user’s policy (counterfactual exposure) to estimate u_m(π_n). Cast each target user’s audit as a bandit with baseline arm 0 (their own policy) and other arms (other users’ policies); run OCEF to decide envy vs ε-no-envy while enforcing conservative constraint on cumulative average performance; run AUDIT by sampling a subset of target users and a subset of arms per target to certify (ε,γ,λ)-envy-freeness with complexity independent of total users M.</t>
  </si>
  <si>
    <t>Envy metrics: Δ_m = max_n u_m(π_n)−u_m(π_m) (clipped at 0), average envy across users, proportion of ε-envious users; certification parameters ε, α, δ; probabilistic parameters γ, λ; audit evaluation: duration (timesteps to certificate) and cost (baseline utility minus realized utility during audit, can be negative if exploration finds better policies).</t>
  </si>
  <si>
    <t>Not centered on protected-attribute groups; focuses on user-side individual preference-based fairness. Mentions sensitive groups as motivation for parity-based audits (e.g., gender disparities in job ads), but the proposed criterion is defined over individuals rather than protected groups.</t>
  </si>
  <si>
    <t>Frames recommender systems as shaping information and opportunities (news, jobs, connections) and motivates fairness as preventing unfair delivery of opportunities; discusses ethical/practical issues of randomized audits (intrusiveness, need to follow ethical standards for experiments and check privacy implications of using other users’ policies), but does not provide a full governance process.</t>
  </si>
  <si>
    <t>Formalizes ε-envy-freeness for recommender policies π_m: ∀m,n, u_m(π_n) ≤ u_m(π_m)+ε, where u_m(π) is expected utility over contexts and stochastic recommendations. Introduces a probabilistic relaxation (ε,γ,λ)-envy-freeness: for at least (1−λ) fraction of users, the user’s own policy is within the top-γ fraction of utilities over other users’ policies up to ε. Specifies certification outputs (envy vs ε-no-envy) with fixed-confidence guarantees and a conservative exploration constraint requiring anytime average utility during audit to be ≥(1−α) of the baseline system.</t>
  </si>
  <si>
    <t>Constraint (formal/informal), Narrative goal, Other</t>
  </si>
  <si>
    <t>Affected groups, Auditors/Compliance, Developers, Other, Users</t>
  </si>
  <si>
    <t>P054</t>
  </si>
  <si>
    <t>Uses explicit tolerance ε in envy definition and certification; uses conservative exploration parameter α; fixed-confidence δ; probabilistic relaxation parameters γ and λ (e.g., experiments set ε=δ=0.05, γ=λ=0.1).</t>
  </si>
  <si>
    <t>Provides theoretical guarantees (fixed-confidence correctness, duration/cost bounds under conservative exploration) and evaluates trade-offs via (i) synthetic bandit problems and (ii) simulated recommender tasks on MovieLens-1M and http://Last.fm using matrix completion to generate ground-truth preferences and softmax recommendation policies; compares envy levels, audit duration, and audit cost under different α and settings with/without envy.</t>
  </si>
  <si>
    <t>P055 — Baker2022</t>
  </si>
  <si>
    <t>IJAIED 2022 survey/review on algorithmic bias in education; strong conceptual framing and mapping of bias sources to ML pipeline stages with extensive synthesis of empirical evidence across many protected and less-studied categories. Provides actionable recommendations (data collection, tools, openness, broaden community) but does not itself operationalize a deployable fairness specification with thresholds or monitoring/revision processes.</t>
  </si>
  <si>
    <t>Baker2022</t>
  </si>
  <si>
    <t>Provides a structured review of algorithmic bias in education: defines and situates bias (statistical vs societal), maps bias types to stages/agents in the ML pipeline, surveys formal fairness metrics (independence/separation/sufficiency; similarity-based; causal) and impossibility trade-offs, synthesizes empirical evidence of bias across groups in educational applications, and proposes a framework for moving from unknown bias → known bias → fairness → equity with four mitigation effort areas (improved data collection, tools/resources, openness/incentives, broaden community).</t>
  </si>
  <si>
    <t>Assumes educational algorithms are deployed in high-stakes contexts (testing, admissions, dropout prediction, essay scoring, affect detection) where societal and statistical biases can enter throughout the ML lifecycle (task definition → data collection/prep → model development/evaluation → deployment/feedback), and where populations differ across race/ethnicity, gender, nationality and other less-studied categories (SES, disability, military-connected status, etc.).</t>
  </si>
  <si>
    <t>Legal/policy analysis, Other</t>
  </si>
  <si>
    <t>Synthesizes and categorizes prior empirical studies and fairness definitions to identify which groups are impacted and what pipeline stages/agents contribute to bias; proposes criteria (e.g., non-malleability/immutability of group membership) to prioritize which categories should be studied/collected.</t>
  </si>
  <si>
    <t>Synthesizes how algorithmic bias manifests across the educational ML lifecycle and which student groups are impacted, and proposes equity-oriented recommendations (data collection, tooling, incentives, stakeholder inclusion), but remains largely conceptual without concrete acceptance thresholds, operational monitoring, or deployment-ready governance procedures for ongoing bias management.</t>
  </si>
  <si>
    <t>Review paper (not an algorithm) that (i) defines algorithmic bias as unequal model performance across mutually exclusive groups, (ii) maps bias sources (historical, representational, measurement, aggregation, evaluation, deployment) to ML lifecycle stages, (iii) surveys formal fairness metric families and impossibility results, (iv) synthesizes empirical studies showing subgroup performance differences in educational algorithms, and (v) proposes a framework and recommendations to move toward equity (data collection/labeling, tooling, openness/incentives, stakeholder inclusion).</t>
  </si>
  <si>
    <t>Reviews fairness definitions/metrics: independence (statistical/demographic parity), separation (equal opportunity/equalized odds, predictive parity), sufficiency (calibration), similarity-based fairness, and causal fairness; discusses confusion-matrix based measures (FPR/FNR disparities) and impossibility trade-offs; emphasizes empirical slicing analyses and subgroup performance differences in educational models.</t>
  </si>
  <si>
    <t>Race/ethnicity; gender (noting lack of work on non-binary/trans learners); nationality/current national location; socioeconomic status; disability; urbanicity; native language/dialect; parental education background; international student status; military-connected status; plus notes on under-studied groups and intersectionality.</t>
  </si>
  <si>
    <t>Focuses on concrete harms and affected groups in educational settings, explicitly discussing allocative vs representational harms and which student subpopulations are impacted (race/ethnicity, gender, nationality, SES, disability, urbanicity, parental education, military-connectedness) and calls for equity-oriented practice and broader stakeholder inclusion.</t>
  </si>
  <si>
    <t>Proposes a conceptual progression (unknown bias → known bias → fairness → equity) and recommends actions (collect richer demographic data, ensure representativeness/label quality, provide standard bias-metric tooling, create reference datasets, align incentives for disclosure/audits, broaden stakeholder participation). Discusses fairness metric families (independence/separation/sufficiency; similarity-based; causal) and trade-offs/impossibility results, but does not define a single operational acceptance threshold for ‘fair enough’.</t>
  </si>
  <si>
    <t>Affected groups, Auditors/Compliance, Developers, Other, Regulators, Users</t>
  </si>
  <si>
    <t>P055</t>
  </si>
  <si>
    <t>Validates claims via narrative synthesis of empirical studies documenting differential performance and error rates across groups in educational applications (e.g., dropout prediction, course failure prediction, essay scoring, speech scoring, affect detectors), plus cross-references to fairness/fairness-metric survey literature and impossibility results; does not report new experimental validation.</t>
  </si>
  <si>
    <t>P056 — Pradhan2022</t>
  </si>
  <si>
    <t>Drift not addressed, Governance absent, Other</t>
  </si>
  <si>
    <t>SIGMOD’22 paper introducing Gopher for fairness debugging: patterns over training data subsets + causal responsibility; includes deletion- and update-based explanations with efficient approximations (FO/SO influence, one-step GD) and extensive offline evaluation on benchmark datasets. Strong operationalization and validation; limited stakeholder/elicitation treatment and limited deployment/monitoring governance.</t>
  </si>
  <si>
    <t>Pradhan2022</t>
  </si>
  <si>
    <t>Introduces Gopher, a system for fairness debugging that generates compact, interpretable training-data-based explanations of model bias by finding cohesive subsets of the training data that are root causes, using a notion of causal responsibility (bias reduction when removing or updating a subset) and a top-k pattern mining search with pruning for support and diversity.</t>
  </si>
  <si>
    <t>Assumes a standard supervised ML pipeline where bias can originate in the training data (measurement errors, misclassifications, imbalance, selection bias, covariate shift, data prep issues, poisoning) and where auditing uses a fairness metric F evaluated on held-out test data (e.g., statistical parity, equal opportunity, predictive parity) w.r.t. a protected attribute S.</t>
  </si>
  <si>
    <t>Provides a rigorous, testable framework and system (Gopher) for identifying training-data root causes of fairness violations via causal responsibility and pattern mining, but focuses on offline debugging interventions rather than operational monitoring, long-term governance, or stakeholder-driven acceptance thresholds.</t>
  </si>
  <si>
    <t>Compute a fairness metric F on a test set D_test (e.g., difference in positive prediction rate for statistical parity, difference in TPR for equal opportunity, difference in PPV for predictive parity). For a candidate subset S (or pattern-defined subset D(φ)), estimate the change in bias when intervening on training data by deleting or uniformly updating that subset; approximate retraining effects via first/second-order influence functions or one-step gradient descent; rank explanations by interestingness and enforce diversity via containment.</t>
  </si>
  <si>
    <t>Statistical parity; Equal opportunity; Predictive parity (and notes applicability to other associational and causal notions).</t>
  </si>
  <si>
    <t>Protected attribute S (binary in formulation). Experiments use: gender (Adult), age (German), race (SQF).</t>
  </si>
  <si>
    <t>Frames the motivation as regulatory and social demands for human-understandable explanations and the need to debug discriminatory behavior; discusses fairness as avoiding discrimination w.r.t. protected attributes and motivates actionable interventions on data subsets rather than only reporting bias.</t>
  </si>
  <si>
    <t>Defines (i) bias metric F(θ, D_test) where F&gt;0 indicates bias, and uses fairness metrics like statistical parity, equal opportunity, predictive parity; (ii) ‘root cause’ subsets whose removal reduces bias; (iii) causal responsibility RF(S) as relative bias reduction; (iv) pattern interestingness U(φ)=RF(D(φ))/Sup(φ) and diversity via containment threshold to compute top-k explanations.</t>
  </si>
  <si>
    <t>P056</t>
  </si>
  <si>
    <t>Bias defined as F(θ,D_test)&gt;0 (unbiased otherwise); uses containment threshold c and support threshold τ for explanation search (not a fixed fairness acceptance threshold).</t>
  </si>
  <si>
    <t>Evaluates Gopher end-to-end on standard fairness datasets (German Credit, Adult Income, Stop-Question-Frisk) with logistic regression, SVM, and a feed-forward NN; compares influence approximation accuracy vs retraining and runtime; reports top-k explanations (patterns, support, bias reduction) and update-based explanations; includes scalability analysis.</t>
  </si>
  <si>
    <t>P057 — Black2022</t>
  </si>
  <si>
    <t>Governance absent, No thresholds / acceptance criteria, Other</t>
  </si>
  <si>
    <t>FAccT’22 paper synthesizing technical, legal, and policy implications of model multiplicity; provides clear definitions and a concrete process recommendation (meta-rule + aggregation) with formal appendix results. Strong on societal/legal framing and trade-offs; empirical validation is mostly by citing prior studies rather than presenting new experiments; operational monitoring/revision governance is discussed at a process level but not specified as lifecycle signals/triggers.</t>
  </si>
  <si>
    <t>Black2022</t>
  </si>
  <si>
    <t>Defines and analyzes model multiplicity (many equally accurate models with different internals or predictions), distinguishing procedural multiplicity (different decision processes/decision surfaces, possibly with identical predictions) and predictive multiplicity (different predictions for some individuals). Proposes a practical selection process using a documented meta-rule (constraints beyond accuracy, including fairness/recourse) and aggregation techniques (mode aggregation, randomized predictions, random model selection) to reduce arbitrariness and improve justifiability.</t>
  </si>
  <si>
    <t>Assumes standard supervised ML deployment settings where model developers face many design choices (features, model class, hyperparameters, random seeds, training data) and typically select models by maximizing predictive accuracy on available data; assumes high-stakes decision contexts like lending where legal and institutional expectations require justification and non-discrimination.</t>
  </si>
  <si>
    <t>Other, Requirements list</t>
  </si>
  <si>
    <t>Expert elicitation, Legal/policy analysis, Other</t>
  </si>
  <si>
    <t>Proposes a deliberative process where model developers (and potentially regulators/auditors) specify and justify a meta-rule describing acceptable model behavior beyond accuracy, including explicit outcomes-based fairness constraints and practical constraints (time, funding, data, talent), and document the reasoning for these criteria.</t>
  </si>
  <si>
    <t>Contestability/recourse, Contextual/legal compliance, Error parity, Other, Outcome parity</t>
  </si>
  <si>
    <t>Clarifies that accuracy-maximization leaves substantial freedom among equally accurate models, creating both opportunities (optimize fairness, robustness, recourse) and risks (underspecification, proxy discrimination, loss of justifiability), and proposes meta-rules and aggregation to make selection non-arbitrary, but does not provide concrete operational monitoring or standardized acceptance thresholds for deployment governance.</t>
  </si>
  <si>
    <t>Multiplicity is assessed by comparing models with functionally indistinguishable accuracy and examining differences in decision surfaces (procedural) and prediction disagreement on available labeled data (predictive). The paper relates predictive multiplicity to variance via bias–variance-style decompositions and provides bounds; recommends incorporating explicit constraints (meta-rule) and then using aggregation techniques to select a final predictor from the set of models satisfying the meta-rule.</t>
  </si>
  <si>
    <t>Conceptual discussion of fairness metrics and disparate impact; uses predictive disagreement between equally accurate models as a key quantity; discusses group-level disparities (selection rates, TPR differences) and individual-level flips; no single standardized fairness metric is mandated.</t>
  </si>
  <si>
    <t>Discusses legally protected characteristics in regulated domains (e.g., race, sex, age) and proxies (e.g., zip code) especially in lending; fairness concerns framed around demographic groups subject to disparate impact and individuals affected by prediction flips.</t>
  </si>
  <si>
    <t>Implicit governance: recommends an explicit, documented model development and selection process (meta-rule + aggregation) and suggests ongoing consideration of constraints and justifications, but does not specify operational monitoring signals/triggers or formal ownership roles.</t>
  </si>
  <si>
    <t>Focuses on normative concerns of arbitrariness and justifiability for individuals subject to adverse outcomes when an equally accurate alternative model could treat them more favorably; links multiplicity to discrimination risk, fairness, recourse, and legal doctrines (e.g., disparate impact) and argues for explicit documentation and policy-minded selection procedures.</t>
  </si>
  <si>
    <t>Specifies (i) definitions of multiplicity and measures (pairwise disagreement on available labeled data), (ii) a meta-rule for model acceptability (e.g., minimum accuracy, allowable feature sets, near-equal TPR across groups), and (iii) procedures for resolving residual multiplicity via aggregation (mode predictor, randomized prediction, random model selection) with documentation. Provides formal links between multiplicity, bias–variance, and disagreement in an appendix, but does not prescribe a single universal acceptance threshold.</t>
  </si>
  <si>
    <t>Affected groups, Auditors/Compliance, Developers, Org leadership, Other, Regulators, Users</t>
  </si>
  <si>
    <t>P057</t>
  </si>
  <si>
    <t>Example meta-rule: accuracy &gt; 95% plus constraints (feature availability/actionability; near-equal TPR across demographic groups). No fixed fairness acceptance threshold required across contexts; thresholds are context-dependent and part of the meta-rule.</t>
  </si>
  <si>
    <t>Primarily a conceptual/theoretical and policy analysis paper: synthesizes prior empirical evidence (e.g., equally accurate models differing in fairness/robustness/interpretablity) and provides theoretical results connecting multiplicity to bias–variance; proposes selection/aggregation procedures and legal/policy implications rather than reporting a new deployed-system evaluation.</t>
  </si>
  <si>
    <t>P058 — Mambreyan2022</t>
  </si>
  <si>
    <t>Governance absent, Other, Unstable subgroup definitions</t>
  </si>
  <si>
    <t>ICPR 2022 paper auditing deception detection datasets for sex bias: constructs bias-only proxy via sex prediction and shows comparable performance to prior SOTA on biased datasets; evaluates generalization on an unbiased dataset where performance drops to chance. Strong operationalization and offline evaluation; recommendations focus on dataset design/sanity checks rather than lifecycle monitoring/governance.</t>
  </si>
  <si>
    <t>Mambreyan2022</t>
  </si>
  <si>
    <t>Demonstrates dataset bias in deception detection by training a classifier to predict sex from features and then using predicted sex as a proxy ‘lie detector’ (predict lie for females, truth for males). Shows this biased proxy achieves performance comparable to state-of-the-art deception detectors on biased datasets, and that purported SOTA techniques fail on an unbiased dataset.</t>
  </si>
  <si>
    <t>Assumes deception detection is evaluated using supervised ML on small video-based datasets (Real-life Trial: 121 clips; Bag-of-Lies: 325 recordings; Miami University: 320 clips) and that dataset composition and cross-validation design can induce spurious correlations between sensitive attributes (notably biological sex) and the truth/lie label, enabling high reported performance without learning deception.</t>
  </si>
  <si>
    <t>Shows that headline deception-detection performance can be largely explained by dataset bias (especially sex imbalance) and weak evaluation practices on small datasets, and calls for bias-aware dataset design and sanity checks, but does not provide a deployment-ready fairness requirement with acceptance thresholds or monitoring/revision governance.</t>
  </si>
  <si>
    <t>Train sex classifiers on extracted features (micro-expression vectors, IDT features, gaze features). On test points, predict sex and use it as a proxy for deception (lie if predicted female, truth if predicted male). Compare to classifiers trained normally on truth/lie labels. Use identity-disjoint cross-validation (10-fold for Real-life Trial, 3-fold for Bag-of-Lies) repeated across multiple random fold samplings to quantify variance; evaluate generalization by testing SOTA techniques on a deliberately unbiased dataset (Miami University deception dataset) where all identities have equal truth/lie balance.</t>
  </si>
  <si>
    <t>Accuracy; AUC; sex-prediction accuracy implicitly; compares biased proxy vs truth/lie-trained classifiers; discusses overestimation from dataset bias and discrimination risk w.r.t. sensitive attributes.</t>
  </si>
  <si>
    <t>Biological sex (male/female) is the primary sensitive attribute analyzed; paper notes potential other sensitive attributes (race, age) and other incidental dataset properties (background, clothing, pose) that could be exploited.</t>
  </si>
  <si>
    <t>Recommends future datasets minimize bias (equal truth/lie per subject, consistent setting per subject) and that researchers perform sensibility checks for dataset bias before claiming high deception-detection performance; does not define an operational post-deployment revision process.</t>
  </si>
  <si>
    <t>Highlights ethical risks of AI lie detectors and argues that biased models are discriminatory w.r.t. sensitive attributes (sex, and potentially race/age) and can create harmful false expectations for media/governments; recommends bias-aware dataset construction and sensibility checks before claims of high-stakes capability.</t>
  </si>
  <si>
    <t>Operationalizes ‘dataset bias’ by (i) measuring label imbalance across sex in datasets (e.g., females lie more in both Real-life Trial and Bag-of-Lies), and (ii) constructing a bias-only predictor: learn sex from features, then map sex→lie/truth. Evaluates via cross-validation with identity-disjoint folds and reports accuracy/AUC ranges across repeated fold samplings to show variance.</t>
  </si>
  <si>
    <t>P058</t>
  </si>
  <si>
    <t>Performs offline experiments on three datasets (Real-life Trial, Bag-of-Lies, Miami University) with identity-disjoint CV; reports that bias-only proxy achieves comparable performance to SOTA on biased datasets and that SOTA techniques drop to chance on the unbiased dataset; includes sensitivity analysis via repeated fold resampling and reports min/mean/max metrics.</t>
  </si>
  <si>
    <t>P059 — Kesgin2025</t>
  </si>
  <si>
    <t>Monitoring without triggers, No revision process/ownership, Other</t>
  </si>
  <si>
    <t>MDPI Applied Sciences 2025 paper on fairness-aware student performance prediction: compares LR/RF/XGBoost with SMOTE(-NC), adds SHAP/LIME explanations, audits DP/EO across gender, school and socioeconomic attributes using AIF360, and applies adversarial debiasing plus threshold tuning. Strong operationalization and offline validation; limited stakeholder elicitation and no concrete monitoring/revision ownership.</t>
  </si>
  <si>
    <t>Kesgin2025</t>
  </si>
  <si>
    <t>Proposes an end-to-end pipeline for student performance prediction that jointly addresses predictive performance, interpretability, and fairness: preprocessing + one-hot encoding + scaling, SMOTE/SMOTE-NC for imbalance, model comparison (logistic regression, Random Forest, XGBoost), explanation via SHAP/LIME, and bias mitigation via adversarial debiasing using AIF360 fairness metrics.</t>
  </si>
  <si>
    <t>Assumes educational institutions use early-warning models on student record data (demographics, socioeconomic indicators, prior grades, absences) to identify at-risk students for intervention, and that historical and structural inequalities can be encoded in features such as gender, school type, parental education (Medu/Fedu), cohabitation status (Pstatus), and family size (famsize).</t>
  </si>
  <si>
    <t>Provides a reproducible education-domain pipeline that combines performance evaluation, SHAP/LIME interpretability, and DP/EO fairness auditing with adversarial debiasing (including socioeconomic and intersectional analyses), but remains an offline study without a concrete in-situ monitoring and governance process for deployed early-warning systems.</t>
  </si>
  <si>
    <t>Merge student-mat and student-por UCI datasets; preprocess with one-hot encoding and scaling; handle imbalance via SMOTE-NC; train LR/RF/XGBoost with 5-fold cross-validation and evaluate on hold-out test split; compute DP and EO across sensitive attributes using AIF360; mitigate bias via adversarial debiasing; interpret models with SHAP (global and local) and LIME; perform sensitivity analysis over debiasing strength (λ) and over sensitive attributes including intersectional analysis (e.g., sex × Medu).</t>
  </si>
  <si>
    <t>Predictive: accuracy, F1, ROC-AUC. Fairness: demographic parity difference (DP), equalized odds / equal opportunity-style differences (EO). Explainability: SHAP (global/local feature contributions) and LIME (local surrogate explanations).</t>
  </si>
  <si>
    <t>Gender; school type; parental education (Medu/Fedu); parental cohabitation status (Pstatus); family size (famsize); intersectional subgroup analysis (sex × Medu).</t>
  </si>
  <si>
    <t>Suggests practical institutional guidance (ETIK-AI) and emphasizes reproducibility and periodic reassessment of fairness under different sensitive attributes and thresholds; however, does not define an operational monitoring plan with concrete triggers or owners.</t>
  </si>
  <si>
    <t>Motivates fairness and transparency in educational decision-making to avoid inequitable outcomes when using sensitive or socioeconomic attributes; frames the work as responsible AI in education and proposes preliminary ETIK-AI (Ethical, Transparent, Interactive, Inclusive) guidance for institutions adopting predictive tools.</t>
  </si>
  <si>
    <t>Defines measurable fairness requirements and evaluation criteria using demographic parity difference and equalized odds difference computed with AIF360 across sensitive attributes (gender, school, Medu/Fedu, Pstatus, famsize). Specifies an end-to-end evaluation procedure (5-fold CV, hold-out test split, threshold tuning after balancing) and explicitly states DP/EO target inequalities (e.g., |DP| ≤ 0.05 and |EO| ≤ 0.10 in the methodology).</t>
  </si>
  <si>
    <t>P059</t>
  </si>
  <si>
    <t>Fairness targets stated as inequalities (e.g., |DP| ≤ 0.05; |EO| ≤ 0.10). Also discusses optimizing the classification threshold post-SMOTE (example optimal threshold 0.25 for XGBoost via precision–recall).</t>
  </si>
  <si>
    <t>Offline evaluation on UCI Student Performance dataset with train/test split and 5-fold CV; reports predictive metrics plus fairness metrics (DP/EO) before and after adversarial debiasing, and extends audit to socioeconomic attributes and intersectional groups; includes threshold optimization and statistical significance testing (ANOVA + Tukey HSD).</t>
  </si>
  <si>
    <t>P060 — Wang2022REVISE</t>
  </si>
  <si>
    <t>Other, Unstable subgroup definitions</t>
  </si>
  <si>
    <t>REVISE (IJCV 2022) is a dataset-bias auditing and mitigation-support tool for CV datasets, covering object/person/geography bias dimensions with statistically grounded metrics and actionable data-collection/cleanup suggestions. Strong operationalization and empirical audits on COCO/OpenImages/YFCC100m/BDD100K, plus clear limitations about normative bias judgments and risks of demographic labeling; no stakeholder elicitation or lifecycle monitoring/governance plan.</t>
  </si>
  <si>
    <t>Wang2022REVISE</t>
  </si>
  <si>
    <t>Presents REVISE, a Jupyter-notebook-based tool that takes a visual dataset and annotations as input and outputs bias-related metrics and suggested actions across three axes: object-based, person-based, and geography-based analyses; runs locally for privacy and can generate a static PDF summary report; includes tests/scripts to validate dataset formatting.</t>
  </si>
  <si>
    <t>Assumes visual datasets encode under- and mis-representation that may not be apparent until after deployment, and that dataset bias can stem from object frequency/scale/context/diversity, demographic portrayal, and geographic representation; also assumes external annotations and pretrained models used for auditing can introduce their own biases and must be interpreted critically.</t>
  </si>
  <si>
    <t>Provides a pre-deployment, dataset-centric auditing tool that operationalizes many bias dimensions in visual datasets and suggests mitigation actions, but leaves normative judgments and governance of interventions to users and does not define monitoring/revision processes for deployed pipelines.</t>
  </si>
  <si>
    <t>Run REVISE locally on a dataset with available annotations (object labels, boxes, sensitive-attribute labels, geolocation, tags/captions). Tool computes a suite of metrics by axis (object/person/geography) and surfaces statistically significant anomalies; may incorporate external pretrained models/tools (e.g., scene classifier, language detection) and notes these introduce confounds. Provides ranked actionable augmentation/cleanup suggestions (e.g., pairwise query terms; reconcile duplicate labels; remove dubious gender labels).</t>
  </si>
  <si>
    <t>Dataset-bias audit metrics across object/person/geography dimensions (frequency, scale, context/co-occurrence, scene diversity, appearance diversity; demographic prominence and contextual representation; geography distribution and correlations with tags/language/income/weather). Uses statistical significance tests (e.g., permutation tests, regression trend tests) to surface anomalous patterns. Focus is dataset-level bias rather than model outcome parity.</t>
  </si>
  <si>
    <t>Gender (binary perceived); skin tone (Fitzpatrick 1–6, ordinal); geography/region/country; language-as-proxy for locals vs tourists; income and weather as external region-level attributes (BDD100K case study).</t>
  </si>
  <si>
    <t>Emphasizes that determining which surfaced patterns are problematic is a normative judgment that requires cultural and historical context; discusses contested nature of “bias”, risks of reifying gender/skin-tone categories, and potential societal harms from biased datasets; recommends clearer annotation guidance and removal of questionable demographic labels (e.g., gender when person is too small/no face).</t>
  </si>
  <si>
    <t>Defines a catalog of measurable dataset-bias metrics and statistical tests (e.g., counts, co-occurrence, scale bins, entropy-based scene diversity, feature-space appearance diversity; demographic prominence/context measures; geography distribution and correlations; permutation tests / regression trend tests) and positions these as a structured audit that can be run pre-deployment on datasets.</t>
  </si>
  <si>
    <t>Affected groups, Developers, Other, Users</t>
  </si>
  <si>
    <t>P060</t>
  </si>
  <si>
    <t>Validates usefulness by applying REVISE to multiple widely used CV datasets (COCO, OpenImages, YFCC100m, BDD100K) and reporting example insights and mitigation suggestions; includes statistical testing to identify significant representation differences.</t>
  </si>
  <si>
    <t>P061 — Ghai2023DBIAS</t>
  </si>
  <si>
    <t>D-BIAS (TVCG 2023) is a visual analytics, human-in-the-loop debiasing system using causal discovery (PC) + SEM and interactive causal graph editing to identify proxy-mediated bias and generate a minimally distorted debiased dataset. Strong operationalization and evaluation (3 datasets + user study) with explicit fairness/utility/distortion trade-offs; acknowledges causal discovery assumptions and misuse risks; no monitoring/revision governance for ongoing deployment.</t>
  </si>
  <si>
    <t>Ghai2023DBIAS</t>
  </si>
  <si>
    <t>Presents D-BIAS, a visual interactive human-in-the-loop system that infers a causal network (PC algorithm + SEM), allows users to refine the causal model, audit bias with multiple fairness metrics, and mitigate bias by deleting/weakening unfair causal edges; it then simulates a minimally-distorted debiased dataset that can be downloaded for downstream ML training.</t>
  </si>
  <si>
    <t>Assumes algorithmic bias arises from sensitive attributes (e.g., gender, race) and proxy variables in tabular data, and that fairness is context-dependent and cannot be fully automated; also assumes causal discovery from data may be imperfect due to sampling bias or missing attributes, requiring expert refinement.</t>
  </si>
  <si>
    <t>Context model, Other</t>
  </si>
  <si>
    <t>Expert elicitation</t>
  </si>
  <si>
    <t>Human-in-the-loop workflow where users inject domain knowledge by directing/reversing/adding/deleting causal edges and judging which causal paths/edges are unfair before debiasing.</t>
  </si>
  <si>
    <t>Provides an end-to-end HITL causal-model-based workflow to audit and mitigate bias in tabular datasets with explicit fairness/utility/distortion metrics and empirical/user-study evaluation, but does not define deployment-time monitoring or governance for how debiasing decisions should be managed over time.</t>
  </si>
  <si>
    <t>Infer initial causal graph with PC algorithm and quantify edge strengths with (linear / multinomial logit) SEM; user refines graph with add/delete/direct/reverse operations guided by BIC delta. Audit bias by selecting sensitive attribute(s) or custom intersectional groups and computing dataset-level and classifier-level fairness metrics (3-fold CV) plus utility and distortion. Mitigate bias by deleting/weakening unfair causal edges; generate debiased dataset by selectively simulating impacted nodes in topological order using modified SEM with controlled randomness and rescaling to match original distributions; evaluate trade-offs and export debiased data.</t>
  </si>
  <si>
    <t>Fairness: statistical parity difference, individual fairness (kNN label disagreement), accuracy difference, false negative rate difference, false positive rate difference. Utility: accuracy, F1. Distortion: Gower distance between original and debiased rows. Also uses BIC score change for causal-model refinement and supports subgroup/intersectional comparisons.</t>
  </si>
  <si>
    <t>Sensitive attributes such as gender and race; supports subgroup and intersectional groups (e.g., Black females vs White males) via custom group selection.</t>
  </si>
  <si>
    <t>Motivates fairness/accountability/trust/interpretability concerns in high-stakes domains (hiring, healthcare, law enforcement). Discusses that human involvement can improve trust and accountability but also introduces risk of misuse or biased interventions; recommends responsible choice of user and auditability via logs.</t>
  </si>
  <si>
    <t>Defines bias as unfair causal effect of sensitive attribute on outcome (direct path = disparate treatment; indirect via proxy = disparate impact) and operationalizes mitigation as deleting/weakening unfair causal edges. Provides explicit computation procedures for fairness/utility/distortion metrics and for simulating debiased data (Algorithm 1/2, Eq. 2).</t>
  </si>
  <si>
    <t>Affected groups, Auditors/Compliance, Developers, Org leadership, Other, Users</t>
  </si>
  <si>
    <t>P061</t>
  </si>
  <si>
    <t>Evaluates D-BIAS on three datasets (Synthetic Hiring, Adult Income, COMPAS) and reports improvements across multiple fairness metrics with small utility loss and limited distortion; also conducts a controlled user study (n=10) comparing against a baseline tool on usability, interpretability, accountability, and trust.</t>
  </si>
  <si>
    <t>P062 — Qin2026Prune</t>
  </si>
  <si>
    <t>IST (2026) special issue paper: post-processing ‘attribute pruning’ (zeroing sensitive-attribute input weights) to remove bias and to estimate multi-attribute group fairness for model selection. Strong empirical evaluation across many models/datasets and explicit discussion of individual vs group fairness trade-off; limited stakeholder elicitation, no explicit acceptance thresholds, and no monitoring/revision governance described in excerpt.</t>
  </si>
  <si>
    <t>qin2026prune</t>
  </si>
  <si>
    <t>Proposes attribute pruning as a post-processing intervention on a pre-trained DNN by zeroing out sensitive-attribute weights in the input layer; evaluates pruning for (i) bias removal and (ii) multi-attribute group fairness estimation, across 32 models and multiple datasets, comparing to baseline post-processing debiasing methods.</t>
  </si>
  <si>
    <t>Assumes pre-trained DNNs deployed in high-stakes domains can inherit and amplify bias from training data, and that fairness must be assessed across potentially multiple sensitive attributes; notes existing fairness metrics may be non-robust for multi-attribute group fairness and that post-processing methods may not address individual fairness.</t>
  </si>
  <si>
    <t>Shows that pruning sensitive-attribute inputs in pre-trained DNNs is a practical post-processing method that tends to preserve accuracy and support individual-fairness enforcement, but yields inconsistent group-fairness improvements and lacks explicit acceptance thresholds or lifecycle governance for deployment-time monitoring and revision.</t>
  </si>
  <si>
    <t>Given a pre-trained DNN, prune (zero out) sensitive-attribute input weights and measure resulting changes in fairness and accuracy. Run experiments over 32 models and 4 datasets, comparing single-attribute group bias removal and accuracy preservation against 3 post-processing baselines. For multi-attribute settings, apply pruning across multiple sensitive attributes and use resulting group-fairness estimates to support multi-attribute fairness-aware model selection; analyze trade-offs between individual and group fairness.</t>
  </si>
  <si>
    <t>Fairness estimation uses group-fairness metrics (single-attribute and multi-attribute group fairness estimation) and considers individual fairness (claimed enforced by design through pruning). Also evaluates predictive performance (accuracy preservation) and compares against 3 baseline post-processing methods across 32 models and 4 datasets; additionally uses 3 multi-sensitive-attribute datasets for multi-attribute fairness-aware model selection.</t>
  </si>
  <si>
    <t>Sensitive attributes such as race, gender, and age (multi-attribute setting); paper focuses on pruning sensitive-attribute inputs and estimating fairness across multiple attributes/groups.</t>
  </si>
  <si>
    <t>Motivates fairness in high-stakes decision-making (finance, healthcare, law) and frames fairness as a requirement for selecting and enhancing models; discusses the fundamental trade-off between individual and group fairness objectives and the need for fairness-aware model selection, especially under multiple sensitive attributes.</t>
  </si>
  <si>
    <t>Specifies a concrete debiasing transformation (prune sensitive-attribute weights in the input layer) and evaluates its impact on fairness metrics and accuracy; positions pruning as enforcing individual fairness by design, while acknowledging group-fairness effects are inconsistent and data-dependent, and uses pruning as a mechanism to estimate multi-attribute group fairness for model selection.</t>
  </si>
  <si>
    <t>P062</t>
  </si>
  <si>
    <t>Empirical evaluation across 32 models and 4 datasets for bias removal and accuracy preservation, plus demonstration on 3 multi-sensitive-attribute datasets for multi-attribute group fairness estimation.</t>
  </si>
  <si>
    <t>P063 — Beutel2019PairwiseRecFair</t>
  </si>
  <si>
    <t>KDD’19 paper introduces pairwise fairness metrics for recommender rankings using randomized pairwise experiments and a pairwise regularization term for pointwise rankers; demonstrates large inter-group gap reduction for a sensitive item subgroup in a production recommender. Strong operationalization and empirical evaluation; lacks stakeholder elicitation, explicit acceptance thresholds, and post-deployment monitoring/revision governance details.</t>
  </si>
  <si>
    <t>Beutel2019PairwiseRecFair</t>
  </si>
  <si>
    <t>Defines pairwise fairness metrics for recommendation rankings using randomized pairwise experiments (positions 2 and 3) to estimate unbiased user preferences, decomposing fairness into overall, intra-group, and inter-group pairwise fairness. Proposes a pairwise regularization term added to pointwise model training to reduce group gaps in pairwise fairness and demonstrates improvements in a large-scale production recommender.</t>
  </si>
  <si>
    <t>Assumes recommender systems in production can create fairness risks by systematically under-ranking groups of items, affecting visibility and engagement for content producers/providers; notes recommender evaluation is biased due to dynamics and exposure, motivating randomized experiments for unbiased preference estimates.</t>
  </si>
  <si>
    <t>Operationalizes recommender ranking fairness with experimentally measurable pairwise metrics and a training-time regularizer that closes inter-group under-ranking gaps in production, but does not state explicit acceptance thresholds or provide lifecycle monitoring/revision governance beyond periodic experimental evaluation.</t>
  </si>
  <si>
    <t>Run randomized experiments on a slice of queries by showing a random pair of relevant items in positions 2 and 3 with randomized order; record which item is clicked and subsequent engagement $z$; discretize $z$ into buckets; compute pairwise fairness probabilities and decompose into intra/inter-group. Train pointwise neural ranker with additional pairwise regularizer computed over experimental pair dataset $P$ (balanced by clicked-item group) to improve inter-group pairwise fairness; evaluate in production via relative subgroup vs non-subgroup gaps.</t>
  </si>
  <si>
    <t>Pairwise fairness / pairwise accuracy metrics (overall, intra-group, inter-group), conditioned on engagement; exposure analysis; compares subgroup vs non-subgroup (relative ratios) and analyzes relation to pointwise metrics (calibration, MSE) showing insufficiency for ranking fairness.</t>
  </si>
  <si>
    <t>Binary sensitive attribute on items (item-group membership); study focuses on a sensitive subgroup of items (~0.2% of items) vs non-subgroup; notes user-group extension possible but not core.</t>
  </si>
  <si>
    <t>Frames fairness as avoiding systematic under-exposure/under-ranking of item groups (e.g., demographic group posts) in sociotechnical platforms where creators/providers rely on ranking for voice and visibility; discusses that fairness evaluation depends on experimental measurement and that retrieval-stage fairness assumptions can propagate harms.</t>
  </si>
  <si>
    <t>Specifies pairwise fairness as equality of conditional probabilities of ranking a clicked item above a relevant unclicked item across item groups, conditioned on engagement $z$ (Definitions 1–3), and provides measurement via randomized experiments and discretized engagement buckets.</t>
  </si>
  <si>
    <t>P063</t>
  </si>
  <si>
    <t>Ranking</t>
  </si>
  <si>
    <t>Evaluated on a large-scale production recommender system using randomized experiments to estimate preferences and compare fairness gaps before/after pairwise regularization; reports substantial reduction of inter-group pairwise fairness gap (e.g., ~35.6% advantage down to ~2.6% in their production case study).</t>
  </si>
  <si>
    <t>P064 — Merchant2023GNNTradeoffs</t>
  </si>
  <si>
    <t>CIKM’23 paper benchmarks fairness–accuracy tradeoffs for GNN node classification using ΔSP (statistical disparity) and ΔEO (inequal opportunity) and proposes two model-agnostic interventions: PFR-AX (pre-processing debiasing of attributes+adjacency) and PostProcess (γ-controlled do-no-harm post-processing by flipping some protected negatives). Strong operationalization and empirical study; lacks stakeholder elicitation and does not specify deployment acceptance criteria, monitoring, or revision governance.</t>
  </si>
  <si>
    <t>Merchant2023GNNTradeoffs</t>
  </si>
  <si>
    <t>Defines a standardized benchmarking setup for fairness–accuracy tradeoffs in GNN node classification and proposes two GNN-agnostic interventions: PFR-AX (pre-processing debiasing of attributes + adjacency via PFR + DeepWalk + graph reconstruction) and PostProcess (post-processing policy flipping a γ-fraction of protected nodes predicted negative). Evaluates across 4 datasets and 3 GNN backbones (GCN, GraphSAGE, GIN) using AUC-ROC and fairness metrics (ΔSP, ΔEO).</t>
  </si>
  <si>
    <t>Motivates fairness in high-risk applications of GNNs (e.g., credit risk, crime forecasting) where sensitive attributes indicate protected demographic membership and biased predictions can cause systematic disadvantage; notes adjacency can act as an indirect proxy and propagate bias via message passing.</t>
  </si>
  <si>
    <t>Provides explicit, testable fairness operationalization for GNN node classification (ΔSP/ΔEO) and shows mitigation tradeoffs via pre- and post-processing interventions, but it is evaluation/benchmarking-focused with no stakeholder elicitation, no explicit acceptance thresholds for deployment, and no monitoring/revision governance for long-term validity.</t>
  </si>
  <si>
    <t>Defines ΔSP and ΔEO formally; evaluates interventions by training GNN backbones on stratified train/val/test splits and measuring AUC-ROC vs ΔSP/ΔEO. PFR-AX: apply PFR to node attributes and to DeepWalk embeddings, then reconstruct debiased graph (EmbeddingReverser) to preserve degree distribution; train GNN on debiased data. PostProcess: identify protected nodes predicted negative, flip a γ fraction to positive (do-no-harm policy) and set scores to MAX-SCORE; sweep γ and smooth over multiple trials. Compare against baselines (Unaware, EDITS, NIFTY) and report runtime.</t>
  </si>
  <si>
    <t>Accuracy: AUC-ROC (and F1 at threshold 0 in description). Fairness: Statistical Disparity ΔSP (difference in positive prediction rates across protected vs non-protected) and Inequal Opportunity ΔEO (difference in true positive rates across groups). Reports tradeoff plots across interventions/backbones/datasets; analyzes model confidence (logit density) effects.</t>
  </si>
  <si>
    <t>Binary sensitive attribute on nodes indicating protected demographic membership. Datasets: German (gender), Credit (age), Penn94 (gender), Pokec-z (region). Protected class indicated by s=1, non-protected by s=0.</t>
  </si>
  <si>
    <t>Frames algorithmic discrimination in sociotechnical settings regulated by anti-discrimination laws (mentions GDPR, Civil Rights Act, etc.), with protected groups as subjects of potential harm; discusses fairness as a constraint in decision-making contexts but does not elaborate stakeholder processes or governance beyond benchmarking.</t>
  </si>
  <si>
    <t>Formalizes fairness for node classification using Statistical Disparity (ΔSP) and Inequal Opportunity (ΔEO) as constraints/objectives, with the task stated as maximizing accuracy while having low ΔSP and ΔEO (Problem 1).</t>
  </si>
  <si>
    <t>P064</t>
  </si>
  <si>
    <t>PostProcess uses flip parameter γ ∈ [0,1] (varied 0.1–0.4 in experiments; described as 1%–40% in text) to control strength; prediction threshold at logit 0 for positive class in their binary setup.</t>
  </si>
  <si>
    <t>Extensive offline experiments on 4 datasets (two semi-synthetic credit datasets and two real-world social network datasets) and 3 GNN architectures; reports fairness–accuracy tradeoff and sensitivity to γ, plus runtime comparisons and confidence distribution analyses.</t>
  </si>
  <si>
    <t>P065 — Liu2023</t>
  </si>
  <si>
    <t>AAAI 2023 paper on degree fairness in GNNs. Defines generalized degree (r-hop) and fairness notions DSP/DEO across degree groups; proposes DegFairGNN to debias neighborhood aggregation by distilling high-degree nodes and complementing low-degree nodes. Validated via offline experiments on Wikipedia and citation datasets with fairness metrics (ΔDSP/ΔDEO) and accuracy. No stakeholder elicitation, protected-attribute focus, or deployment-time monitoring/revision described.</t>
  </si>
  <si>
    <t>Liu2023</t>
  </si>
  <si>
    <t>"... varying neighborhood structures ... drastically different node degrees, give rise to ... biased outcomes ... we propose ... DegFairGNN ... debiasing contexts ... modulate the layer-wise neighborhood aggregation to eliminate the degree bias ..."</t>
  </si>
  <si>
    <t>Formally specifies and operationalizes structural (degree-based) fairness for GNN node classification via DSP/DEO and ΔDSP/ΔDEO metrics with an in-processing debiasing architecture (DegFairGNN), but does not define acceptance thresholds or any monitoring/revision/governance process to sustain fairness over time.</t>
  </si>
  <si>
    <t>Define generalized degree degr(v)=[A^r 1]_v (counts walks length r). Partition nodes into degree groups (either bins by boundaries d_i or operationally as top/bottom 20% or 30% in experiments). Compute ΔDSP and ΔDEO between groups on test set. Train DegFairGNN: modulate neighborhood aggregation with debiasing contexts; optimize task loss + fairness loss + regularization constraints (L = L1 + μL2 + λ(L3+L4)).</t>
  </si>
  <si>
    <t>Degree Statistical Parity (DSP) and Degree Equal Opportunity (DEO); evaluation metrics ΔDSP and ΔDEO as mean differences in predicted class distributions / true-class prediction rates between low- vs high-degree groups (top/bottom 20% or 30%) for generalized degree r-hop (r=1 default; r=2 reported). Also reports classification accuracy.</t>
  </si>
  <si>
    <t>Not demographic; groups are defined by (generalized) node degree (structural groups: low-degree vs high-degree nodes; r-hop generalized degree).</t>
  </si>
  <si>
    <t>Defines degree fairness via Degree Statistical Parity and Degree Equal Opportunity across degree groups: e.g., P(ŷ_v=y|v∈G_i)=P(ŷ_v=y|v∈G_j) and P(ŷ_v=y|y_v=y,v∈G_i)=P(ŷ_v=y|y_v=y,v∈G_j).</t>
  </si>
  <si>
    <t>P065</t>
  </si>
  <si>
    <t>"Extensive experiments on three benchmark datasets demonstrate the effectiveness of our model on both accuracy and fairness metrics."</t>
  </si>
  <si>
    <t>P066 — Zhang2023</t>
  </si>
  <si>
    <t>WWW Journal 2023 paper proposing FPGNN to mitigate discrimination in node classification by addressing sensitive information leakage from high-degree nodes during feature propagation. Uses fair-path expandable random walk to identify influential high-degree nodes and adversarial learning with gradient penalty; evaluated offline on three real-world datasets. Abstract lacks details on specific protected attributes, fairness metrics, and any thresholds/acceptance criteria or lifecycle monitoring/revision.</t>
  </si>
  <si>
    <t>Zhang2023</t>
  </si>
  <si>
    <t>"... discriminatory decisions because the sensitive information of high-degree nodes may be easily leaked to the low-degree nodes ..."; proposes FPGNN with fair-path random walks + adversarial learning (gradient penalty) to identify influential high-degree nodes and mitigate sensitive information leakage by modifying structural information.</t>
  </si>
  <si>
    <t>Proposes an in-processing GNN mitigation (FPGNN) targeting sensitive-attribute leakage from high-degree nodes via fair-path random walks and adversarial learning, and reports offline experiments on three datasets, but the abstract does not provide explicit fairness requirement thresholds, acceptance criteria, or any monitoring/revision governance for fairness over time.</t>
  </si>
  <si>
    <t>Train FPGNN using (i) expandable random walk "fair path" to discover high-degree nodes with large effect on node fairness and (ii) adversarial learning with gradient penalty to capture sensitive information; mitigate leakage by modifying graph structural information. Evaluation reported on three real-world datasets (exact fairness/accuracy metrics not in abstract).</t>
  </si>
  <si>
    <t>Fairness metrics and utility metrics not specified in abstract; paper claims "best ... for making fair decisions" on three real-world datasets (needs methods/results section for exact metrics).</t>
  </si>
  <si>
    <t>Sensitive attribute(s) referenced but not specified in abstract; likely demographic or attribute labels used in datasets (needs full text).</t>
  </si>
  <si>
    <t>Implicit</t>
  </si>
  <si>
    <t>Goal is to mitigate discrimination in GNN node classification by reducing sensitive information leakage from high-degree nodes to low-degree nodes during feature propagation (no explicit requirement threshold stated in abstract).</t>
  </si>
  <si>
    <t>P066</t>
  </si>
  <si>
    <t>"The experimental results on three real-world datasets demonstrate that the FPGNN is the best in all GNN models for making fair decisions."</t>
  </si>
  <si>
    <t>P067 — CorbettDavies2023MeasureMismeasure</t>
  </si>
  <si>
    <t>JMLR’23 conceptual+theoretical synthesis: taxonomy of fairness definitions, measure-theoretic critique (inframarginality/prevalence) and Pareto-domination results, plus empirical illustrations (NHANES diabetes screening; COMPAS miscalibration; simulated college admissions). Strong on trade-offs, policy framing, and links to law/economics; limited as an RE artifact (no elicitation study, no acceptance thresholds, no monitoring/revision governance).</t>
  </si>
  <si>
    <t>CorbettDavies2023MeasureMismeasure</t>
  </si>
  <si>
    <t>Assembles a two-part taxonomy of formal fairness definitions (constraints on disparities vs constraints on effects of protected attributes) and shows analytically and empirically that enforcing many popular criteria yields strongly Pareto dominated decision policies. Provides formal decision-theoretic setup with randomized rules d(x), budgets, utility functions, threshold rules, and measure-theoretic results (e.g., incompatibility of threshold-optimal policies with classification parity via inframarginality).</t>
  </si>
  <si>
    <t>Frames algorithmic fairness as policy-like design in consequential decision domains (banking, criminal justice, medicine, college admissions) with legal protected characteristics (race, gender) and societal goals (e.g., diversity, health outcomes). Highlights that fairness must be evaluated by context-specific consequences rather than abstract axioms.</t>
  </si>
  <si>
    <t>Critiques parity-based and attribute-effect fairness constraints as often producing Pareto-dominated policies and argues for policy-aligned, consequence-based design, but does not provide concrete operational acceptance thresholds or lifecycle monitoring/revision mechanisms for maintaining fairness requirements over time.</t>
  </si>
  <si>
    <t>Develops formal decision framework: individuals with covariates X, protected attributes A, binary decision D via randomized policy d(x), budget constraint E[D] ≤ b, outcomes Y (and potential outcomes Y(0), Y(1)). Shows optimal decision rules are threshold policies (in no-externalities case) and multiple-threshold policies (with trade-offs), and proves measure-theoretic results that common fairness constraints are almost surely incompatible with optimal/Pareto-efficient policies (inframarginality; prevalence arguments). Provides empirical illustrations (e.g., diabetes screening risk distributions; COMPAS miscalibration; simulated college admissions feasibility regions).</t>
  </si>
  <si>
    <t>Formal fairness metrics/constraints: demographic parity; equalized false positive rates; confusion-matrix parity statistics; AUC parity; causal counterparts (counterfactual predictive parity, counterfactual equalized odds, principal/conditional principal fairness); blinding and calibration; counterfactual fairness and path-specific fairness. Uses utility/decision-theoretic metrics (expected utility u(d)), Pareto dominance/efficiency, and trade-off geometry (diversity vs academic index).</t>
  </si>
  <si>
    <t>Protected attributes discussed include race and gender (and other legally protected characteristics). Examples include race groups in diabetes screening and college admissions; gender in recidivism risk assessment (COMPAS) and general discussions of protected characteristics.</t>
  </si>
  <si>
    <t>Connects technical fairness criteria to legal doctrines (disparate treatment vs disparate impact) and economic notions (taste-based vs statistical discrimination); discusses policy and governance implications, including how legislation and practice can misuse formal fairness metrics, motivating a consequentialist, policy-aligned approach.</t>
  </si>
  <si>
    <t>Defines multiple formal fairness constraints (e.g., demographic parity, equalized FPR, counterfactual predictive parity, counterfactual equalized odds, (conditional) principal fairness, blinding, counterfactual fairness, path-specific fairness) as conditional independence / counterfactual conditions over decisions, outcomes, and protected attributes.</t>
  </si>
  <si>
    <t>P067</t>
  </si>
  <si>
    <t>Supports claims with both analytic proofs and empirical illustrations: diabetes screening example using NHANES risk distributions, COMPAS score calibration illustration, and a simulated college admissions setting showing constrained fairness regions lie below the Pareto frontier; provides general theorems showing Pareto domination and incompatibility results.</t>
  </si>
  <si>
    <t>P068 — Jung2024CounterfactuallyFairImages</t>
  </si>
  <si>
    <t>NeurIPS’24 (Datasets &amp; Benchmarks) paper contributes counterfactual image benchmarks (CelebA-CF, LFW-CF) + theoretical/empirical analysis of CF vs EO group fairness in image SCMs with latent shortcut attribute G, and proposes CKD to reduce reliance on G. Strong on operationalization (CD, DEO, RFP), dataset curation with human validation, and empirical comparisons; lacks deployment-time acceptance criteria, monitoring, and change management.</t>
  </si>
  <si>
    <t>Jung2024CounterfactuallyFairImages</t>
  </si>
  <si>
    <t>Defines and studies the relationship between counterfactual fairness (CF) and group fairness (equalized odds) for image classifiers; constructs counterfactual image benchmarks (CelebA-CF, LFW-CF) using IP2P editing plus human filtering/verification; proposes Counterfactual Knowledge Distillation (CKD) to reduce reliance on a latent shortcut attribute G (e.g., hair length) so CF-achieving models can also satisfy group fairness.</t>
  </si>
  <si>
    <t>Motivates fairness in societal computer vision deployments (e.g., facial recognition, job interview video analysis) and frames harms as discrimination against individuals/groups; discusses ethical terminology choice (“sex” not “gender”) and cautions about normative harms from dichotomizing gender.</t>
  </si>
  <si>
    <t>Expert elicitation, Other, Surveys</t>
  </si>
  <si>
    <t>Human annotation is used to curate and verify counterfactual image pairs: five annotators filter edited pairs as “correct/incorrect” using guidelines over 10 perceived facial attributes; additional annotators validate sensitive-attribute change and non-sensitive preservation, reporting high reliability.</t>
  </si>
  <si>
    <t>Provides strong dataset+metric operationalization and evidence that CF does not imply EO-based group fairness in image settings (due to latent shortcut attribute G), but does not define acceptance thresholds, monitoring signals, or revision/governance mechanisms for maintaining fairness over time in deployment.</t>
  </si>
  <si>
    <t>Creates counterfactual image pairs by editing test images of CelebA and LFW with Instruct-Pix2Pix prompts that alter sex-related visual characteristics while preserving identity and non-sensitive attributes; filters low-quality pairs via human votes; verifies reliability via additional annotators (sensitive attribute change + non-sensitive preservation). Evaluates models on original test sets for accuracy/DEO and on CelebA-CF/LFW-CF for CD. Provides theory (Theorem 4.1) that EO disparity is upper bounded by model sensitivity to latent attribute G, motivating CKD that distills a teacher more robust to G while enforcing counterfactual pairing.</t>
  </si>
  <si>
    <t>Counterfactual fairness metric: Counterfactual Disparity (CD) = E[1{Ŷ_a→a' ≠ Ŷ}]. Group fairness metric: Equalized Odds disparity (DEO) = max_{y,y'} |P(Ŷ=y'|A=0,Y=y) - P(Ŷ=y'|A=1,Y=y)|. Also uses accuracy; introduces robustness-to-G metric RFP (rate of flipped predictions under G manipulation).</t>
  </si>
  <si>
    <t>Sensitive attribute: sex (binary, using term “sex” to avoid social-identity connotations). Target labels: CelebA blond hair; LFW smiling. Discusses latent shortcut attribute G correlated with A (e.g., hair length; accessories).</t>
  </si>
  <si>
    <t>Discusses societal impacts and ethical considerations of representing sex via perceived facial attributes; provides cautions for dataset use but does not specify governance, monitoring, or organizational processes for deployed systems.</t>
  </si>
  <si>
    <t>Operationalizes CF as prediction invariance between an image and its counterfactual with sensitive attribute intervened; operationalizes GF via equalized odds (EO). Defines CD (counterfactual disparity) and DEO (disparity of EO) as measurable violations.</t>
  </si>
  <si>
    <t>P068</t>
  </si>
  <si>
    <t>Empirical evaluation across CelebA/CelebA-CF and LFW/LFW-CF compares Scratch, CF-aware methods (Scratch+aug, CP), individual-fairness methods, and CKD on CD, DEO, and accuracy; includes additional experiments (synthetic CIFAR-10B) and ablations showing CKD improves DEO while maintaining low CD when robustness to G is distilled.</t>
  </si>
  <si>
    <t>P069 — Luo2024FairCLIP</t>
  </si>
  <si>
    <t>CVPR’24 paper contributes (1) Harvard-FairVLMed dataset (fundus + clinical notes with detailed demographics and ground-truth glaucoma labels) for fairness analysis in medical vision-language models, and (2) FairCLIP, an optimal-transport/Sinkhorn regularizer to align overall vs subgroup distributions for improved fairness–performance trade-off. Strong operationalization with DPD/DEOdds/ES-AUC/group-wise AUC and extensive ablations; includes IRB + de-identification/expert verification, but no deployment monitoring/revision/acceptance criteria.</t>
  </si>
  <si>
    <t>Luo2024FairCLIP</t>
  </si>
  <si>
    <t>Introduces Harvard-FairVLMed (fundus image + clinical note; rich demographics; ground-truth labels) to study fairness of medical vision-language models; evaluates CLIP/BLIP2 and proposes FairCLIP (optimal transport / Sinkhorn distance regularizer) to align overall vs subgroup feature-similarity distributions, achieving a performance–fairness trade-off.</t>
  </si>
  <si>
    <t>Frames fairness in healthcare as ethical/legal requirement tied to patient safety and equity; motivates that biases by race, gender, ethnicity, language can lead to adverse outcomes and disparities (glaucoma underdiagnosis higher in Black communities).</t>
  </si>
  <si>
    <t>Clinical notes are de-identified with Presidio + rules, then verified by four medical experts; fairness study is enabled by collecting/curating demographic attributes (age, gender, race, ethnicity, preferred language, marital status) and defining glaucoma labels using VF-test criteria.</t>
  </si>
  <si>
    <t>Provides a fairness-oriented multimodal clinical dataset and an OT-based in-training mitigation (FairCLIP) with clear group metrics, but does not specify deployment-time acceptance thresholds, monitoring signals, or revision governance for sustaining fairness in clinical use.</t>
  </si>
  <si>
    <t>Builds Harvard-FairVLMed: 10k patients with SLO fundus images + de-identified clinical notes (2015–2022). Labels glaucoma vs non-glaucoma via VF test criteria (e.g., mean deviation thresholds and VF hemifield/PSD). De-identifies notes via Presidio + rules + expert verification; summarizes notes with LLMs (GPT-4, PMC-LLAMA, Med42) to fit text encoder constraints. Evaluates fairness of CLIP/BLIP2 via linear probing and zero-shot transfer; FairCLIP adds Sinkhorn-distance loss between overall and subgroup distributions of CLIP similarity matrix diagonal Mi,i during pretraining/fine-tuning.</t>
  </si>
  <si>
    <t>Fairness metrics: Demographic Parity Difference (DPD), Difference in Equalized Odds (DEOdds), Equity-Scaled AUC (ES-AUC), Group-wise AUC; also reports overall AUC. Uses subgroup comparisons across race (Asian/Black/White), gender (Female/Male), ethnicity (Non-Hispanic/Hispanic), preferred language (English/Spanish/Others).</t>
  </si>
  <si>
    <t>Protected/identity attributes: age, gender, race, ethnicity, preferred language, marital status. Reported subgroup results for race (Asian, Black, White), gender (Female, Male), ethnicity (Non-Hispanic, Hispanic), language (English, Spanish, Others/Unknown).</t>
  </si>
  <si>
    <t>Includes clinical governance/compliance elements for dataset creation (IRB approval, de-identification pipeline, expert verification of de-identification) but does not define operational deployment governance, monitoring, or revision processes for fairness in clinical use.</t>
  </si>
  <si>
    <t>Defines group fairness objectives as reducing disparities across identity groups using measurable metrics (DPD, DEOdds, ES-AUC, group-wise AUC). FairCLIP objective minimizes distance between overall distribution of image-text similarity scores and group-conditional distributions using Sinkhorn distance.</t>
  </si>
  <si>
    <t>P069</t>
  </si>
  <si>
    <t>Experiments on Harvard-FairVLMed evaluate CLIP/BLIP2 (natural vs medical pretraining) across protected attributes using AUC and fairness metrics (DPD, DEOdds, ES-AUC, group-wise AUC); compares CLIP vs FairCLIP and runs ablations (note summarization, multimodal vs vision-only features, medical vs natural vision encoder, adversarial fairness baseline).</t>
  </si>
  <si>
    <t>P070 — Rateike2024LongTermPolicies</t>
  </si>
  <si>
    <t>Drift not addressed, Governance absent, No revision process/ownership</t>
  </si>
  <si>
    <t>FAccT’24 paper formalizes long-term group fairness in dynamical systems using time-homogeneous Markov chains and Markov Chain Convergence Theorem constraints to guarantee unique convergence to a stationary distribution targeted to satisfy fairness constraints (e.g., EOP at equilibrium with ε=0.01). Highlights delayed feedback and trust issues with frequent policy updates; distinguishes short-term interventions on state distribution from long-term interventions on transition kernel; validates with semi-synthetic simulations on FICO and COMPAS. No concrete deployment monitoring/revision governance specified.</t>
  </si>
  <si>
    <t>Rateike2024LongTermPolicies</t>
  </si>
  <si>
    <t>Proposes a framework to design a time-independent decision policy that converges to a targeted fair stationary state, modeling dynamics as a time-homogeneous Markov chain and optimizing policies using Markov Chain Convergence Theorem (irreducibility + aperiodicity) constraints to ensure unique convergence.</t>
  </si>
  <si>
    <t>Motivates that in dynamical systems, decisions affect individuals and future data distributions; neglecting these feedback effects can increase inequalities and unfairness in the long term, and frequent policy updates can erode public trust due to temporal inconsistency.</t>
  </si>
  <si>
    <t>Provides a formal, testable long-term fairness specification and policy optimization framework for dynamical decision systems with explicit ε-level constraints, but does not address deployment-time monitoring, drift handling, or governance/ownership for revising fairness targets and policies in practice.</t>
  </si>
  <si>
    <t>Model dynamics as time-homogeneous Markov chain with transition kernel induced by policy π (and environment mechanisms g, ℓ). Impose Markov Chain Convergence Theorem conditions (irreducible + aperiodic) on the policy-induced kernel to ensure unique stationary distribution, and optimize π to reach targeted fair equilibrium. Validate via semi-synthetic simulations initialized from real data (FICO, COMPAS), comparing long-term policy vs short-term policies; analyze robustness to covariate shift and distinguish short-term (distribution) vs long-term (transition kernel) interventions.</t>
  </si>
  <si>
    <t>Uses long-term (stationary) group fairness targets/constraints such as equality of opportunity unfairness EOPUnf, demographic parity/sufficiency (mentioned), return parity / equal acceptance rate (related work). Evaluates utility U and EOPUnf over time; reports equilibrium utility/unfairness and cumulative measures in simulations.</t>
  </si>
  <si>
    <t>Uses sensitive attribute S (e.g., gender or race) with group-conditional feature distributions μ_t(x|s). Example domains: lending (credit score X; S as race or gender; Y repayment), COMPAS recidivism (race), admissions (mentioned).</t>
  </si>
  <si>
    <t>Discusses societal/policy interventions (e.g., subsidies) as mechanisms to improve short-term fairness during convergence without changing the long-term equilibrium; frames interventions and trust/consistency as sociotechnical concerns but does not specify real-world governance roles or operational monitoring.</t>
  </si>
  <si>
    <t>Formalizes long-term fair policy objective as finding a policy π such that a targeted fair distribution is a stationary distribution (μ_s = μ_s P_s^π) and policy-induced Markov chains satisfy convergence criteria; defines optimization min_π J_LT(μ,π) s.t. C_LT(μ,π)≥0 and C_conv(P_s^π)≥0.</t>
  </si>
  <si>
    <t>P070</t>
  </si>
  <si>
    <t>Example: tolerated unfairness ε = 0.01 (EOP constraint at equilibrium).</t>
  </si>
  <si>
    <t>Semi-synthetic simulations based on real-world datasets (FICO loan repayment; COMPAS recidivism) show convergence to targeted ε-fair equilibrium, temporal stability vs short-term updated policies, robustness to covariate shift, and effects of short-term vs long-term interventions.</t>
  </si>
  <si>
    <t>P071 — Blandin2024FairIRL</t>
  </si>
  <si>
    <t>FAccT’24 paper introduces FairIRL: learn group fairness preference weights from expert demonstrations (human or algorithmic) using inverse RL / max-margin feature matching; represent accuracy and fairness metrics as reward components and solve for classifiers via LP. Evaluates recovery, covariate-shift generalization, and transfer (Adult/ACSIncome/Boston Housing). Notes limitations: biased demonstrators, IRL non-identifiability, incomplete metric coverage (calibration/predictive parity), and includes ethics/positionality/adverse impact statements. No monitoring/revision governance described.</t>
  </si>
  <si>
    <t>Blandin2024FairIRL</t>
  </si>
  <si>
    <t>Frames group fairness in classification as an inverse reinforcement learning (IRL) problem: represent accuracy and fairness metrics as weighted reward components and recover expert fairness-preference weights from demonstrations; then optimize a new classifier in a target domain using the learned weights via linear programming.</t>
  </si>
  <si>
    <t>Motivates that fairness is hard to define in new domains and typically requires manual fine-tuning of fairness trade-offs; proposes a “low-touch” method to adapt fairness preferences across domains and under covariate shift.</t>
  </si>
  <si>
    <t>Infers fairness preferences from expert demonstrations (historical decisions/predictions) rather than repeated interactive elicitation; experts can be humans (e.g., admissions board) or existing fairness algorithms producing predictions.</t>
  </si>
  <si>
    <t>Provides an explicit, testable operationalization of “fairness preferences” via learned reward weights and demonstrates cross-domain transfer under covariate shift, but does not specify deployment-time monitoring, acceptance thresholds for release, or governance for revising fairness preferences over time.</t>
  </si>
  <si>
    <t>Generate expert demonstrations by training expert fairness classifiers on a first data split, predicting on a second split to produce demonstrations, then run FairIRL to learn reward weights via iterative SVM max-margin separation of expert vs learned feature expectations; compute new classifier by solving a linear program with learned weights (classification-as-MDP special case). Evaluate on held-out split; test robustness to covariate shift (ACSIncome MA→MS) and transfer to new dataset (Adult→Boston Housing).</t>
  </si>
  <si>
    <t>Fairness metrics used as feature expectations and/or evaluation: demographic parity (DemPar), equal opportunity (EqOpp), true negative rate parity (TNRPar), plus group rates (PR/NR/TPR/TNR per group); evaluates additional metrics not directly represented (e.g., equalized odds-related, predictive parity/negative predictive parity) and accuracy.</t>
  </si>
  <si>
    <t>Binary sensitive attribute Z∈{0,1}; experiments set race as protected attribute (white vs non-white) in Adult and ACSIncome; Boston Housing uses race as whether proportion of Black residents exceeds median (binary).</t>
  </si>
  <si>
    <t>Uses expert/human or algorithmic decision demonstrations as a proxy for fairness preferences; discusses risks of biased demonstrators and non-identifiability, and includes ethics/positionality/adverse impact statements, but does not define deployment governance, monitoring, or revision processes.</t>
  </si>
  <si>
    <t>Defines group fairness metrics (e.g., demographic parity, equal opportunity) and models fairness + efficiency as a weighted reward R = w1·RAcc + w2·RDemPar + w3·REqOpp; learns weights w to match expert feature expectations within ε using max-margin IRL-style updates and then solves a linear program to compute a classifier optimizing learned weights.</t>
  </si>
  <si>
    <t>P071</t>
  </si>
  <si>
    <t>Convergence threshold ε used to stop FairIRL iterations when SVM margin/error falls below ε (numeric value not provided in excerpt).</t>
  </si>
  <si>
    <t>Experiments on Adult, ACSIncome, and Boston Housing show (i) recovery of expert fairness preferences (learned weights align with expert objectives), (ii) generalization under covariate shift (train on MA demos, apply to MS), and (iii) transfer to new dataset without target-domain demonstrations; compares to behavioral cloning baseline.</t>
  </si>
  <si>
    <t>P072 — Han2024SFairGNN</t>
  </si>
  <si>
    <t>SIGKDD Explorations (Vol 25, Issue 2, 2024) article proposes “structure fairness” in graphs: marginal nodes (by centrality) are disadvantaged in GNN downstream accuracy; defines fairness metrics PCC and STD relating centrality to accuracy; proposes SFairGNN (neighborhood expansion + hop-aware attentive aggregation) and evaluates on multiple benchmark graphs with ablations. Motivates via social-network/job-market scenarios and notes sociological meaning of centrality thresholding, but provides no deployment monitoring/revision governance.</t>
  </si>
  <si>
    <t>Han2024SFairGNN</t>
  </si>
  <si>
    <t>Defines and targets “structure fairness” for GNNs: marginal nodes (identified via centrality) exhibit worse downstream task performance; proposes SFairGNN with (i) neighborhood expansion (structure debiasing) to add neighbors for marginal nodes and (ii) hop-aware attentive aggregation to fuse multi-hop information, improving fairness while maintaining accuracy.</t>
  </si>
  <si>
    <t>Frames a sociotechnical concern that individuals at the periphery of social graphs (marginal nodes) can be unfairly depreciated by graph learning systems, which may particularly affect underprivileged communities; argues graph-structure-induced unfairness should be addressed beyond protected-attribute fairness.</t>
  </si>
  <si>
    <t>Introduces measurable “structure fairness” for GNNs and a mitigation (SFairGNN) with strong offline evaluation, but lacks explicit acceptance thresholds and does not address deployment-time monitoring or revision governance as graph structures and populations evolve.</t>
  </si>
  <si>
    <t>Cluster/bin nodes by centrality (closeness/eigenvector) and compare per-bin average accuracy; compute PCC between centrality and accuracy and STD across bins as fairness indicators. SFairGNN mitigates structure unfairness by expanding neighborhoods for marginal nodes using a debiased adjacency matrix (only strengthen edges for marginal nodes) and multi-hop neighbor sets (up to hop h), then applies hop-aware attention aggregation and hop fusion (SEQ/AVG/MAX) to compute embeddings. Evaluated on node classification across multiple benchmark graphs (Cora, CiteSeer, PubMed, CoraFull, Photo, Physics) comparing against GCN/GAT/GraphSAGE.</t>
  </si>
  <si>
    <t>Structure-fairness metrics: PCC (Pearson correlation coefficient between centrality and accuracy) and STD (standard deviation of accuracy across bins of centrality). Also reports overall node classification accuracy (ACC).</t>
  </si>
  <si>
    <t>Not based on sensitive attributes; groups defined by structural position. Identifies marginal vs central nodes using centrality measures (closeness centrality, eigenvector centrality) and a threshold (“margin line”) to label nodes as marginal (s_i ≤ line) vs central.</t>
  </si>
  <si>
    <t>Motivating examples (Twitter attention, LinkedIn/job market) connect structural marginalization to fairness harms; notes margin line hyperparameter has sociological meaning and should be set carefully, but does not specify stakeholder governance, monitoring, or revision procedures.</t>
  </si>
  <si>
    <t>Operationalizes “structure fairness” as reducing dependence of node classification performance on node structural position (centrality). Uses quantitative fairness metrics PCC (Pearson correlation between centrality and accuracy) and STD (std dev of accuracy across centrality bins); aims for PCC close to 0 and lower STD, while maintaining overall ACC.</t>
  </si>
  <si>
    <t>P072</t>
  </si>
  <si>
    <t>Uses a heuristic threshold “margin line” (line) on centrality to define marginal nodes; values explored in sensitivity analysis (e.g., 0.1–0.9). No acceptance threshold specified for PCC/STD beyond “close to 0 / lower is better.”</t>
  </si>
  <si>
    <t>Experiments on six real-world benchmark graph datasets show SFairGNN improves structure fairness metrics (lower STD and PCC nearer 0) relative to baseline GNNs while keeping overall accuracy comparable; includes ablations for fusion methods and sensitivity analyses for hop number and margin line.</t>
  </si>
  <si>
    <t>P073 — Li2025PAMI (SFairGNN / structure fairness)</t>
  </si>
  <si>
    <t>Coded from provided excerpt (abstract, method, and experimental summary). Focus is “structure fairness” (marginal nodes by centrality) rather than protected attributes; defines PCC/STD fairness metrics; proposes SFairGNN (neighborhood expansion + hop-aware attention + hop fusion) and evaluates on multiple graph benchmarks. Stakeholder elicitation and deployment governance/monitoring are not described; acceptance thresholds are not specified.</t>
  </si>
  <si>
    <t>Li2025PAMI</t>
  </si>
  <si>
    <t>Defines “structure fairness” for GNNs and proposes SFairGNN to mitigate structure unfairness amplified by message passing. SFairGNN combines (i) neighborhood expansion (structure debiasing) for marginal nodes and (ii) hop-aware attentive information aggregation with hop fusion (SEQ/AVG/MAX) to improve structure fairness while maintaining downstream accuracy.</t>
  </si>
  <si>
    <t>Motivation frames sociotechnical harm: nodes at the periphery (“marginal nodes”) in social networks can be treated unfairly compared to central nodes; argues fairness issues in graphs should include structure-induced unfairness beyond protected-attribute fairness (e.g., age/gender).</t>
  </si>
  <si>
    <t>Provides a measurable definition of structure fairness for GNNs (via PCC/STD over centrality) and an effective mitigation (SFairGNN) with extensive offline evaluation, but lacks explicit acceptance thresholds and does not address deployment-time monitoring or requirements revision/governance as graph structure and populations change.</t>
  </si>
  <si>
    <t>Bin/cluster nodes by centrality (closeness/eigenvector) and compute per-bin accuracy; compute PCC between centrality and accuracy and STD across bins as fairness indicators. Mitigation: neighborhood expansion strengthens connections for marginal nodes via a debiased adjacency matrix (strengthen edges involving marginal nodes), generating multi-hop neighbor sets up to hop h; hop-aware attentive aggregation learns attention weights per hop and fuses hop-wise embeddings (SEQ/AVG/MAX). Evaluated on node classification datasets (Cora, CiteSeer, PubMed, CoraFull, Photo, Physics) against GCN/GAT/GraphSAGE.</t>
  </si>
  <si>
    <t>Structure fairness metrics: PCC (Pearson correlation coefficient between centrality and accuracy) and STD (standard deviation of accuracy across centrality bins). Also reports overall node classification accuracy (ACC).</t>
  </si>
  <si>
    <t>Not sensitive-attribute-based; groups are defined by structural position. Marginal vs central nodes identified using centrality metrics (closeness centrality, eigenvector centrality) and a threshold (“margin line”) where nodes with s_i ≤ line are treated as marginal.</t>
  </si>
  <si>
    <t>Uses social-network/job-market examples (Twitter attention; LinkedIn/job market marginalization) to explain why peripheral nodes should not be depreciated; notes the “margin line” threshold has sociological meaning and should be set seriously, but does not describe organizational governance, deployment monitoring, or revision responsibilities.</t>
  </si>
  <si>
    <t>Specifies structure fairness as reducing dependence between a node’s structural position (centrality) and downstream task performance. Measures fairness using PCC (Pearson correlation between centrality and accuracy) and STD (std dev of accuracy across centrality bins), aiming for PCC close to 0 and lower STD while keeping overall ACC comparable.</t>
  </si>
  <si>
    <t>Affected groups</t>
  </si>
  <si>
    <t>P073</t>
  </si>
  <si>
    <t>Uses a heuristic “margin line” threshold on centrality to label marginal nodes; explores line values (e.g., 0.1–0.9) and hop number h (e.g., 1–5) in sensitivity analysis. No explicit acceptance threshold stated for PCC/STD beyond “close to 0 / lower is better.”</t>
  </si>
  <si>
    <t>Reports experiments on multiple real-world graph benchmarks showing SFairGNN improves structure fairness metrics (lower STD; PCC nearer 0) versus baseline GNNs while maintaining overall accuracy; includes ablations on fusion method and sensitivity analyses for hop number and margin line.</t>
  </si>
  <si>
    <t>P074 — Pham2025 (FAIREDU)</t>
  </si>
  <si>
    <t>Coded from provided abstract + intro excerpt only. Paper targets education applications and emphasizes intersectional fairness across multiple sensitive features; reports DI/SPD improvements and maintaining performance via offline experiments. No stakeholder elicitation, explicit thresholds, or monitoring/revision processes in excerpt.</t>
  </si>
  <si>
    <t>Pham2025FAIREDU</t>
  </si>
  <si>
    <t>Proposes FAIREDU, a multiple regression-based “debug data” method to reduce fairness disparities across multiple sensitive features (intersectional assessment) while minimizing impact on predictive performance; reports large reductions in Disparate Impact and Statistical Parity Difference on public/private datasets.</t>
  </si>
  <si>
    <t>Frames fairness harms in education as long-term and life-shaping: biases in assessments/admissions/personalized learning can reinforce inequities for marginalized groups (e.g., gender, race, socioeconomic status), affecting trajectories and mobility.</t>
  </si>
  <si>
    <t>Outcome parity</t>
  </si>
  <si>
    <t>Provides an offline fairness-mitigation method (FAIREDU) for educational ML that improves group disparity metrics across multiple sensitive features while preserving performance, but does not specify explicit acceptance thresholds or any deployment-time monitoring and revision governance.</t>
  </si>
  <si>
    <t>Runs experiments on six public datasets and one private dataset; evaluates fairness improvements using DI and SPD (reports up to 96.7% reduction in DI for Gender on Oulad and up to 88.55% reduction in SPD for Gender on Adult) while tracking predictive performance; compares against state-of-the-art methods.</t>
  </si>
  <si>
    <t>Disparate Impact (DI); Statistical Parity Difference (SPD). (Mentions reducing fairness disparities while maintaining predictive performance.)</t>
  </si>
  <si>
    <t>Sensitive features include gender and race; introduction also mentions socioeconomic status (education context). Method aims to address fairness across multiple sensitive features (intersectional), but specific protected-group definitions per dataset are not fully detailed in this excerpt.</t>
  </si>
  <si>
    <t>Goal stated as improving fairness across multiple sensitive features while maintaining model performance; fairness evaluated via disparity metrics (e.g., DI, SPD) but no explicit acceptance thresholds/requirements statement is provided in the excerpt.</t>
  </si>
  <si>
    <t>Narrative goal</t>
  </si>
  <si>
    <t>P074</t>
  </si>
  <si>
    <t>Experimental evaluation on multiple datasets (six public + one private) shows FAIREDU reduces DI/SPD disparities substantially while maintaining high predictive performance; reports comparison vs state-of-the-art methods.</t>
  </si>
  <si>
    <t>P075 — Abbas2025 (SME lending; mixed-methods)</t>
  </si>
  <si>
    <t>Drift not addressed, Governance absent, No revision process/ownership, No thresholds / acceptance criteria, Unstable subgroup definitions</t>
  </si>
  <si>
    <t>Coded from abstract + early introduction excerpt only. Strong on sociotechnical framing and stakeholder elicitation (interviews; COM-B) plus quantitative diagnostic by education-level disparities; explicitly notes missing demographics (gender/race) and limits on intersectional fairness. No explicit operational acceptance criteria, monitoring, or revision process described in excerpt.</t>
  </si>
  <si>
    <t>Abbas2025LendingByAlgorithm</t>
  </si>
  <si>
    <t>Trains/evaluates a random forest credit scoring classifier on 5,000 anonymized loan applications (AUC ≈ 0.998) and runs fairness diagnostics showing approval-rate disparity by education level (low education approved ~3× lower than advanced degrees) despite similar false positive rates; frames pipeline as an information-processing system and discusses feature emphasis (income, digital banking activity).</t>
  </si>
  <si>
    <t>Frames credit allocation as a high-stakes domain where fairness, transparency, and trust are critical; highlights financial inclusion concerns in SME lending and notes that anonymized datasets lacking demographics limit evaluation of intersectional fairness.</t>
  </si>
  <si>
    <t>Interviews</t>
  </si>
  <si>
    <t>Conducts twelve semi-structured interviews with SME owners and financial managers (US/UK), analyzed using the COM-B framework to capture perceived fairness/validity cues in lending decisions.</t>
  </si>
  <si>
    <t>Combines offline credit-model fairness diagnostics with stakeholder interviews to surface misalignment between statistical and experiential fairness in SME lending, but does not specify measurable acceptance thresholds or any deployment-time monitoring and revision governance for fairness over time.</t>
  </si>
  <si>
    <t>Offline simulation of lending conditions: train/evaluate random forest on US dataset of 5,000 anonymized SME loan applications; compute performance (AUC) and fairness diagnostics across groups (education-level approval rates; false positive rates). Complement with qualitative interviews analyzed via COM-B; triangulate to assess alignment between model-recognized signals and perceived fairness cues.</t>
  </si>
  <si>
    <t>Reports AUC for model performance; compares approval rates across education groups; compares false positive rates across groups (implying error-rate parity analysis). Mentions fairness diagnostics but specific named fairness metrics are not provided in excerpt.</t>
  </si>
  <si>
    <t>Groups compared primarily by education level (proxy/socioeconomic indicator). Paper notes demographic attributes like gender and race are absent in the anonymized dataset, preventing intersectional fairness evaluation.</t>
  </si>
  <si>
    <t>Uses a convergent mixed-methods design with 12 semi-structured interviews (SME owners/financial managers; US/UK) coded with COM-B; finds misalignment between algorithm’s structural indicators and users’ behavioral fairness cues (payment reliability, resilience). Argues statistical fairness does not guarantee experiential fairness; calls for integrating behavioral indicators and for policy reforms addressing sociotechnical gaps.</t>
  </si>
  <si>
    <t>Aims to assess fairness, transparency, and trust in AI-based credit decision pipelines and to diagnose misalignment between statistical diagnostics and experiential fairness; does not provide explicit acceptance thresholds or formal fairness requirement statements in the provided excerpt.</t>
  </si>
  <si>
    <t>Affected groups, Regulators, Users</t>
  </si>
  <si>
    <t>P075</t>
  </si>
  <si>
    <t>Triangulates quantitative model evaluation (AUC + group fairness diagnostics) with qualitative interview findings to argue statistical fairness can diverge from experiential fairness; cautions performance given constrained anonymized dataset and missing demographic attributes.</t>
  </si>
  <si>
    <t>P076 — Holstein2019</t>
  </si>
  <si>
    <t>Missing context assumptions, Monitoring without triggers, No revision process/ownership, No thresholds / acceptance criteria, Other</t>
  </si>
  <si>
    <t>Strong empirical methods (35 interviews + 267 survey) and detailed themes about practitioner needs. Focus is on needs/support, not on specifying a fairness requirement with measurable metric + threshold. Treat ‘operationalization’ here as operationalization of support needs and auditing processes, not metric-based requirement satisfaction; hence QA3=No and thresholds/acceptance criteria=No.</t>
  </si>
  <si>
    <t>Holstein2019</t>
  </si>
  <si>
    <t>We identify areas of alignment and disconnect... while the fair ML literature has largely focused on “de-biasing” methods... most of our interviewees report that their teams consider data collection... the most important place to intervene.</t>
  </si>
  <si>
    <t>We investigate the challenges faced by commercial ML product teams... in monitoring for unfairness and taking appropriate action...</t>
  </si>
  <si>
    <t>Fairness notions list, Other, Stakeholder goals</t>
  </si>
  <si>
    <t>Interviews, Surveys</t>
  </si>
  <si>
    <t>Through 35 semi-structured interviews and an anonymous survey of 267 ML practitioners...</t>
  </si>
  <si>
    <t>Contestability/recourse, Error parity, Other, Outcome parity, Procedural fairness</t>
  </si>
  <si>
    <t>Empirically elicits industry practitioners’ challenges/needs for fair ML across the development pipeline (data collection, auditing, debugging, human-in-the-loop biases), highlighting major socio-technical gaps and the absence of standardized, measurable acceptance criteria and revision governance for maintaining fairness requirements over time.</t>
  </si>
  <si>
    <t>Qualitative synthesis via contextual design (interpretation sessions + affinity diagramming) and quantitative survey (Likert items; percentages) across pipeline stages; not a fairness-metric computation procedure.</t>
  </si>
  <si>
    <t>Fairness metrics discussed conceptually (between-group disparities; parity in error rates/decisions); also references fairness KPIs/metrics as practitioner need; no single metric adopted as a requirement.</t>
  </si>
  <si>
    <t>Monitoring for unfairness post-deployment; complaints, media coverage; auditing slices/subpopulations; fairness metrics/KPIs and automated tests (often missing, noted as need).</t>
  </si>
  <si>
    <t>We investigate... monitoring for unfairness... teams do not discover serious fairness issues until they receive customer complaints...</t>
  </si>
  <si>
    <t>Discusses demographics such as race, gender, age; also application-specific cohorts (e.g., native speaker status) and other subpopulations relevant to context; notes sensitive demographics often unavailable at individual level.</t>
  </si>
  <si>
    <t>We stress that biases and unfairness are fundamentally sociotechnical problems... technically focused research efforts must go hand-in-hand with efforts to improve organizational processes, policies, and education.</t>
  </si>
  <si>
    <t>We provided a broad definition: “Any case where AI/ML systems perform differently for different groups in ways that may be considered undesirable.”</t>
  </si>
  <si>
    <t>P076</t>
  </si>
  <si>
    <t>User study</t>
  </si>
  <si>
    <t>We conducted... 35 semi-structured interviews... and an anonymous survey of 267 industry ML practitioners...</t>
  </si>
  <si>
    <t>P077 — Madaio2020</t>
  </si>
  <si>
    <t>Monitoring without triggers, No revision process/ownership, No thresholds / acceptance criteria, Other</t>
  </si>
  <si>
    <t>Qualitative, practitioner-centered paper: iterative co-design (interviews + workshops) producing a fairness checklist and themes about organizational infrastructure, workflow alignment, customization, and risks of checklists as compliance. No quantitative fairness metrics, thresholds, or decision rules are specified; monitoring/revision are discussed as challenging and as checklist prompts rather than as implemented governance mechanisms.</t>
  </si>
  <si>
    <t>Madaio2020</t>
  </si>
  <si>
    <t>We co-designed an AI fairness checklist and identified desiderata and concerns for AI fairness checklists in general.</t>
  </si>
  <si>
    <t>We found that AI fairness efforts are often the result of ad-hoc processes, driven by passionate individual advocates. Organizational culture can inhibit the efficacy of these efforts by prioritizing a fast-paced development and deployment lifecycle.</t>
  </si>
  <si>
    <t>Fairness notions list, Other, Requirements list, Scenarios</t>
  </si>
  <si>
    <t>Interviews, Participatory design, Workshops</t>
  </si>
  <si>
    <t>We conducted an iterative co-design process with 48 practitioners... Through a series of semi-structured interviews and co-design workshops, we co-designed an AI fairness checklist...</t>
  </si>
  <si>
    <t>Co-designs a lifecycle-structured AI fairness checklist with practitioners and surfaces organizational and sociocultural barriers, but does not operationalize fairness into measurable metrics/thresholds or specify monitoring triggers and revision governance for maintaining fairness requirements over time.</t>
  </si>
  <si>
    <t>Monitoring fairness criteria after deployment (discussed as checklist items / practitioner challenge).</t>
  </si>
  <si>
    <t>Participants... shared that monitoring fairness criteria after deployment would be challenging for their teams... prompting teams to monitor fairness criteria after deployment...</t>
  </si>
  <si>
    <t>Demographic groups such as race, gender, and age are discussed as examples of stakeholder groups; the study itself analyzes practitioner roles rather than a single protected attribute dataset.</t>
  </si>
  <si>
    <t>Practitioners believe that checklists could provide organizational infrastructure for formalizing ad-hoc processes and empowering individual advocates, but only if they are aligned with teams’ existing workflows and supported by organizational culture.</t>
  </si>
  <si>
    <t>This initial checklist included items to consider at six different stages of the AI development and deployment lifecycle... such as “Define fairness criteria,” and “Assess fairness criteria.”</t>
  </si>
  <si>
    <t>Narrative goal, Requirement template</t>
  </si>
  <si>
    <t>P077</t>
  </si>
  <si>
    <t>We conducted an iterative co-design process with 48 practitioners... semi-structured interviews and co-design workshops...</t>
  </si>
  <si>
    <t>P078 — Zhang2020</t>
  </si>
  <si>
    <t>Technical SE paper: defines individual discrimination formally; introduces gradient-based ADF (global+local generation) for DNN; extensive empirical evaluation vs AEQUITAS/SG; demonstrates fairness improvement via data augmentation + retraining. No stakeholder/context elicitation; fairness target is nondiscrimination via protected-attribute counterfactual pairs; no thresholds or monitoring/revision lifecycle mechanisms.</t>
  </si>
  <si>
    <t>Zhang2020</t>
  </si>
  <si>
    <t>We propose a scalable gradient-based algorithm called Adversarial Discrimination Finder (ADF) for generating individual discriminatory instances... ADF has two parts: global generation (clustering + gradient-guided perturbation) and local generation (gradient saliency-based neighbor search).</t>
  </si>
  <si>
    <t>One desirable property of DNN for applications with societal impact is fairness (i.e., non-discrimination)... discrimination is often defined over a set of protected attributes... application-dependent and given in advance.</t>
  </si>
  <si>
    <t>Proposes a scalable white-box fairness testing method (ADF) to generate many individual discriminatory instances for DNNs and show retraining reduces measured individual discrimination, but provides no acceptance thresholds, stakeholder elicitation, or deployment-time monitoring and revision governance to maintain fairness requirements over time.</t>
  </si>
  <si>
    <t>Generate discriminatory instance pairs via ADF (global: K-means clustering + gradient-guided perturbations; local: gradient-absolute-value saliency for low-impact feature perturbation). Evaluate effectiveness by #GDiff and #ID under fixed budgets/time; evaluate efficiency by time to generate 1000 discriminatory instances; evaluate fairness improvement by retraining with generated instances and re-estimating discrimination rate via random sampling.</t>
  </si>
  <si>
    <t>Individual discrimination rate / frequency: proportion of sampled inputs that are individual discriminatory instances (as in AEQUITAS evaluation); also counts of individual discriminatory instances (#ID) and explored non-duplicate inputs (#GDiff).</t>
  </si>
  <si>
    <t>Protected attributes explicitly tested: age, race, gender (application-dependent; provided in advance).</t>
  </si>
  <si>
    <t>Definition 2.1 (individual discrimination): x is discriminatory if ∃x′ differing only in protected attributes P, equal on non-protected NP, and D(x) ≠ D(x′).</t>
  </si>
  <si>
    <t>P078</t>
  </si>
  <si>
    <t>Experiments on 6 benchmarks using 3 datasets (Census Income, German Credit, Bank Marketing) and protected attributes (age/race/gender) comparing ADF to AEQUITAS and Symbolic Generation on effectiveness (#ID/#GDiff), efficiency (time), and fairness improvement via retraining.</t>
  </si>
  <si>
    <t>P079 — Sharma2019</t>
  </si>
  <si>
    <t>SE testing paper reframes fairness for the learning phase as invariance to training-data/feature permutations and renamings (balanced data usage). Provides formal metamorphic relations + TILE framework, with approximate equivalence checking and empirical evaluation on scikit-learn classifiers (12/14 unbalanced). Does not operationalize fairness as protected-group outcome parity or specify thresholds/monitoring/revision processes.</t>
  </si>
  <si>
    <t>Sharma2019</t>
  </si>
  <si>
    <t>We develop a (metamorphic) testing approach called TILE for checking balanced data usage ... with mm-transformations (row/column permutations, feature name shuffling, renaming values) and equivalence checking of predictors.</t>
  </si>
  <si>
    <t>Fairness testing aims at checking whether a classifier ... is biased ... (e.g. gender or age)... Most often, the reasons for unfairness lie in the data set used for training.</t>
  </si>
  <si>
    <t>Introduces a formal, testable fairness-like requirement for the learning phase—balanced data usage—operationalized via metamorphic relations and model-equivalence checking across training-data transformations, but does not connect to protected-group fairness metrics, acceptance thresholds, or lifecycle monitoring and revision governance.</t>
  </si>
  <si>
    <t>Apply metamorphic transformations to (F,T); train models on original and transformed data; check equivalence via (1) representation equality when computable and (2) equivalence testing on sampled/random/training/min-max-median-mean test inputs (INPUT_RATIO/TRAIN_RATIO); compute approximate balancedness indicators; evaluate across 14 scikit-learn classifiers plus intentionally unbalanced baselines on 4 artificial + 9 UCI real datasets.</t>
  </si>
  <si>
    <t>Balancedness indicators bi_t and bi (transformation-specific and overall), defined as proportions of tested transformations yielding equivalent models; sensitivity rates per transformation type; percentage of test cases classified differently after transformations.</t>
  </si>
  <si>
    <t>Not the focus: balanced data usage aims to treat all training data/features equally (invariance to ordering/naming). Uses gender/age as examples of protected attributes in conventional fairness testing discussion.</t>
  </si>
  <si>
    <t>Definition 1: learn is balanced iff for all mm-transformations g, learn(F,T) ≡ learn(g(F,T)) (model equivalence under row/column permutations, feature-name shuffling, value renaming).</t>
  </si>
  <si>
    <t>Developers, Other</t>
  </si>
  <si>
    <t>P079</t>
  </si>
  <si>
    <t>Applied TILE to 14 scikit-learn classifiers with 4 artificial and 9 real-world datasets; found 12/14 classifiers unbalanced under row/column permutations; additional experiments on intentionally unbalanced classifiers and on equivalence-testing sensitivity (TRAIN_RATIO/INPUT_RATIO).</t>
  </si>
  <si>
    <t>P080 — Aggarwal2019</t>
  </si>
  <si>
    <t>Governance absent, No thresholds / acceptance criteria</t>
  </si>
  <si>
    <t>Fairness notion is individual discrimination (non-probabilistic, strict equality on non-protected attrs; notes future work for continuous attrs/correlation handling). Black-box test generation via LIME decision-tree path + symbolic toggling; compares vs THEMIS and AEQUITAS across multiple benchmarks; provides threats to validity incl. limits for high-dimensional data and dependence on LIME approximation.</t>
  </si>
  <si>
    <t>Aggarwal2019</t>
  </si>
  <si>
    <t>“Our approach combines two well-established techniques - symbolic execution and local explainability for effective test case generation.”</t>
  </si>
  <si>
    <t>“Individual discrimination” exists when a given individual different from another only in “protected attributes” (e.g., age, gender, race, etc.) receives a different decision outcome…</t>
  </si>
  <si>
    <t>Strong test-generation/validation for individual discrimination in black-box models, but no stakeholder elicitation, no acceptance thresholds, and no monitoring/revision governance.</t>
  </si>
  <si>
    <t>Generate test cases (non-protected attribute combinations) using Symbolic Generation (SG): use seed data + KMeans clustering; derive local decision-tree path using LIME; toggle high-confidence predicates (threshold T1=0.3) for global search; when discriminatory input found, do local symbolic search; check discrimination by enumerating combinations of protected attribute values and comparing outputs.</t>
  </si>
  <si>
    <t>Individual discrimination (pairwise counterfactual consistency: differing only in protected attribute but different decision). Success score = |Succ|/|Gen| for test generation. Path coverage (decision regions covered via decision tree approximation).</t>
  </si>
  <si>
    <t>Uses LIME decision tree path as symbolic-execution ‘path’ for black-box models; uses seed data clustering (KMeans, k=4) and confidence threshold T1=0.3; local search uses ‘sticky solutions’ near discriminatory path; experiments largely on logistic regression models trained on fairness benchmarks (German credit, Adult, Bank marketing, US executions, etc.).</t>
  </si>
  <si>
    <t>Protected attributes P (examples used in experiments: gender, age, race, sex).</t>
  </si>
  <si>
    <t>“a system is said to be fair if for any two valid inputs which differ only in the protected attribute are always assigned the same class”</t>
  </si>
  <si>
    <t>P080</t>
  </si>
  <si>
    <t>“We empirically compare our technique with the existing algorithms i.e. THEMIS, AEQUITAS and demonstrate the performance improvement…”</t>
  </si>
  <si>
    <t>P081 — Bellamy2019</t>
  </si>
  <si>
    <t>Primarily a toolkit/architecture + metrics/algorithms catalog paper; provides terminology and pipeline abstractions (Dataset, Metric, Explainer, Transformer). Includes evaluation on Adult, German Credit, COMPAS with multiple metrics and mitigation algorithms; emphasizes industrial usability, extensibility, documentation, and CI/testing. Mentions explanation capability (reporting; future: localization, recourse, counterfactuals).</t>
  </si>
  <si>
    <t>Bellamy2019</t>
  </si>
  <si>
    <t>“AIF360 is designed as an end-to-end workflow with two goals: (a) ease of use and (b) extensibility.”</t>
  </si>
  <si>
    <t>“Fairness is an increasingly important concern as machine learning models are used to support decision making in high-stakes applications such as mortgage lending, hiring, and prison sentencing.”</t>
  </si>
  <si>
    <t>Comprehensive fairness metrics+mitigation toolkit and pipeline abstractions, but it does not define domain-specific acceptance thresholds/decision rules and provides limited guidance on governance, monitoring, or revision in deployment.</t>
  </si>
  <si>
    <t>Compute dataset and classification fairness metrics via Metric classes over one or two Dataset objects; evaluate mitigation algorithms in pre-/in-/post-processing pipeline (fit/transform/predict). Example evaluation uses 25 random train/val/test splits; fairness metrics computed before/after mitigation and on predicted labels; classifiers include LR/RF/NN.</t>
  </si>
  <si>
    <t>Toolkit implements bias detection metrics (e.g., disparate impact (DI), statistical parity difference (SPD), average odds difference, equal opportunity difference; generalized entropy index for individual+group unfairness; consistency (individual fairness).</t>
  </si>
  <si>
    <t>AIF360 open-source Python toolkit (Apache v2.0) + web demo; designed to bridge research-to-industry. Provides 70+ metrics and 9 mitigation algorithms across pre-/in-/post-processing; scikit-learn-like API; dataset abstraction with protected attributes and provenance pointer to prior dataset state.</t>
  </si>
  <si>
    <t>Protected attributes (examples: race, sex/gender, age, caste, religion). Privileged vs unprivileged groups defined per protected attribute; favorable vs unfavorable label.</t>
  </si>
  <si>
    <t>“...an interactive Web experience ... for line-of-business users, as well as extensive documentation, usage guidance, and industry-specific tutorials...”</t>
  </si>
  <si>
    <t>“A protected attribute is an attribute that partitions a population into groups… Group fairness is the goal of groups defined by protected attributes receiving similar treatments or outcomes… A fairness metric is a quantification of unwanted bias…”</t>
  </si>
  <si>
    <t>P081</t>
  </si>
  <si>
    <t>“Table 2 provides the datasets, metrics, classifiers, and bias mitigation algorithms used in our experiments.”</t>
  </si>
  <si>
    <t>P082 — Black2020FlipTest</t>
  </si>
  <si>
    <t>Black-box fairness testing using optimal transport (GAN approximation) to generate in-distribution counterfactual-like pairs; introduces flipsets + transparency reports; shows can reveal subgroup discrimination even when demographic parity / equalized odds hold; stresses that flipsets are evidence for investigation, not proof of unlawful discrimination (e.g., business necessity).</t>
  </si>
  <si>
    <t>Black2020FlipTest</t>
  </si>
  <si>
    <t>“FlipTest leverages optimal transport to match individuals in different protected groups, creating similar pairs of in-distribution samples.”</t>
  </si>
  <si>
    <t>“We present FlipTest, a black-box technique for uncovering discrimination in classifiers… had an individual been of a different protected status, would the model have treated them differently?”</t>
  </si>
  <si>
    <t>Strong black-box individual/subgroup discrimination testing and diagnostic reporting, but does not define deployment acceptance thresholds, monitoring signals, or a revision/ownership process.</t>
  </si>
  <si>
    <t>Construct optimal transport map G between protected groups (uses GAN-approximated OT with cost = squared L1; generator loss adds transport cost term). For each x in source group S, compare h(x) vs h(G(x)) to form flipsets; compare flipset distributions vs population to identify affected subgroups; compute transparency report rankings from feature differences between x and G(x).</t>
  </si>
  <si>
    <t>Flipset size and asymmetry: |F+(h,G)| and |F−(h,G)|; net flipset size and relation to demographic parity / equalized odds; transparency report feature rankings based on average (x−G(x)) and sign(x−G(x)) over flipset.</t>
  </si>
  <si>
    <t>Uses optimal transport between protected-group distributions; OT approximated by Wasserstein GAN with added transport cost; cost function used in experiments: squared L1; compares with counterfactual fairness (causal model) and FairTest; provides transparency report as feature-difference rankings for flipsets.</t>
  </si>
  <si>
    <t>Protected attribute defining groups S and S′ (examples: race (black/white), gender (women/men), age; privileged/unprivileged framing depends on application).</t>
  </si>
  <si>
    <t>Definition 1 (Flipset): “F(h,G) = {x ∈ S | h(x) ≠ h(G(x))}” (with F+ and F− partitions).</t>
  </si>
  <si>
    <t>P082</t>
  </si>
  <si>
    <t>“Evaluating the approach on three case studies… identify subgroups that may be harmed… including in cases where the model satisfies group fairness criteria.”</t>
  </si>
  <si>
    <t>P083 — Li2025TOSEM</t>
  </si>
  <si>
    <t>Monitoring without triggers, No revision process/ownership, No thresholds / acceptance criteria</t>
  </si>
  <si>
    <t>Empirical fairness testing study for autonomous driving pedestrian detection (vision). Strong dataset augmentation + inter-rater agreement (Cohen’s kappa) for demographic labels; scenario analysis shows fairness shifts (night increases gender bias; children consistently higher MR). Notes fairness-performance tradeoff may not hold under certain brightness/contrast conditions; includes threats to validity and implications for researchers/developers/policy makers.</t>
  </si>
  <si>
    <t>Li2025TOSEM</t>
  </si>
  <si>
    <t>“We evaluate eight state-of-the-art deep learning-based pedestrian detectors across demographic groups…”</t>
  </si>
  <si>
    <t>“This article conducts fairness testing of automated pedestrian detection… in autonomous driving systems.”</t>
  </si>
  <si>
    <t>Thorough empirical group-fairness testing for pedestrian detection with rich demographic/scenario labeling, but lacks explicit deployment acceptance criteria, monitoring, and revision governance for operational use.</t>
  </si>
  <si>
    <t>Manually enrich four real-world driving datasets with demographic labels (gender: male/female; age: adult/child; skin tone: light/dark for BDD100k). Evaluate 8 DL pedestrian detectors (YOLOX, RetinaNet, Faster RCNN, Cascade RCNN, ALFNet, CSP, MGAN, PRNet) on 8,311 images; compute MR per group and EOD; analyze scenarios: brightness (day/night), contrast (RMS contrast levels 1–3), and weather (rainy/non-rainy); repeat experiments 10 times and average.</t>
  </si>
  <si>
    <t>Group fairness via miss rate (MR) differences (equivalently SPD/EOD for detection). MR = 1 − TP/(TP+FN) with IoU&gt;0.5 as successful detection. Two-proportion z-test with p&lt;0.05 for significance.</t>
  </si>
  <si>
    <t>TOSEM 2025 article; fairness measured primarily as MR gaps (EOD/SPD) across demographics; largest bias found for children vs adults (+20.14% undetected on average). Publicly releases labels/code/data for replication.</t>
  </si>
  <si>
    <t>Sensitive attributes: gender (male/female), age (adult/child), skin tone (light-skin/dark-skin; only BDD100k). Privileged/unprivileged framing used in formulas (adult privileged vs child unprivileged).</t>
  </si>
  <si>
    <t>“pedestrian detectors demonstrate significant gender biases during night time, potentially exacerbating the prevalent societal issue of female safety concerns during nighttime out.”</t>
  </si>
  <si>
    <t>“SPD quantifies… EOD quantifies… In summary, we use both SPD and EOD as fairness measures… we present only EOD.”</t>
  </si>
  <si>
    <t>P083</t>
  </si>
  <si>
    <t>p-value significance threshold 0.05; IoU threshold 0.5 for TP vs FN; MR thresholding for task definition uses detector confidence scoring (standard detector outputs; paper reports MR/EOD rather than a fixed decision threshold).</t>
  </si>
  <si>
    <t>“We evaluate eight state-of-the-art deep learning-based pedestrian detectors across demographic groups on large-scale real-world datasets.”</t>
  </si>
  <si>
    <t>P084 — Brun2018</t>
  </si>
  <si>
    <t>Vision paper (6 pages) framing fairness defects across lifecycle; proposes research agenda (catalog of definitions, requirements consistency checks, fairness testing/debugging/verification), but no empirical evaluation or concrete metric thresholds.</t>
  </si>
  <si>
    <t>Brun2018</t>
  </si>
  <si>
    <t>...producing fair software requires (1) eliciting and specifying requirements that capture fairness properties...</t>
  </si>
  <si>
    <t>Vision/call-to-action: fairness as a first-class software property; highlights RE/design/testing/verification challenges but provides no concrete operationalization or acceptance criteria.</t>
  </si>
  <si>
    <t>Modern software is riddled with examples of biased behavior... bias can also emerge from ambiguous or incomplete requirement specification...</t>
  </si>
  <si>
    <t>(1) eliciting and specifying requirements that capture fairness properties, (2) architecting and designing systems while adhering to their fairness concerns, (3) validating and verifying fairness properties...</t>
  </si>
  <si>
    <t>Affected groups, Developers, Regulators, Users</t>
  </si>
  <si>
    <t>P084</t>
  </si>
  <si>
    <t>...tools are needed to support software fairness testing to measure software discrimination...</t>
  </si>
  <si>
    <t>P085 — Cleary1966</t>
  </si>
  <si>
    <t>Defines test bias as systematic prediction error for subgroup when using common regression; evaluates SAT predictive validity for Negro vs White students across 3 integrated colleges using regression/ANCOVA with SAT-V/SAT-M and sometimes HSR/HSA; finds equal slopes in all schools and intercept difference only in one school, with Negro GPA overpredicted (bias in favor). No lifecycle monitoring or revision discussed.</t>
  </si>
  <si>
    <t>Cleary1966</t>
  </si>
  <si>
    <t>A test is biased ... if, in the prediction of a criterion for which the test was designed, consistent nonzero errors of prediction are made for members of the subgroup.</t>
  </si>
  <si>
    <t>Perhaps, this situation will change in the future as it is realized that records are necessary for any investigation of bias or, more generally, equal opportunity.</t>
  </si>
  <si>
    <t>Operationalizes fairness as predictive test bias (systematic subgroup prediction error) and evaluates it empirically across colleges, but does not address ongoing monitoring or adaptation of fairness criteria over time.</t>
  </si>
  <si>
    <t>Compute correlations within groups; ANCOVA regression tests: (1) equality of slopes across groups; (2) equality of intercepts given equal slopes. Compare within-group regression lines and common regression line; assess over/under-prediction for subgroup.</t>
  </si>
  <si>
    <t>Predictive bias as consistent nonzero prediction error for subgroup; tested via equality of slopes and intercepts in regression of GPA on SAT-V/SAT-M (+ HSR/HSA when available).</t>
  </si>
  <si>
    <t>Race (Negro vs White students)</t>
  </si>
  <si>
    <t>The prediction of college grade averages from the Scholastic Aptitude Test (SAT) for Negro and white students in integrated colleges was studied.</t>
  </si>
  <si>
    <t>A test is biased for members of a subgroup of the population if, in the prediction of a criterion for which the test was designed, consistent nonzero errors of prediction are made for members of the subgroup.</t>
  </si>
  <si>
    <t>P085</t>
  </si>
  <si>
    <t>Significance testing via ANCOVA (reject/not reject equality of slopes and intercepts); p-values reported (e.g., intercept difference significant in school 3).</t>
  </si>
  <si>
    <t>Samples of Negro and white students from three integrated colleges were studied ... no significant differences in the regression lines in two colleges; significant intercept differences in one college ... Negro scores overpredicted.</t>
  </si>
  <si>
    <t>Report/Standard</t>
  </si>
  <si>
    <t>P086 — Sunstein1994</t>
  </si>
  <si>
    <t>Legal theory essay arguing equality should be understood as anti-caste and largely for legislative/executive enforcement; discusses tensions among market freedom, preferences, and formal equality; uses data (e.g., HDI comparisons) as illustration, not as evaluation of an intervention.</t>
  </si>
  <si>
    <t>Sunstein1994</t>
  </si>
  <si>
    <t>...the anticaste principle forbids social and legal practices from translating highly visible and morally irrelevant differences into systemic social disadvantage...</t>
  </si>
  <si>
    <t>Contextual/legal compliance, Other</t>
  </si>
  <si>
    <t>Normative legal theory of equality-as-anticaste (linking liberty and equality) with empirical illustrations; no operationalized fairness metrics, decision thresholds, or implementation process artifacts.</t>
  </si>
  <si>
    <t>Race; gender (sex); disability (occasional reference)</t>
  </si>
  <si>
    <t>...I also offer some information about racial and gender disparities in the United States...</t>
  </si>
  <si>
    <t>...the anticaste principle forbids social and legal practices from translating highly visible and morally irrelevant differences into systemic social disadvantage, unless there is a very good reason for society to do so.</t>
  </si>
  <si>
    <t>Affected groups, Org leadership, Regulators, Users</t>
  </si>
  <si>
    <t>P086</t>
  </si>
  <si>
    <t>P087 — Anderson1999</t>
  </si>
  <si>
    <t>Normative political philosophy paper: rejects luck egalitarianism as disrespectful; argues equality aims at ending oppression and securing equal social standing among citizens (democratic equality). Not an empirical study; no metrics/thresholds/validation protocol.</t>
  </si>
  <si>
    <t>Anderson1999</t>
  </si>
  <si>
    <t>Critiques luck egalitarianism and proposes democratic equality as an ideal of social relations among citizens (non-domination; equal standing).</t>
  </si>
  <si>
    <t>Develops "democratic equality" as an anti-oppression ideal and critiques luck egalitarian compensation schemes, but does not operationalize fairness requirements into testable metrics or acceptance criteria.</t>
  </si>
  <si>
    <t>Class/poverty; disability; gender; race (discussed as examples of oppression/segregation and social hierarchy)</t>
  </si>
  <si>
    <t>Focuses on social relations of oppression (domination, marginalization, stigmatization) and what egalitarian justice requires to avoid them.</t>
  </si>
  <si>
    <t>Anderson argues that the point of equality is to end oppressive social relations and secure "democratic equality" rather than compensate for brute luck (critique of luck egalitarianism).</t>
  </si>
  <si>
    <t>P087</t>
  </si>
  <si>
    <t>P088 — Bertrand2004</t>
  </si>
  <si>
    <t>Field/correspondence experiment (resume audit). Reports significant race-based callback disparities and lower returns to resume quality for African-American-sounding names; discusses confounds (social class proxy) and limitations (callbacks vs hires; name-based race signal).</t>
  </si>
  <si>
    <t>Bertrand2004</t>
  </si>
  <si>
    <t>Every measure of economic success reveals significant racial inequality in the US labor market... debate on whether employers discriminate by race.</t>
  </si>
  <si>
    <t>Provides strong empirical evidence of hiring discrimination via name signaling and unequal returns to credentials, but does not propose a fairness requirement specification with explicit thresholds, acceptance criteria, monitoring, or revision processes.</t>
  </si>
  <si>
    <t>Send fictitious resumes to help-wanted ads (Boston/Chicago); randomize racially distinctive names and resume quality; measure employer callbacks for interviews.</t>
  </si>
  <si>
    <t>Callback rate; callback ratio/difference (White-sounding vs African-American-sounding names)</t>
  </si>
  <si>
    <t>Race (African-American vs White, proxied by name); gender (varied for some job categories)</t>
  </si>
  <si>
    <t>White names receive 50 percent more callbacks for interviews... Discrimination therefore appears to bite twice...</t>
  </si>
  <si>
    <t>We perform a field experiment to measure racial discrimination in the labor market... The results show significant discrimination against African-American names: White names receive 50 percent more callbacks for interviews.</t>
  </si>
  <si>
    <t>P088</t>
  </si>
  <si>
    <t>We respond with fictitious resumes to help-wanted ads... measure the number of callbacks each resume receives for interviews.</t>
  </si>
  <si>
    <t>P089 — PerryZarsky2014</t>
  </si>
  <si>
    <t>Legal theory article on random-based allocation (lotteries) in law. Distinguishes positive vs normative fairness; surveys contexts (licenses, housing, drafts, jury selection) and weighs fairness vs efficiency; highlights caveats (relevance, pre-screening, gaming, dignity, accountability).</t>
  </si>
  <si>
    <t>PerryZarsky2014</t>
  </si>
  <si>
    <t>Defines fairness vs efficiency as cornerstones for evaluating random allocation schemes in law and policy.</t>
  </si>
  <si>
    <t>Comprehensive normative framework for when lotteries are fair/efficient in legal allocation, but does not operationalize fairness into measurable system requirements, metrics, or monitoring/revision processes.</t>
  </si>
  <si>
    <t>Not specified (general discussion of equality and non-discrimination in allocation contexts)</t>
  </si>
  <si>
    <t>Discusses fairness perceptions, equality, legitimacy, and dignity concerns in random selection; includes second-order fairness (e.g., jury/judge assignment).</t>
  </si>
  <si>
    <t>Provides a systematic theoretical framework for assessing lotteries’ role in legal resource allocation, integrating fairness and efficiency concerns.</t>
  </si>
  <si>
    <t>P089</t>
  </si>
  <si>
    <t>P090 — Fishkin2014</t>
  </si>
  <si>
    <t>Book review summary of Fishkin (2014): proposes opportunity pluralism and anti-bottleneck principle; identifies qualification/developmental/instrumental bottlenecks; discusses family/merit/starting gate/individuality problems for equality-of-opportunity theories and implications for policy and anti-discrimination.</t>
  </si>
  <si>
    <t>Fishkin2014</t>
  </si>
  <si>
    <t>Focus on the structure of opportunities society offers and how it can be expanded (unitary vs pluralistic opportunity structures).</t>
  </si>
  <si>
    <t>Conceptual theory of equal opportunity framed as reducing societal bottlenecks and expanding pluralistic pathways, but not operationalized into measurable requirements, metrics, acceptance criteria, or governance processes.</t>
  </si>
  <si>
    <t>Class/socioeconomic status; race; gender; disability (discussed as sources of bottlenecks/segregation and unequal opportunity)</t>
  </si>
  <si>
    <t>Bottlenecks (qualification, developmental, instrumental-good) reduce opportunity pluralism; anti-bottleneck principle aims to eliminate or help people through/around bottlenecks.</t>
  </si>
  <si>
    <t>Fishkin argues for "opportunity pluralism" and an "anti-bottleneck principle" to expand and diversify opportunity structures rather than fixate on a single metric of equal opportunity.</t>
  </si>
  <si>
    <t>P090</t>
  </si>
  <si>
    <t>P091 — MetcalfMoss2019</t>
  </si>
  <si>
    <t>Strong qualitative grounding (ethnographic + 17 interviews) and clear conceptual framing of “ethics owners” + corporate logics. Operationalization is discussed as organizational practices (checklists, red teaming, risk accounting, codes/principles) rather than measurable fairness requirements. No evaluation/validation of interventions and no lifecycle monitoring/revision specifics.</t>
  </si>
  <si>
    <t>MetcalfMoss2019</t>
  </si>
  <si>
    <t>Interviews with 17 people who either “own ethics” in their formal role or have made addressing ethics within their companies/industry a personal mission, supplemented with ethnographic and textual qualitative data.</t>
  </si>
  <si>
    <t>Provides a qualitative account of how “ethics owners” institutionalize ethics inside tech firms and shows how corporate logics (meritocracy, technological solutionism, market fundamentalism) can turn ethics into performative checklists and risk-management, but it does not specify testable fairness requirements, metrics, thresholds, monitoring signals, or revision governance.</t>
  </si>
  <si>
    <t>Not described as quantitative measurement; analysis is conceptual/qualitative: ethnographic + interviews + textual sources to identify how “ethics” is institutionalized and how corporate logics shape practices and pitfalls.</t>
  </si>
  <si>
    <t>None (no fairness metrics; discusses ethics practices such as checklists, “red teaming,” risk accounting, codes/principles).</t>
  </si>
  <si>
    <t>Key findings: three dominant tech logics (meritocracy, technological solutionism, market fundamentalism) shape ethics work; highlights pitfalls: normalizing ethical mishaps (normalization of deviance; “fail fast”) and blinkered isomorphism (industry imitation + ethics-washing/cargo-cult performances).</t>
  </si>
  <si>
    <t>Not scoped to a specific protected attribute; references societal harms including racial bias in risk assessments and facial recognition; also #metoo/#timesup (sexism/racism).</t>
  </si>
  <si>
    <t>Ethics owners develop strategies to “align everyday practices with corporate logics” and translate external norms (e.g., UN Universal Declaration of Human Rights) into internally tractable practices; ethics risks being operationalized as checklists/toolkits that imply ethics “has been done.”</t>
  </si>
  <si>
    <t>Affected groups, Developers, Org leadership, Other, Regulators, Users</t>
  </si>
  <si>
    <t>P091</t>
  </si>
  <si>
    <t>P092 — PrinceSchwarcz2020</t>
  </si>
  <si>
    <t>Governance absent, Missing context assumptions, Monitoring without triggers, No revision process/ownership, No thresholds / acceptance criteria, Other</t>
  </si>
  <si>
    <t>Conceptual legal analysis (not an empirical/technical system paper). Strong on objectives, detailed argument structure, and practical policy relevance; weak on technical operationalization and empirical validation because it does not propose or test concrete metrics/thresholds or implementations. Discusses ethical/legitimacy implications and policy strategies, but provides no lifecycle monitoring/revision procedure or acceptance criteria.</t>
  </si>
  <si>
    <t>Prince, Anya E.R., and Daniel Schwarcz. "Proxy Discrimination in the Age of Artificial Intelligence and Big Data." Iowa Law Review 105 (2020): 1257–1318. https://scholarship.law.umn.edu/faculty_articles/682</t>
  </si>
  <si>
    <t>Defines proxy discrimination as a subset of disparate impact where the usefulness of a facially neutral practice derives (at least in part) from the disparate impact itself; argues AI + big data make unintentional but rational proxy discrimination more likely by discovering less intuitive proxies when direct protected-class data are excluded.</t>
  </si>
  <si>
    <t>Frames the problem as a fundamental challenge to antidiscrimination regimes in real-world socio-technical domains (insurance, employment, criminal justice) due to expanded data collection and opacity; emphasizes regulators’/firms’ limited ability to understand model behavior and the legal structure of ‘directly predictive’ protected traits.</t>
  </si>
  <si>
    <t>Clarifies proxy discrimination as distinct from general disparate impact and argues AI systems will inevitably seek proxies for directly predictive protected traits, motivating policy/technical strategies (data collection, transparency, approved-factor rules, and de-proxying models) but without specifying implementable lifecycle monitoring/revision mechanisms.</t>
  </si>
  <si>
    <t>Conceptual legal analysis with illustrative hypotheticals and econometric intuition (e.g., controlling for protected traits to test whether a variable’s predictive power derives from proxying).</t>
  </si>
  <si>
    <t>Not a technical metrics paper; discusses disparate impact generally and uses conceptual/econometric framing (omitted variable bias) to explain proxies.</t>
  </si>
  <si>
    <t>Use for RQ1/RQ3: provides strong conceptual foundations on proxies, ‘directly predictive’ protected traits, and why removing protected attributes is insufficient; also provides a policy strategy menu (approved factors, protected-class data collection/disclosure, de-proxying statistical models).</t>
  </si>
  <si>
    <t>Discusses legally protected classes broadly (race, sex, disability, genetics, preexisting conditions) and how algorithms can reconstruct or proxy for protected attributes via correlated variables (e.g., ZIP code, behavioral data).</t>
  </si>
  <si>
    <t>Analyzes normative harms: proxy discrimination undermines goals of antidiscrimination regimes that aim to prevent outcome disparities for protected groups, even when discrimination is ‘rational’; discusses societal goals such as risk sharing, anti-stereotyping, preventing chilling effects, and reversing past discrimination.</t>
  </si>
  <si>
    <t>Introduces the key condition for proxy discrimination: a facially neutral practice producing disparate impact constitutes proxy discrimination only when the practice’s usefulness derives in part from producing that disparate impact. Distinguishes intentional vs unintentional proxy discrimination and direct (causal/opaque) vs indirect proxy discrimination pathways in AI contexts.</t>
  </si>
  <si>
    <t>P092</t>
  </si>
  <si>
    <t>P093 — Hellman2020</t>
  </si>
  <si>
    <t>Strong conceptual + normative framing of fairness measurement (calibration vs error-rate parity) with clear worked examples (confusion matrices) and explicit discussion of measurement error and compounding injustice. It does not provide an empirical evaluation of an algorithm or propose a concrete, testable requirements/monitoring framework; operational guidance is mainly argumentative and legal-doctrinal (when use of protected traits may be permissible) rather than implementable acceptance criteria.</t>
  </si>
  <si>
    <t>Hellman, Deborah. "Measuring Algorithmic Fairness." Virginia Law Review 106, no. 4 (June 2020): 811–866. https://www.jstor.org/stable/10.2307/27074708</t>
  </si>
  <si>
    <t>Distinguishes families of fairness measures (predictive parity / calibration vs error-rate parity) and argues they target different tasks (belief vs action). Proposes prioritizing error-ratio parity as an indicator of potential unfairness, and argues overall accuracy improvements can reduce unfairness; also argues legal doctrine is not categorically opposed to using protected traits within algorithms to improve accuracy/fairness.</t>
  </si>
  <si>
    <t>Frames algorithmic decision-making as increasingly common and controversial due to concerns about transparency, accountability, and fairness; uses COMPAS / ProPublica vs Northpointe debate to motivate why measuring fairness is fraught and why base rates + measurement error matter.</t>
  </si>
  <si>
    <t>Provides a clear conceptual, normative, and legal argument for prioritizing error-ratio concerns over calibration as a fairness signal and for permissibility of using protected traits to improve accuracy, but does not provide operational RE artifacts (elicitation, testable acceptance criteria, monitoring signals, or revision governance) to turn these fairness ideas into lifecycle requirements.</t>
  </si>
  <si>
    <t>Conceptual/normative legal-philosophical analysis using confusion matrices to define PPV/NPV and error rates; analyzes trade-offs under different base rates and discusses implications of measurement error (e.g., arrests as proxy for crime) and compounding injustice.</t>
  </si>
  <si>
    <t>Discusses fairness measures rather than proposing a single metric to implement: calibration/predictive parity (PPV/NPV meaning of scores across groups) vs false positive/false negative rates and their ratio (error ratio parity).</t>
  </si>
  <si>
    <t>Focuses on legally protected groups (especially race; also sex) in algorithmic scoring contexts; uses black/white examples and discusses protected classifications in anti-discrimination law.</t>
  </si>
  <si>
    <t>Argues disparities in error ratios matter because they can indicate biased measurement (e.g., arrests vs true offending) or compounding prior injustice, raising moral reasons to scrutinize data and to hesitate in deploying tools that entrench prior inequities.</t>
  </si>
  <si>
    <t>Asks which fairness measure to prioritize when predictive parity (calibration) and error-rate parity cannot both be satisfied under differing base rates; argues predictive parity is about what to believe, while error ratios relate to decision/action and can signal unfairness.</t>
  </si>
  <si>
    <t>P093</t>
  </si>
  <si>
    <t>P094 — Bietti2020FAccT</t>
  </si>
  <si>
    <t>Conceptual/philosophical paper with clear definitions and structured argument; strong relevance for governance and ethics-inquiry framing. No empirical validation, no technical operationalization, and no lifecycle monitoring/revision process (ownership/triggers/acceptance criteria) beyond critique and recommendations.</t>
  </si>
  <si>
    <t>Bietti, Elettra. "From Ethics Washing to Ethics Bashing: A View on Tech Ethics from Within Moral Philosophy." In Proceedings of the 2020 Conference on Fairness, Accountability, and Transparency (FAT\ '20)*, 210–219. Barcelona, Spain, Jan 27–30, 2020. ACM. https://doi.org/10.1145/3351095.3372860</t>
  </si>
  <si>
    <t>Conceptualizes and critiques two patterns: “ethics washing” (industry instrumentalization of ethics language/structures to justify self-regulation) and “ethics bashing” (trivializing ethics/moral philosophy by equating it with corporate ethics boards or dismissing it as mere PR/ivory-tower). Proposes ethics as a mode of inquiry to evaluate competing tech policy strategies.</t>
  </si>
  <si>
    <t>Frames “ethics” rhetoric in tech policy as contested and often weaponized to support deregulation/self-regulation; situates discussion in real governance episodes (e.g., Google ATEAC) and argues we need to view technology ethics from within moral philosophy rather than only as corporate governance structures.</t>
  </si>
  <si>
    <t>Provides a strong conceptual and normative governance critique of tech-ethics rhetoric (ethics washing vs ethics bashing) and defends moral philosophy as inquiry, but offers no operational RE artifacts (elicitation outputs, measurable acceptance criteria, monitoring signals, or revision ownership) for implementing governance over time.</t>
  </si>
  <si>
    <t>Conceptual analysis from moral philosophy: defines ethics washing and ethics bashing; analyzes limitations/roles of moral philosophy (instrumental vs intrinsic value), and discusses governance implications via illustrative cases and argumentation (no empirical measurement).</t>
  </si>
  <si>
    <t>Not applicable (conceptual/philosophical governance critique; no technical fairness metrics).</t>
  </si>
  <si>
    <t>Primarily useful for RQ1/RQ3 at the governance/ethics layer: clarifies why ethics codes/boards can be performative and how critiques can accidentally trivialize moral inquiry; supports framing governance requirements beyond ‘principles lists’.</t>
  </si>
  <si>
    <t>Not focused on protected attributes directly; discusses impacts on marginalized stakeholders and references anti-LGBT backlash case (ATEAC), and broader social justice concerns in tech governance.</t>
  </si>
  <si>
    <t>Argues that ethics washing can shift burdens to marginalized stakeholders and narrow public imagination; stresses the role of moral philosophy in dialogue, principled reasoning, and scrutinizing power/inequality within technology governance debates.</t>
  </si>
  <si>
    <t>Normative claim: tech policy should move beyond both “ethics washing” and “ethics bashing” by treating ethics as an intrinsically valuable mode of inquiry that can assess governance strategies, rather than reducing ethics to boards/codes or to corporate cover.</t>
  </si>
  <si>
    <t>P094</t>
  </si>
  <si>
    <t>P095 — Biswas2023ICSE</t>
  </si>
  <si>
    <t>Governance absent, Monitoring without triggers, No revision process/ownership, No thresholds / acceptance criteria, Other</t>
  </si>
  <si>
    <t>Strong technical paper: formalizes individual fairness (and ε-/targeted variants) as SMT constraints over two NN copies; details algorithm (partitioning + sound/heuristic pruning) and reports evaluation on 25 real-world NNs with timeouts, SAT/UNSAT/UNK outcomes, and pruning ratios. Limitations include restricted NN types (ReLU fully connected), structured/tabular datasets, and lack of production monitoring/revision governance; ethics discussion is mainly via threats-to-validity rather than deeper socio-legal analysis.</t>
  </si>
  <si>
    <t>Biswas, Sumon, and Hridesh Rajan. "Fairify: Fairness Verification of Neural Networks." In 2023 IEEE/ACM 45th International Conference on Software Engineering (ICSE), 1546–1558. 2023. https://doi.org/10.1109/ICSE48619.2023.00134</t>
  </si>
  <si>
    <t>Proposes Fairify, an SMT-based method to verify individual fairness in ReLU neural networks using input partitioning plus (sound + heuristic) pruning of inactive neurons, returning UNSAT (certification) or SAT with counterexample, and supporting relaxed and targeted verification queries.</t>
  </si>
  <si>
    <t>Motivates need for formal guarantees of algorithmic fairness in critical decision-making domains (criminal sentencing, hiring, loans) and positions Fairify as a developer-oriented verification method for already-trained neural networks deployed/used in production settings.</t>
  </si>
  <si>
    <t>Uses practitioner needs from Holstein et al. (CHI 2019) to motivate targeted verification + counterexamples for internal buy-in and debugging (“give me a hundred examples…”).</t>
  </si>
  <si>
    <t>Provides an explicit, testable specification and SMT-based certification/counterexample workflow for individual fairness (including relaxations and targeted queries) on already-trained ReLU neural networks, but does not define real-world acceptance criteria beyond time budgets nor provide monitoring/revision governance for maintaining fairness post-deployment.</t>
  </si>
  <si>
    <t>Encodes fairness as SMT constraints using two copies of the NN; computes weakest precondition of output activation to simplify postcondition; uses input partitioning; prunes provably inactive ReLU neurons via interval bound propagation + per-neuron SMT checks, and optionally prunes additional near-inactive neurons via profiling heuristics; solves split-queries with Z3 to return SAT with counterexample or UNSAT certification, otherwise UNK under timeout; aggregates per-partition results.</t>
  </si>
  <si>
    <t>Fairness property is individual fairness (and ε-relaxed individual fairness, targeted fairness) expressed as satisfiability constraints over two copies of a neural network; outputs compared for classification disagreement; also reports partitions SAT/UNSAT/UNK and pruning/compression ratios.</t>
  </si>
  <si>
    <t>Core contribution is verification (certification/counterexample) for individual fairness on already-trained ReLU NNs using SMT + pruning. Strong for operationalization/specification; weaker for lifecycle governance (monitoring/revision in production).</t>
  </si>
  <si>
    <t>Protected attributes P include race, sex, age (varies by dataset). Individual fairness compares inputs differing only in protected attributes; evaluated on fairness-critical datasets (Adult Census, German Credit, Bank Marketing).</t>
  </si>
  <si>
    <t>Frames fairness verification as necessary for socially sensitive decisions; uses protected attributes (race, sex, age) and individual fairness (“similar individuals should receive similar treatment”) as the normative fairness criterion; emphasizes practical developer needs for diagnosis via counterexamples and targeted verification.</t>
  </si>
  <si>
    <t>Definition 1 (Individual Fairness): no pair (x, x′) such that non-protected attributes are equal, protected attribute differs, and model outputs differ; plus relaxations (ε-fairness) and targeted fairness (additional linear constraints on input).</t>
  </si>
  <si>
    <t>P095</t>
  </si>
  <si>
    <t>Timeout budgets (soft-timeout per split-query; hard-timeout overall). Relaxation parameter ε for ε-fairness; maximum partition size (MS) for partitioning; heuristic pruning tolerance (e.g., 5%).</t>
  </si>
  <si>
    <t>Evaluated on 25 real-world neural networks from 4 sources; shows baseline SMT cannot verify within days while Fairify verifies most queries within an hour and provides SAT/UNSAT/UNK plus counterexamples; reports pruning/compression ratios and coverage per partition.</t>
  </si>
  <si>
    <t>P096 — Chakraborty2020Fairway</t>
  </si>
  <si>
    <t>Drift not addressed, Governance absent, Monitoring without triggers, No revision process/ownership, No thresholds / acceptance criteria, Other</t>
  </si>
  <si>
    <t>Clear SE motivation and detailed method (pre-process ambiguous points + FAIR_FLASH multi-objective tuning) with explicit metrics (AOD/EOD, recall/FAR) and repeated experiments across 5 datasets; includes threats-to-validity and notes metric shortcomings (class imbalance, sampling, cost). Limited on stakeholder elicitation and on lifecycle governance beyond offline evaluation (no monitoring/revision plan or acceptance thresholds).</t>
  </si>
  <si>
    <t>Chakraborty, Joymallya, Suvodeep Majumder, Zhe Yu, and Tim Menzies. "Fairway: A Way to Build Fair ML Software." In Proceedings of the 28th ACM Joint European Software Engineering Conference and Symposium on the Foundations of Software Engineering (ESEC/FSE '20), 654–665. Virtual Event, USA, Nov 8–13, 2020. ACM. https://doi.org/10.1145/3368089.3409697</t>
  </si>
  <si>
    <t>Proposes Fairway, a combined pipeline: (1) pre-processing to detect and remove/clean ambiguous (potentially biased) training points via training separate models on privileged vs unprivileged groups and removing points where predictions disagree, then (2) in-processing via multi-objective hyperparameter optimization (FAIR_FLASH, FLASH-based SMBO) to reduce fairness metrics while preserving predictive performance (recall/false alarm).</t>
  </si>
  <si>
    <t>Positions fairness as a critical non-functional requirement for ML software used in high-stakes domains (finance, hiring, admissions, criminal justice, healthcare) and argues bias can be injected across the ML/SE lifecycle; proposes that bias testing and mitigation should be routine parts of ML software development.</t>
  </si>
  <si>
    <t>No explicit stakeholder elicitation study; motivation includes a claim that fairness testing/mitigation should be routine in the ML software development lifecycle and highlights practitioner usability concerns (comprehensible method).</t>
  </si>
  <si>
    <t>Provides a concrete, implementable pipeline for bias detection (training-data ambiguity via group-conditioned models + situation testing) and mitigation (multi-objective hyperparameter optimization) with explicit group-fairness metrics, but does not specify deployment-time monitoring, drift handling, or clear acceptance thresholds/decision rules for when a model is “fair enough.”</t>
  </si>
  <si>
    <t>Train baseline logistic regression (scikit-learn defaults) and measure recall/FAR and fairness metrics (AOD/EOD). Pre-processing: split data by protected attribute into privileged vs unprivileged groups, train separate models, flag “ambiguous” training points where group-conditioned models disagree, drop them (or suggest relabeling as future work). In-processing: tune model hyperparameters with FAIR_FLASH (CART surrogate model + acquisition) to optimize multiple objectives (higher recall, lower FAR, lower AOD, lower EOD) on validation set; report medians over 10 random shuffles.</t>
  </si>
  <si>
    <t>Equal Opportunity Difference (EOD) and Average Odds Difference (AOD) (absolute values) computed from confusion matrices for privileged vs unprivileged groups; predictive performance metrics: recall and false alarm rate; additional bias indicator via situation testing (% points where prediction flips when protected attribute is toggled).</t>
  </si>
  <si>
    <t>Strong SE-oriented framing: fairness as NFR and lifecycle activity; operationalization is group-metric based + data cleaning + hyperparameter optimization. Does not cover post-deployment monitoring or revision triggers/ownership.</t>
  </si>
  <si>
    <t>Protected attributes include sex, race, age (dataset-dependent). Privileged/unprivileged group definitions given per dataset (e.g., Adult: male vs female; white vs non-white; COMPAS: caucasian vs not caucasian; etc.).</t>
  </si>
  <si>
    <t>Frames harm as “algorithmic discrimination” that advantages privileged groups (sex/race/etc.) and disadvantages unprivileged groups; uses real examples (e.g., facial recognition, recruiting) to motivate; treats fairness as a socio-technical quality attribute and emphasizes comprehensibility for practitioners.</t>
  </si>
  <si>
    <t>Defines fairness for binary classification via group fairness goals and operationalizes with metrics EOD (TPR_U − TPR_P) and AOD = 0.5*[(FPR_U − FPR_P)+(TPR_U − TPR_P)], using absolute values; also uses situation testing (change protected attribute and check prediction change) as a bias indicator.</t>
  </si>
  <si>
    <t>Constraint (formal/informal), NFR statement</t>
  </si>
  <si>
    <t>P096</t>
  </si>
  <si>
    <t>Uses train/validation/test split (70/15/15), repeated experiments (10 shuffles). Uses FLASH stopping criterion via “life” parameter; does not define a domain acceptance threshold for AOD/EOD (treated as lower is better).</t>
  </si>
  <si>
    <t>Evaluates on five UCI datasets (Adult, COMPAS, German Credit, Default Credit, Heart Health) using logistic regression; compares baseline vs pre-processing vs optimization vs Fairway and against selected AIF360 baselines; reports improvements in AOD/EOD with limited performance degradation and reduced situation-testing failures.</t>
  </si>
  <si>
    <t>P097 — Kawamoto2020</t>
  </si>
  <si>
    <t>Strong formal/specification paper: clear logical language (StatEL) and semantics, with explicit formalizations of common performance metrics, robustness notions, and several fairness definitions using counterfactual epistemic operators. It explicitly states it does not provide checking/guarantees/improvement or empirical evaluation; limitations include lack of scalable model checking/testing algorithms and limited coverage of system/process-level aspects (monitoring, revision, data/learning pipeline issues).</t>
  </si>
  <si>
    <t>Kawamoto, Yusuke. "Towards Logical Specification of Statistical Machine Learning." arXiv:1907.10327v2 [cs.LO] (28 Mar 2020).</t>
  </si>
  <si>
    <t>Proposes a distributional Kripke model + statistical epistemic logic (StatEL) to formalize statistical classification properties. Encodes performance (confusion-matrix metrics), robustness (via divergence-based accessibility relations between perturbed-input worlds), and fairness (via conditional indistinguishability) in logical formulas; introduces counterfactual epistemic operators to express fairness notions.</t>
  </si>
  <si>
    <t>Motivates a gap: while robustness verification/testing for ML (especially DNNs) has advanced, formal specification of ML properties is relatively underdeveloped; positions logical approaches as useful for classifying/relating desired security and ML properties (performance, robustness, fairness).</t>
  </si>
  <si>
    <t>Introduces a rigorous logical specification framework (StatEL + distributional Kripke models + counterfactual epistemic operators) for performance, robustness, and fairness properties of classifiers, but does not provide empirical validation or scalable checking/model-checking procedures nor any deployment-time monitoring/revision governance.</t>
  </si>
  <si>
    <t>Defines a distributional Kripke model where each possible world is a probability distribution over states; assigns measurement variables (input x, true label y, predicted label ŷ) with stochastic semantics. Uses divergence/metric-based accessibility relations (e.g., total variation on outputs, Wasserstein on inputs) to interpret epistemic operators. Formalizes performance via conditional probabilities (e.g., Precision: ψ_ℓ(x) ⊃ P_I h_ℓ(x)); robustness via K^D_ε over perturbed-input worlds; fairness via counterfactual operators expressing conditional indistinguishability.</t>
  </si>
  <si>
    <t>Formal logical counterparts of confusion-matrix metrics (precision/recall/accuracy, FPR/FNR etc.) and fairness notions (statistical parity/group fairness, individual fairness as Lipschitz continuity, equal opportunity) expressed as StatEL formulas; robustness expressed via divergence/metric constraints between input distributions (e.g., Wasserstein, total variation) and knowledge operators.</t>
  </si>
  <si>
    <t>Primarily a specification language / formalization contribution. Explicitly notes it does not provide checking/guaranteeing/improving methods; leaves testing/model checking for future work.</t>
  </si>
  <si>
    <t>Discusses protected attributes and groups abstractly; uses group membership predicates η_G(x) and compares groups G0 vs G1 in statistical parity and equal opportunity formulas; does not fix a domain-specific protected attribute list in the formalism.</t>
  </si>
  <si>
    <t>Frames robustness and fairness of ML as safety/security concerns in real-world systems; fairness is treated as indistinguishability/impact parity across groups/individuals and formalized using counterfactual knowledge operators (conceptual contribution rather than empirical study).</t>
  </si>
  <si>
    <t>Defines StatEL syntax/semantics (probability quantification, conditional probability, epistemic operators over divergence-based accessibility) and uses it to formally define metrics like precision/recall/accuracy, robustness properties (e.g., K^D_ε Recall), and fairness properties (statistical parity, individual fairness as Lipschitz, equal opportunity) as logical formulas.</t>
  </si>
  <si>
    <t>P097</t>
  </si>
  <si>
    <t>Abstract thresholds/parameters: ε for divergences/metrics defining accessibility; δ for robustness probability bounds; intervals I for probability constraints (e.g., P_(0.95,1]); significance level α and sample size n appear in the StatEL background (statistical secrecy) but the ML-spec paper is primarily about specification rather than selecting numeric thresholds.</t>
  </si>
  <si>
    <t>P098 — Li2024RUNNER</t>
  </si>
  <si>
    <t>Drift not addressed, Governance absent, Monitoring without triggers, No revision process/ownership, No thresholds / acceptance criteria, Other, Unstable subgroup definitions</t>
  </si>
  <si>
    <t>Clear technical objective (efficient unfair-neuron diagnosis + effective fairness repair) and detailed method with explicit fairness metrics (ΔDP/ΔEO) and optimization surrogates (GapDP/GapEO). Strong offline evaluation across 5 datasets including CelebA and includes efficiency + hyperparameter analysis. Notes threats to validity and limitations (datasets/models; white-box access). Does not include stakeholder elicitation or deployment-time monitoring/acceptance criteria.</t>
  </si>
  <si>
    <t>Li, Tianlin, Yue Cao, Jian Zhang, Shiqian Zhao, Yihao Huang, Aishan Liu, Qing Guo, and Yang Liu. "RUNNER: Responsible UNfair NEuron Repair for Enhancing Deep Neural Network Fairness." In Proceedings of the 46th IEEE/ACM International Conference on Software Engineering (ICSE ’24), April 14–20, 2024, Lisbon, Portugal. ACM, 13 pages. https://doi.org/10.1145/3597503.3623334</t>
  </si>
  <si>
    <t>Proposes RUNNER, a two-phase diagnosis+repair framework: (1) Importance-based Neuron Diagnosis identifies responsible unfair neurons in one step using a Taylor-approximated unfairness-importance score based on gradients of relaxed fairness gaps (GapDP/GapEO); (2) Neuron Stabilizing Retraining adds a loss term that penalizes subgroup activation-distance of those neurons; uses an iterative diagnose–retrain loop.</t>
  </si>
  <si>
    <t>Frames unfairness of DNNs as a social concern for high-stakes applications (loan approval, criminal risk assessment) and positions fairness alongside robustness/privacy as key properties that limit deep learning usability; criticizes prior adversary-based repair as computationally expensive and black-box for developers.</t>
  </si>
  <si>
    <t>Provides an efficient, interpretable diagnosis+repair loop for improving group fairness in DNNs (neuron-importance localization + activation-stabilizing retraining) validated on tabular and image datasets, but does not define acceptance thresholds/decision rules for “fair enough” nor any post-deployment monitoring and revision governance.</t>
  </si>
  <si>
    <t>Defines ΔDP and ΔEO; for diagnosis, computes neuron unfairness importance UI^l_m ≈ (∂GapDP/EO/∂w^l_m · w^l_m)^2 via first-order Taylor expansion, selects top-k neurons per layer. For repair, adds neuron-stabilizing loss term λ·Σ_{selected neurons} L1 distance between expected activations across sensitive subgroups (and conditioned on y for EO). Runs iterative diagnose+retrain; evaluates on multiple random splits and reports mean±std for AP/ACC and fairness metrics; compares to baselines (vanilla, oversample, reweighing, adversarial, FairNeuron, FairSmote, ROC).</t>
  </si>
  <si>
    <t>Fairness: ΔDP (demographic parity) and ΔEO (equalized odds: |TPR_a=0−TPR_a=1| + |FPR_a=0−FPR_a=1|). Optimization surrogates: GapDP and GapEO (expectation gaps) for gradient-based neuron importance and loss. Accuracy: Average Precision (AP) and Accuracy (ACC). Efficiency: time cost (seconds) and epochs.</t>
  </si>
  <si>
    <t>White-box method requiring model access (gradients). Focuses on group fairness; discusses inherent trade-off between ΔDP and ΔEO and optimizes them separately. Provides code repo: https://github.com/Ace0001/RUNNER</t>
  </si>
  <si>
    <t>Binary sensitive attribute a∈{0,1} (examples: gender; also mentions race for COMPAS context). Uses four EO subgroups split by (a,y) for ΔEO training. Datasets include Adult (gender), COMPAS (race/gender context), Credit (gender), LSAC (gender), CelebA (gender groups for face attributes).</t>
  </si>
  <si>
    <t>Treats discrimination against protected groups (e.g., gender, race) as harmful in domains like criminal justice and lending; focuses on group fairness as prevalent and hard to repair, and aims for parity of prediction quality across protected groups.</t>
  </si>
  <si>
    <t>Defines group-fairness evaluation metrics ΔDP (demographic parity difference) and ΔEO (equalized odds difference as ΔTPR+ΔFPR), and uses relaxed counterparts GapDP/GapEO to enable backprop-based neuron-importance scoring; fairness improvement objective is to reduce ΔDP/ΔEO toward 0 while maintaining accuracy/AP.</t>
  </si>
  <si>
    <t>P098</t>
  </si>
  <si>
    <t>Hyperparameter k controls fraction/number of neurons selected (tested at 5%, 10%, 20%, 50%). Uses λ as fairness-loss weight; aims for ΔDP/ΔEO close to 0 but no explicit acceptance threshold is prescribed.</t>
  </si>
  <si>
    <t>Evaluates on 5 datasets (Adult, COMPAS, Credit, LSAC, CelebA) across tabular + high-resolution images; reports fairness gains (up to 79.3% improvement) and efficiency gains (e.g., diagnosis overhead reduced vs FairNeuron) and includes hyperparameter sensitivity analysis for k.</t>
  </si>
  <si>
    <t>P099 — Monjezi2023</t>
  </si>
  <si>
    <t>Strong technical paper: defines QID (min-/Shannon-entropy information flow) as quantitative individual discrimination severity; uses it to smooth search for discriminatory instances and provides causal debugging via interventions with accuracy constraints. Extensive offline experiments on 10 tabular socio-critical datasets, comparisons against AEQUITAS/ADF/NEURONFAIR, and mitigation results (QID reduction with limited accuracy loss). Does not include stakeholder elicitation or deployment monitoring/revision process; acceptance criteria for QID are only partial (tolerances for algorithms, not fairness thresholds).</t>
  </si>
  <si>
    <t>Monjezi, Verya, Gang Tan, Ashutosh Trivedi, and Saeid Tizpaz-Niari. "Information-Theoretic Testing and Debugging of Fairness Defects in Deep Neural Networks." In 2023 IEEE/ACM 45th International Conference on Software Engineering (ICSE). IEEE/ACM, 2023. https://doi.org/10.1109/ICSE48619.2023.00136</t>
  </si>
  <si>
    <t>Proposes DICE, an information-theoretic testing + debugging framework for DNN fairness defects. Key ideas: quantify fairness defects as protected information used (bits) via Quantitative Individual Discrimination (QID); use QID as a smooth objective to guide search-based test generation; and apply causal debugging (interventions on layers/neurons) to localize components responsible for discrimination and support simple mitigation (activate/deactivate neurons).</t>
  </si>
  <si>
    <t>Motivates DNN-based decision support in socio-economic/legal-critical domains (recidivism, benefits eligibility, tax audits) and argues fairness defects can arise from biased training data or improper training and may violate legal protections; highlights developer need for severity and causal explanations to triage defects.</t>
  </si>
  <si>
    <t>Introduces an information-theoretic, testable severity measure for individual fairness defects (QID in bits) and couples it with search-based test generation and causal neuron/layer localization to guide mitigation, but does not provide stakeholder-grounded acceptance thresholds or any deployment-time monitoring and revision governance for maintaining fairness under drift.</t>
  </si>
  <si>
    <t>For a seed input x (non-protected features), generate m counterfactuals varying protected attributes; obtain DNN prediction scores; cluster outputs with tolerance ε to form equivalence classes; compute QID from number/size of clusters using Shannon and min-entropy (information flow in bits). Search: global+local phases using quantitative feedback (cluster spread / QID) with LBFGS and gradient-based perturbations to maximize discrimination. Debugging: layer localization by sensitivity to protected attributes (rate of change in δ_i), then neuron causal effects via interventions do(l,j,v) (activate vs deactivate) while keeping accuracy within tolerance; compute ACD on QID and suggest mitigation by activating/deactivating top neurons.</t>
  </si>
  <si>
    <t>QID based on information theory: Q∞ (min-entropy-based) and Q1 (Shannon-entropy-based) measured in bits via clustering of DNN outputs over counterfactual protected-attribute perturbations; also reports classic individual discrimination (ID) counts for comparison baselines; performance/utility: model accuracy; search metrics: number of clusters K (output partitions), number of discriminatory instances, success rates, time-to-first and time-to-1k IDs; debugging metrics: average causal difference (ACD) and resulting QID reduction vs accuracy loss.</t>
  </si>
  <si>
    <t>Key novelty for your SLR: severity-ranked individual fairness defects via information flow (bits), plus causal debugging via interventions on neurons/layers. Limitation noted: counterfactual protected-attribute perturbations may produce unrealistic counterfactuals (false positives) unless constrained.</t>
  </si>
  <si>
    <t>Protected attributes Z include sex, race, age (and others listed as legally protected); experiments consider multiple protected attributes simultaneously with m as the total number of protected-value combinations; datasets include Adult (sex,race,age), COMPAS (sex,race,age), German Credit (sex,age), Default Credit (sex,age), Heart Health (sex,age), Bank Marketing (age), Diabetes (age), Students (sex,age), MEPS15/16 (age,race,sex).</t>
  </si>
  <si>
    <t>Frames discrimination against protected individuals/groups as harmful and potentially illegal in decision-support systems; treats fairness defects as software bugs requiring prioritization by severity and developer-facing explanations.</t>
  </si>
  <si>
    <t>Defines a DNN decision function D: X×Z → [0,1]^t with protected attributes Z and non-protected attributes X; defines Quantitative Individual Discrimination (QID) as the amount of protected information (bits) used in decision making, characterized via information-flow measures based on Shannon entropy and min-entropy over counterfactual protected-attribute perturbations; QID=0 implies absence of individual discrimination.</t>
  </si>
  <si>
    <t>P099</t>
  </si>
  <si>
    <t>Clustering tolerance ε; layer-localization ε1=1e-7; accuracy-loss tolerance ε2=0.05; top-k for debugging k=3; search hyperparameters include max global/local iterations and step sizes (e.g., m=10 samples per protected setting; local iterations up to 1000; ε (cluster) around 0.025 as reported). No domain acceptance threshold for “fair enough” QID is specified.</t>
  </si>
  <si>
    <t>Evaluates DICE on 10 tabular socio-critical datasets with trained 6-layer fully connected DNNs; compares to AEQUITAS, ADF, and NEURONFAIR for generating individual discrimination instances; reports QID characterization (bits), efficiency (time), and causal localization + mitigation reducing QID (down to ~15% of initial) with ≤5% accuracy loss.</t>
  </si>
  <si>
    <t>P100 — Zheng2022NeuronFair</t>
  </si>
  <si>
    <t>From abstract+method+evaluation excerpts: proposes interpretable white-box fairness testing for DNNs by identifying biased neurons; defines individual discrimination/IDI; introduces ActDiff/AS curve/AUC metric; evaluates generation effectiveness/efficiency/diversity and fairness improvement via retraining across 7 datasets (structured + image). Threats to validity discuss attribute correlation, single sensitive attribute at a time, and white-box access assumptions.</t>
  </si>
  <si>
    <t>Zheng2022NeuronFair</t>
  </si>
  <si>
    <t>We propose NeuronFair ... quantitatively interprets DNNs’ fairness violations ... and uses the interpretation results to guide the generation of more diverse instances ... and can handle both structured and unstructured data.</t>
  </si>
  <si>
    <t>NeuronFair operationalizes fairness as individual discrimination (IDIs) and proposes an interpretable white-box testing pipeline (ActDiff/AS curve/AUC, biased-neuron-guided generation) validated on multiple datasets, but does not provide lifecycle monitoring or revision mechanisms beyond pre-deployment testing.</t>
  </si>
  <si>
    <t>Compute neuron ActDiff between paired instances differing only in sensitive attribute; plot AS curve (percentage of neurons above ActDiff thresholds) and compute AUC; identify biased layer and biased neurons using threshold Td at intersection of AS curve with y=x; generate IDIs in global+local phases guided by biased neurons with dynamic loss and momentum; evaluate on 7 datasets and compare with Aequitas, SymbGen, ADF, EIDIG.</t>
  </si>
  <si>
    <t>Individual discrimination via IDI determination (Def.1: prediction differs when only sensitive attributes differ). Discrimination metric: AUC area under AS curve based on neuron activation difference (ActDiff) across layers.</t>
  </si>
  <si>
    <t>Gender, race, age (Adult); gender, age (German Credit, Bank Marketing); race (COMPAS); gender (MEPS); gender, race (CelebA-IN, LFW-IN face detection).</t>
  </si>
  <si>
    <t>Individual discrimination exists when two valid inputs which differ only in the sensitive attributes but receive a different prediction result from a given DNN ...</t>
  </si>
  <si>
    <t>P100</t>
  </si>
  <si>
    <t>ActDiff threshold interval step=0.005; discrimination threshold Td defined as AS curve intersection with y=x (example Td=0.33); activation threshold for 'activated neurons' &gt; 0.5 in biased neuron coverage eval; image step_size_g=0.15; other hyperparameters per Table 2.</t>
  </si>
  <si>
    <t>Extensive evaluations across 7 datasets and the corresponding DNNs demonstrate NeuronFair’s superior performance ... compared with Aequitas, SymbGen, ADF, and EIDIG.</t>
  </si>
  <si>
    <t>P101 — Raji2022</t>
  </si>
  <si>
    <t>Conceptual/policy + socio-technical analysis. Strong: clearly stated thesis (functionality as prior question), detailed taxonomy + methodology (case study filtering + iterative tagging), rich cross-domain examples, and concrete legal/organizational intervention discussion. Weak for extraction goals: does not define measurable metrics/thresholds or acceptance criteria; no implemented system evaluation; monitoring/revision not specified as an operational process.</t>
  </si>
  <si>
    <t>Raji, Inioluwa Deborah, I. Elizabeth Kumar, Aaron Horowitz, and Andrew D. Selbst. “The Fallacy of AI Functionality.” In Proceedings of the 2022 ACM Conference on Fairness, Accountability, and Transparency (FAccT ’22), June 21–24, 2022, Seoul, Republic of Korea. ACM. https://doi.org/10.1145/3531146.3533158</t>
  </si>
  <si>
    <t>Provides a cross-domain taxonomy of AI ‘dysfunction’ and argues that basic functional performance should be treated as a first-order accountability requirement, but does not operationalize this into testable requirements, metrics/thresholds, or concrete lifecycle monitoring/revision procedures.</t>
  </si>
  <si>
    <t>Conceptual + literature-based analysis; develops a taxonomy of AI dysfunction by systematically reviewing case studies using the AIAAIC/AAAIRC repository and iterative tagging.</t>
  </si>
  <si>
    <t>Not a metrics paper. Discusses functional performance/evaluation and ‘fitness for intended use’ conceptually; no formal fairness metric/threshold specified.</t>
  </si>
  <si>
    <t>Discusses harms disproportionately affecting minoritized groups (e.g., darker-skinned women in facial recognition; Black and low-income patients); no fixed protected attribute list for a specific system.</t>
  </si>
  <si>
    <t>“We argue that functionality is a meaningful AI policy challenge, operating as a necessary first step towards protecting affected communities from algorithmic harm.”</t>
  </si>
  <si>
    <t>NFR statement, Narrative goal</t>
  </si>
  <si>
    <t>Affected groups, Auditors/Compliance, Developers, Org leadership, Regulators, Users</t>
  </si>
  <si>
    <t>P101</t>
  </si>
  <si>
    <t>Discusses evaluation/validation failures in ML generally and argues for stronger assessment, but does not present or test a concrete system or evaluation protocol in this paper.</t>
  </si>
  <si>
    <t>P102 — Sharma2020</t>
  </si>
  <si>
    <t>Technical testing paper. Strong: clear objective (fairness as a requirement; automatic fairness testing), detailed approach (spec language + VBT workflow with decision-tree approximation, SMT encoding in Z3, pruning strategies), and empirical evaluation vs AEQUITAS and SG on Adult/German datasets. Partial/weak: acceptance criteria for when fairness is 'enough' is budget-based; limited discussion of deployment governance (monitoring/revision), and stakeholder/elicitation aspects are not addressed beyond motivating fairness as a requirement.</t>
  </si>
  <si>
    <t>Sharma, Arnab, and Heike Wehrheim. “Automatic Fairness Testing of Machine Learning Models.” In Testing Software and Systems (ICTSS 2020), 32nd IFIP International Conference on Testing Software and Systems, Naples, Italy, Dec 2020, pp. 255–271. Springer. https://doi.org/10.1007/978-3-030-64881-7_16. HAL: hal-03239825 (submitted 27 May 2021): https://inria.hal.science/hal-03239825v1</t>
  </si>
  <si>
    <t>Introduces a formal, testable fairness-specification language and a verification-based testing (SMT/Z3) method that finds discriminatory counterexample pairs more effectively than prior black-box fairness testers on standard tabular benchmarks, but does not provide deployment-time monitoring/revision or clear acceptance criteria for declaring a model sufficiently fair.</t>
  </si>
  <si>
    <t>Verification-based testing (VBT): infer a white-box decision tree approximation of the black-box model using oracle data from model predictions; translate decision tree + fairness assume/assert spec to SMT (Z3) to search for counterexample pairs (x,y) that satisfy assumptions and violate fairness; validate candidates on the black-box model; use pruning (branch + data-instance) to enumerate multiple counterexamples; retrain decision tree to improve approximation when candidates are invalid.</t>
  </si>
  <si>
    <t>Similarity-based fairness (metamorphic relation): individual discrimination; group discrimination; fairness through unawareness; fairness through awareness (distance metric d with threshold ε). Effectiveness measured by number of discriminatory (valid unfair) test cases found under a test budget; also reports detection rate (#valid/#total candidate cases).</t>
  </si>
  <si>
    <t>Benchmarks include Adult (gender, race) and German Credit (gender, age) as protected/sensitive features; paper discusses protected/sensitive attributes generally (e.g., gender, age).</t>
  </si>
  <si>
    <t>“Our idea is to develop a property-based testing mechanism for fairness checking where the specific fairness requirement can be specified using an assume-assert construct.”</t>
  </si>
  <si>
    <t>Constraint (formal/informal), Requirement template</t>
  </si>
  <si>
    <t>P102</t>
  </si>
  <si>
    <t>Fairness through awareness uses a user-chosen distance threshold ε (example ε=0.1). No fixed global acceptance threshold for declaring a model 'fair' beyond finding counterexamples within a budget.</t>
  </si>
  <si>
    <t>“The empirical evaluation on several benchmark ML models shows verification-based testing to perform better than existing fairness testing techniques with respect to effectiveness.”</t>
  </si>
  <si>
    <t>P103 — Pager2008</t>
  </si>
  <si>
    <t>Foundational sociology review. Strong on conceptual definitions (incl. disparate impact), and detailed discussion of measurement designs (surveys, statistical residuals, experiments, audit studies, legal records) across multiple domains. Limited for RE-style extraction: no formal specs/metrics/thresholds or acceptance criteria; no monitoring/revision process; evidence is secondary synthesis rather than a new evaluation protocol.</t>
  </si>
  <si>
    <t>Pager, Devah, and Hana Shepherd. “The Sociology of Discrimination: Racial Discrimination in Employment, Housing, Credit, and Consumer Markets.” Annual Review of Sociology 34 (2008): 181–209. First published online March 17, 2008. https://doi.org/10.1146/annurev.soc.33.040406.131740</t>
  </si>
  <si>
    <t>Provides a cross-domain synthesis of how racial discrimination is defined, measured (including differential treatment vs disparate impact), and explained via individual/organizational/structural mechanisms, but does not operationalize this into system-level fairness requirements, metrics/thresholds, or lifecycle governance practices.</t>
  </si>
  <si>
    <t>Narrative literature review. Defines discrimination (differential treatment vs disparate impact), surveys measurement approaches, summarizes evidence across employment/housing/credit/consumer markets, and discusses mechanisms at individual, organizational, and structural levels (including cumulative disadvantage).</t>
  </si>
  <si>
    <t>Social-science discrimination measurement methods (not algorithmic fairness metrics): perceptions surveys; reports by gatekeepers; statistical residual gap and Oaxaca-type decomposition; lab experiments; field audit/correspondence studies; legal records analysis; quasi-experiments exploiting policy changes.</t>
  </si>
  <si>
    <t>Race/ethnicity (focus on African Americans and racial minorities; also discusses Hispanics, Asians, Native Americans). Mentions other discrimination types as extensions (gender, age, sexual orientation).</t>
  </si>
  <si>
    <t>“Racial discrimination refers to unequal treatment of persons or groups on the basis of their race or ethnicity.”</t>
  </si>
  <si>
    <t>P103</t>
  </si>
  <si>
    <t>Review article synthesizing prior empirical work; does not introduce or validate a new empirical model or system in this paper.</t>
  </si>
  <si>
    <t>P104 — Chen2025TNNLS</t>
  </si>
  <si>
    <t>Technical ML-systems paper on algorithmic fairness in federated learning. Strong: explicit fairness metric (DP) and operationalization, detailed method (AFed-G and AFed-GAN; aux sensitive-attribute head; latent-space generation; mixup derivative regularizer), and extensive empirical evaluation/ablations on multiple datasets with non-i.i.d. splits. Weak/partial for RE lifecycle extraction: no explicit stakeholder elicitation process; no monitoring/revision/governance procedure for post-deployment; no fixed numeric acceptance criteria (fairness/accuracy selected via λ trade-off).</t>
  </si>
  <si>
    <t>Chen, Huiqiang, Tianqing Zhu, Wanlei Zhou, and Wei Zhao. “AFed: Algorithmic Fair Federated Learning.” IEEE Transactions on Neural Networks and Learning Systems 36, no. 8 (Aug 2025). DOI: https://doi.org/10.1109/TNNLS.2025.3528012.</t>
  </si>
  <si>
    <t>Proposes AFed-G/AFed-GAN, a practical FL framework to improve demographic-parity group fairness under non-i.i.d. client data by learning a global latent distribution via conditional generative models and using generated-sample mixup regularization, but does not specify deployment-time monitoring/revision or concrete acceptance thresholds for deciding when fairness is sufficient.</t>
  </si>
  <si>
    <t>AFed framework for algorithmic fairness in federated learning without centralized data access: learn global data distribution in latent space via (i) AFed-G (server-side conditional generator trained using aggregated sensitive-attribute head feedback) or (ii) AFed-GAN (client-side conditional GAN with discriminator feedback). Use generated latent features conditioned on sensitive attribute to augment local training. Debias via mixup-style interpolation between real and generated latent features and regularize prediction invariance w.r.t. interpolation parameter t (derivative penalty).</t>
  </si>
  <si>
    <t>Group fairness metric: Demographic Parity (DP) with ΔDP = |Pr(Ŷ=1|A=0) − Pr(Ŷ=1|A=1)|. Also reports accuracy–fairness trade-off curves by varying λ.</t>
  </si>
  <si>
    <t>Sensitive attribute A is binary in formulation; experiments use race (UTKFace, FairFace) and gender (CelebA, Adult) as sensitive attributes.</t>
  </si>
  <si>
    <t>“The task of fair supervised learning is to train a classification model f that can accurately label samples while minimizing discrimination… The discrimination level in terms of DP can be measured by the absolute difference… ΔDP = |γ0(Ŷ) − γ1(Ŷ)|.”</t>
  </si>
  <si>
    <t>P104</t>
  </si>
  <si>
    <t>DP target is ΔDP→0; no fixed numeric threshold. Fairness controlled via λ (trade-off hyperparameter) and mixup Beta(α,α) parameter (α not fixed in excerpt).</t>
  </si>
  <si>
    <t>Empirical evaluation on four datasets (UTKFace, FairFace, CelebA, Adult) under non-i.i.d. client splits; compares AFed-G/AFed-GAN against FL baselines (FedAvg, FedReg, FairFed, FairFB, FedGFT) and centralized fair mixup; reports accuracy–ΔDP trade-offs and ablations (aux head, participant ratio).</t>
  </si>
  <si>
    <t>P105 — Buolamwini2018</t>
  </si>
  <si>
    <t>Seminal algorithmic audit/benchmarking paper. Strong on problem framing (intersectional harms), operationalization (Fitzpatrick skin type + subgroup metrics), and empirical evaluation of commercial systems with clear disparity magnitudes. Partial: does not define formal fairness acceptance criteria or remediation process; limited lifecycle governance (monitoring/revision) beyond calling for transparency/accountability; uses binary gender labels per available APIs.</t>
  </si>
  <si>
    <t>Buolamwini, Joy, and Timnit Gebru. “Gender Shades: Intersectional Accuracy Disparities in Commercial Gender Classification.” In Proceedings of Machine Learning Research, vol. 81, Conference on Fairness, Accountability, and Transparency (FAT*), 2018, pp. 1–15. (PPB dataset: http://gendershades.org/)</t>
  </si>
  <si>
    <t>Contestability/recourse, Other, Outcome parity, Procedural fairness</t>
  </si>
  <si>
    <t>Demonstrates large intersectional performance disparities in commercial gender classification and shows that benchmark composition hides these gaps, motivating fairness requirements for disaggregated evaluation and representative datasets, but it does not propose deployment monitoring/revision or quantitative acceptance thresholds for when performance is ‘fair enough’.</t>
  </si>
  <si>
    <t>Create Pilot Parliaments Benchmark (PPB) with 1270 individuals balanced by binary gender label and Fitzpatrick skin type; annotate existing benchmarks (IJB-A, Adience) for skin type to quantify representation; evaluate 3 commercial gender classifiers (Microsoft, IBM, Face++) on PPB and report performance disaggregated by gender, skin type, and intersectional subgroups; analyze confidence scores (IBM) and discuss dataset/measurement implications.</t>
  </si>
  <si>
    <t>Audit/benchmark metrics: subgroup error rate (1−TPR), TPR, FPR, PPV, overall accuracy; intersectional subgroup breakdown (darker female, darker male, lighter female, lighter male) using Fitzpatrick skin type (I–VI aggregated to lighter I–III vs darker IV–VI).</t>
  </si>
  <si>
    <t>Gender (binary labels used by APIs: female/male) and skin type (Fitzpatrick I–VI; aggregated to lighter vs darker). Discusses race/ethnicity contextually (e.g., African-American individuals in policing use cases) but primary measured attribute is skin type.</t>
  </si>
  <si>
    <t>“The substantial disparities in the accuracy of classifying darker females, lighter females, darker males, and lighter males … require urgent attention if commercial companies are to build genuinely fair, transparent and accountable facial analysis algorithms.”</t>
  </si>
  <si>
    <t>Affected groups, Auditors/Compliance, Developers, Regulators, Users</t>
  </si>
  <si>
    <t>P105</t>
  </si>
  <si>
    <t>Evaluates commercial API classifiers on PPB and reports subgroup performance gaps (e.g., darker-skinned female error rates up to 34.7% vs lighter-skinned male max 0.8%).</t>
  </si>
  <si>
    <t>P106 — Borkan2019WWW</t>
  </si>
  <si>
    <t>No thresholds / acceptance criteria, Other</t>
  </si>
  <si>
    <t>Metric + evaluation dataset paper (for unintended bias in text classifiers). Strong: clear motivation (identity-linked score skew), formal metric definitions (AUC variants + AEGs) and properties, robustness to class imbalance, and validation on synthetic and large human-labeled datasets with analysis of mitigation differences across comment length. Partial: relies on assumption of reliable labels and a curated identity list; no explicit decision threshold/acceptance criterion for ‘acceptable’ bias; no post-deployment monitoring or revision governance beyond future-work suggestions.</t>
  </si>
  <si>
    <t>Borkan, Daniel, Lucas Dixon, Jeffrey Sorensen, Nithum Thain, and Lucy Vasserman. “Nuanced Metrics for Measuring Unintended Bias with Real Data for Text Classification.” In Companion Proceedings of the 2019 World Wide Web Conference (WWW ’19 Companion), May 13–17, 2019, San Francisco, CA, USA. ACM, 10 pages. https://doi.org/10.1145/3308560.3317593</t>
  </si>
  <si>
    <t>Introduces a robust, threshold-agnostic metric suite and a large identity-labeled real-comment test set for diagnosing unintended identity bias in toxicity classifiers via score-distribution analysis, but leaves acceptance thresholds and deployment-time monitoring/revision processes unspecified.</t>
  </si>
  <si>
    <t>Define unintended bias as performance variation across designated identity groups under an equality-of-odds style framing (with assumption of reliable labels). Propose 5 threshold-agnostic metrics capturing different score-distribution shifts and mis-orderings across subgroup/background. Evaluate metrics on (1) a synthetic template-based test set and (2) a new large human-labeled dataset of 1.8M online comments (450k with identity-reference labels). Demonstrate metrics by comparing two public toxicity models (Perspective API TOXICITY@1 vs TOXICITY@6) and analyzing where mitigation improves or fails (especially short vs long comments).</t>
  </si>
  <si>
    <t>Threshold-agnostic unintended-bias evaluation suite: Subgroup AUC; BPSN AUC (Background Positive, Subgroup Negative); BNSP AUC (Background Negative, Subgroup Positive); Positive AEG and Negative AEG (Average Equality Gaps) based on TPR/TNR across all thresholds and equivalent Mann–Whitney U formulations.</t>
  </si>
  <si>
    <t>Identity groups referenced in text (crowd-labeled): gender (male, female, transgender, other), sexual orientation, religion, race/ethnicity, disability (plus ‘other’ categories).</t>
  </si>
  <si>
    <t>“We introduce a suite of threshold-agnostic metrics that provide a nuanced view of this unintended bias … considering the various ways that a classifier’s score distribution can vary across designated groups.”</t>
  </si>
  <si>
    <t>Affected groups, Auditors/Compliance, Developers, Users</t>
  </si>
  <si>
    <t>P106</t>
  </si>
  <si>
    <t>NLP</t>
  </si>
  <si>
    <t>Applies the metric suite to synthetic and large human-labeled real-comment datasets and compares two deployed toxicity models (TOXICITY@1 vs TOXICITY@6), showing bias skewed toward toxicity for identity-related content and partial mitigation improvements.</t>
  </si>
  <si>
    <t>P107 — Calmon2017NeurIPS</t>
  </si>
  <si>
    <t>Strong technical clarity and operationalization (formal constraints, convexity conditions, train/apply pipeline, empirical evaluation on COMPAS and Adult). Stakeholders are mentioned mainly as abstract legal/protected groups and practitioner choice of fairness parameters; no concrete elicitation method or artifacts. Limitations discussed around distribution mismatch / finite samples and feasibility of constraints; ethics and governance beyond the optimization are limited.</t>
  </si>
  <si>
    <t>Calmon, Flavio P., Dennis Wei, Bhanukiran Vinzamuri, Karthikeyan Natesan Ramamurthy, and Kush R. Varshney. "Optimized Pre-Processing for Discrimination Prevention." In Advances in Neural Information Processing Systems (NeurIPS), 2017.</t>
  </si>
  <si>
    <t>Formulates a probabilistic pre-processing transformation learned via (quasi)convex optimization to trade off discrimination control, utility preservation, and per-sample distortion constraints; provides pipeline (train/apply) and solver-based implementation details.</t>
  </si>
  <si>
    <t>Frames discrimination in algorithmic decision-making, distinguishes direct vs indirect discrimination (disparate treatment vs disparate impact), and positions the method in the ML pipeline (pre-processing) with legal/ societal context (e.g., 80% rule).</t>
  </si>
  <si>
    <t>Provides a rigorous, testable optimization framework for pre-processing to reduce group discrimination with individual distortion and utility constraints, but does not address stakeholder elicitation, deployment-time monitoring, or governance/revision processes beyond offline evaluation trade-offs.</t>
  </si>
  <si>
    <t>Estimate (p_{D,X,Y}) empirically from training data, solve optimization to learn randomized mapping (p_{hat X,hat Y|X,Y,D}), transform train and test data (test uses marginalized (p_{hat X|D,X})), train standard classifiers (LR, RF), evaluate discrimination on test via max over groups of ratio-based J on model outputs and evaluate AUC via 5-fold CV.</t>
  </si>
  <si>
    <t>Discrimination metric based on probability ratio J(p,q)=p/q−1 (motivated by the 80% rule) applied to (p_{tilde Y|D}(1|d)); utility loss via total variation distance between (p_{X,Y}) and (p_{hat X,hat Y}); prediction performance via AUC.</t>
  </si>
  <si>
    <t>Race (African-American vs Caucasian) in COMPAS; Gender in UCI Adult (male vs female).</t>
  </si>
  <si>
    <t>Motivates fairness as non-discrimination for legally protected groups; discusses societal/legal considerations and group vs individual fairness notions and their tension/trade-offs.</t>
  </si>
  <si>
    <t>Defines discrimination control constraints that limit dependence of transformed outcome (hat Y) on protected variables (D) (e.g., constraints on (p_{hat Y|D}) using a ratio metric motivated by the “80% rule”), while constraining individual distortion and preserving utility via distributional closeness.</t>
  </si>
  <si>
    <t>Affected groups, Developers, Regulators</t>
  </si>
  <si>
    <t>P107</t>
  </si>
  <si>
    <t>Benchmarks the learned pre-processing transformations on COMPAS recidivism and UCI Adult datasets, training LR/RF on transformed data and reporting discrimination–AUC trade-off curves; compares to baselines (original, dropping D, LFR).</t>
  </si>
  <si>
    <t>P108 — Kilbertus2017NeurIPS</t>
  </si>
  <si>
    <t>Strong conceptual/technical framing: precisely explains why observational criteria fail (unidentifiability), proposes causal criteria (unresolved vs proxy discrimination), and gives algorithmic removal procedures (especially under linearity/expressibility assumptions). Limited empirical validation (explicitly out of scope). Stakeholder elicitation and governance/monitoring are not covered beyond abstract legal/protected-group framing; limitations include reliance on correct causal graph/SEM and functional form assumptions.</t>
  </si>
  <si>
    <t>Kilbertus, Niki, Mateo Rojas-Carulla, Giambattista Parascandolo, Moritz Hardt, Dominik Janzing, and Bernhard Schölkopf. "Avoiding Discrimination through Causal Reasoning." In Advances in Neural Information Processing Systems (NeurIPS), 2017.</t>
  </si>
  <si>
    <t>Introduces a causal-graph/structural-equation framework with resolving variables and proxy variables; defines causal non-discrimination notions (unresolved discrimination, proxy discrimination) and gives procedures/algorithms (notably under linearity/expression assumptions) to construct predictors satisfying these criteria.</t>
  </si>
  <si>
    <t>Motivates societal concern about discrimination in consequential ML decisions and critiques observational/statistical fairness criteria as insufficient to resolve fairness without assumptions about the causal data-generating process.</t>
  </si>
  <si>
    <t>Provides clear, testable causal definitions and constructive procedures for avoiding certain forms of discrimination, but depends on strong causal-model assumptions and does not address stakeholder elicitation, acceptance criteria, or deployment-time monitoring/revision governance.</t>
  </si>
  <si>
    <t>Assume/construct a causal graph + structural equation model (SEM). Define discrimination as path-based properties (unresolved discrimination) and interventional invariances (proxy discrimination). For linear SEMs, derive parameter constraints (e.g., choose predictor Rθ(P,X) so that distribution of R is invariant to do(P=p)), enabling learning under constraints from labeled data.</t>
  </si>
  <si>
    <t>Causal/discrimination criteria expressed via causal graphs and interventional distributions (do-calculus), not via fixed numeric thresholds; constraints are invariance conditions under interventions on proxy P (and analogous intervention-based criteria for unresolved discrimination).</t>
  </si>
  <si>
    <t>Protected attribute A (e.g., gender, race, religion). Discusses proxies P (e.g., name, visual features, language spoken at home) that correlate with A.</t>
  </si>
  <si>
    <t>Frames fairness as avoiding harmful discrimination on legally protected attributes; discusses normative subtleties (concept of protected attribute vs observable proxies) and how different assumptions lead to different fairness conclusions.</t>
  </si>
  <si>
    <t>Defines unresolved discrimination via existence of an unblocked directed path from protected attribute A to variable V not mediated by resolving variables; defines proxy discrimination via interventional invariance: P(R|do(P=p)) = P(R|do(P=p′)) for all p,p′ (and variants such as individual proxy discrimination).</t>
  </si>
  <si>
    <t>P108</t>
  </si>
  <si>
    <t>P109 — Pleiss2017NeurIPS</t>
  </si>
  <si>
    <t>Strong theory + clear operational definitions (calibration, generalized FP/FN, EO and relaxations) and empirical confirmation. Explicitly discusses troubling implications (random information withholding; degrading one group) and feasibility limits; still does not provide concrete stakeholder elicitation or governance/monitoring process for selecting fairness targets in practice.</t>
  </si>
  <si>
    <t>Pleiss, Geoff, Manish Raghavan, Felix Wu, Jon Kleinberg, and Kilian Q. Weinberger. "On Fairness and Calibration." In Advances in Neural Information Processing Systems (NeurIPS), 2017.</t>
  </si>
  <si>
    <t>Formal analysis of the incompatibility between calibration and error-rate parity constraints (Equalized Odds and relaxations). Provides geometric characterization in generalized FP/FN space, feasibility conditions, and an optimal post-processing algorithm (information withholding / randomization) to satisfy calibrated equal-cost constraints when feasible.</t>
  </si>
  <si>
    <t>Frames fairness concerns about predictive errors in sensitive domains (criminal justice, online advertising, medical testing) and motivates calibration as necessary for risk scores to have consistent meaning across protected groups (to avoid incentivizing decision makers to use group membership).</t>
  </si>
  <si>
    <t>Provides rigorous, testable results on calibration–fairness incompatibilities and an optimal (but ethically troubling) randomized post-processing for calibrated parity, yet offers no stakeholder elicitation, acceptance criteria, or deployment-time monitoring/revision guidance for choosing among incompatible fairness goals.</t>
  </si>
  <si>
    <t>Given calibrated classifiers for each group, characterize feasible calibrated solutions as points on group-specific calibration lines in generalized FP/FN space. For relaxed equal-cost parity, compute interpolation parameter α and post-process by replacing h_2(x) with trivial base-rate predictor μ_2 with probability α (information withholding) so that g_2(tilde h_2)=g_1(h_1) while preserving calibration; evaluate empirically on Adult, Heart, and COMPAS datasets comparing to EO post-processing/training.</t>
  </si>
  <si>
    <t>Calibration (within-group), generalized false-positive and false-negative rates for probabilistic classifiers, Equalized Odds (matching both error types), relaxed equal-cost parity g_t, plus evaluation via plotted FP/FN trade-off geometry; discusses base rates μ_t as key parameter.</t>
  </si>
  <si>
    <t>Discusses group attribute defining subpopulations G1,G2 (e.g., race: African-American vs Caucasian in COMPAS; gender: women vs men in Adult; age groups: middle-aged vs seniors in Heart).</t>
  </si>
  <si>
    <t>Highlights normative tension: group-level parity under calibration may require intentionally degrading one group’s classifier and using random coin flips to withhold information for individuals, raising individual fairness and acceptability concerns in high-stakes settings.</t>
  </si>
  <si>
    <t>Defines probabilistic classifiers h_t(x)∈[0,1] with generalized FP/FN rates cfp(h_t)=E[h_t(x)|y=0], cfn(h_t)=E[1−h_t(x)|y=1]; Probabilistic Equalized Odds requires matching both across groups. Group calibration requires P(y=1|h_t(x)=p)=p within each group. Shows impossibility of satisfying calibration with multiple distinct equal-cost (incl. EO) constraints unless perfect prediction; proposes calibrated relaxation via equalizing a single linear cost g_t(h_t)=a_t cfp(h_t)+b_t cfn(h_t).</t>
  </si>
  <si>
    <t>Affected groups, Developers, Org leadership, Regulators</t>
  </si>
  <si>
    <t>P109</t>
  </si>
  <si>
    <t>Empirically confirms theoretical findings on multiple datasets (Adult income prediction, Heart health prediction, COMPAS recidivism), comparing calibrated relaxations vs Equalized Odds post-processing/training using generalized FP/FN plots.</t>
  </si>
  <si>
    <t>P110 — She2025FairSense</t>
  </si>
  <si>
    <t>Updated using case-study excerpt: specifies protected groups (race, gender, districts), fairness metrics (DP gap, mean score gap, RPD), long-term fairness metrics (avg/max increase), and decision policies/threshold parameters (doctor threshold; hotspot allocation; group-specific credit thresholds). Acceptance criteria and explicit revision triggers/ownership not shown in excerpts.</t>
  </si>
  <si>
    <t>She2025FairSense</t>
  </si>
  <si>
    <t>FAIRSENSE performs Monte-Carlo simulation to enumerate evolution traces for each system configuration ... performs sensitivity analysis on the space of possible configurations to understand the impact of design options and environmental factors.</t>
  </si>
  <si>
    <t>Many ML-enabled systems operate in a dynamic environment where the predictive decisions made by the system impact the environment, which in turn affects future decision-making.</t>
  </si>
  <si>
    <t>Provides simulation-based, design-time evaluation of long-term fairness under feedback loops with sensitivity and trade-off analysis across three case studies, but does not specify acceptance thresholds or an explicit post-deployment revision/ownership process in the provided excerpts.</t>
  </si>
  <si>
    <t>Monte Carlo simulation to enumerate evolution traces per configuration and environmental parameter setting; compute long-term fairness as average/max increase of fairness gaps over time; perform sensitivity analysis over configuration/environment parameters; trade-off analysis with utility metrics (profit; accuracy/F1; incident discovery/hotspot correctness).</t>
  </si>
  <si>
    <t>Loan lending: demographic parity gap; mean credit score difference; long-term fairness metrics = average increase (Eq.1) and maximum increase (Eq.2) in fairness gap. Opioid risk: max increase in mean risk-score gap; avg increase in performance gap (accuracy, F1) over time. Predictive policing: average pairwise RPD of district over-policing scores; long-term fairness metrics = max/avg increase in allocation unfairness.</t>
  </si>
  <si>
    <t>Track fairness gap and long-term fairness (avg/max increase) across time steps/traces; also track utility metrics (bank profit; accuracy/F1; discovered incidents and hotspot correctness).</t>
  </si>
  <si>
    <t>FAIRSENSE helps ... plan for mitigations and monitoring to maintain fairness when the system is deployed in the real world.</t>
  </si>
  <si>
    <t>Loan lending: race (White vs Black). Opioid risk scoring: gender (male vs female). Predictive policing: districts (allocation fairness across districts).</t>
  </si>
  <si>
    <t>A long-term fairness issue arises as a result of a feedback loop between a system and its environment: Decisions made by an ML-enabled system induce certain changes or shifts in the environment, which, in turn, can influence the ensuing system behavior.</t>
  </si>
  <si>
    <t>Given a fairness requirement, FAIRSENSE performs Monte-Carlo simulation to enumerate evolution traces for each system configuration.</t>
  </si>
  <si>
    <t>P110</t>
  </si>
  <si>
    <t>Loan lending: group-specific credit score thresholds (dynamic; values not in excerpt). Opioid risk scoring: doctor threshold in [0.3, 0.4, 0.45, 0.5, 0.55, 0.6, 0.7]. Predictive policing: allocate police to top 50 hotspot cells; discovery rates varied (0.8–1.0 hotspot, 0.2–0.5 other).</t>
  </si>
  <si>
    <t>We demonstrate FAIRSENSE’s potential utility through three real-world case studies: Loan lending, opioids risk scoring, and predictive policing.</t>
  </si>
  <si>
    <t>Results Part A — Descriptive synthesis</t>
  </si>
  <si>
    <t>Corpus profile (formula-driven summaries from Extraction)</t>
  </si>
  <si>
    <t>Publication trend by year</t>
  </si>
  <si>
    <t>Count</t>
  </si>
  <si>
    <t>Percent</t>
  </si>
  <si>
    <t>Domains</t>
  </si>
  <si>
    <t>Blank/Uncoded</t>
  </si>
  <si>
    <t>System types</t>
  </si>
  <si>
    <t>System type</t>
  </si>
  <si>
    <t>Deployment status</t>
  </si>
  <si>
    <t>Status</t>
  </si>
  <si>
    <t>Data type</t>
  </si>
  <si>
    <t>RQ1 — Conceptual foundations across levels</t>
  </si>
  <si>
    <t>Output: taxonomy of fairness notions and where they arise across environment, system design, and sociotechnical levels.</t>
  </si>
  <si>
    <t>Coverage by level</t>
  </si>
  <si>
    <t>Level</t>
  </si>
  <si>
    <t>ENV</t>
  </si>
  <si>
    <t>DES</t>
  </si>
  <si>
    <t>SOC</t>
  </si>
  <si>
    <t>Explicit requirement status by level (among level-present studies)</t>
  </si>
  <si>
    <t>Fairness notions (multi-label)</t>
  </si>
  <si>
    <t>Fairness notion</t>
  </si>
  <si>
    <t>Percent of studies</t>
  </si>
  <si>
    <t>Error parity</t>
  </si>
  <si>
    <t>Individual consistency</t>
  </si>
  <si>
    <t>Procedural fairness</t>
  </si>
  <si>
    <t>Contestability/recourse</t>
  </si>
  <si>
    <t>Contextual/legal compliance</t>
  </si>
  <si>
    <t>Fairness notions by level (counts)</t>
  </si>
  <si>
    <t>RQ2 — Elicitation to operationalization across the lifecycle</t>
  </si>
  <si>
    <t>Output: lifecycle map of practices and artifacts, plus operationalization patterns (metrics, thresholds, procedures).</t>
  </si>
  <si>
    <t>Lifecycle activity coverage</t>
  </si>
  <si>
    <t>Lifecycle activity</t>
  </si>
  <si>
    <t>Elicitation</t>
  </si>
  <si>
    <t>Specification</t>
  </si>
  <si>
    <t>Operationalization</t>
  </si>
  <si>
    <t>Validation/testing</t>
  </si>
  <si>
    <t>Monitoring</t>
  </si>
  <si>
    <t>Revision</t>
  </si>
  <si>
    <t>Elicitation methods (among studies with elicitation)</t>
  </si>
  <si>
    <t>Method</t>
  </si>
  <si>
    <t>Workshops</t>
  </si>
  <si>
    <t>Participatory design</t>
  </si>
  <si>
    <t>Legal/policy analysis</t>
  </si>
  <si>
    <t>Focus groups</t>
  </si>
  <si>
    <t>Specification explicitness/testability</t>
  </si>
  <si>
    <t>Category</t>
  </si>
  <si>
    <t>Specification artifacts</t>
  </si>
  <si>
    <t>Format</t>
  </si>
  <si>
    <t>Requirement template</t>
  </si>
  <si>
    <t>NFR statement</t>
  </si>
  <si>
    <t>Policy/rule</t>
  </si>
  <si>
    <t>Operationalization detail</t>
  </si>
  <si>
    <t>Validation methods</t>
  </si>
  <si>
    <t>Audit</t>
  </si>
  <si>
    <t>RQ3 — Validity over time</t>
  </si>
  <si>
    <t>Output: failure modes and gaps categorized by specification, validation, monitoring, and revision.</t>
  </si>
  <si>
    <t>Monitoring × Revision</t>
  </si>
  <si>
    <t>Monitoring \ Revision</t>
  </si>
  <si>
    <t>Revision governance (among studies with revision)</t>
  </si>
  <si>
    <t>Trigger \ Ownership</t>
  </si>
  <si>
    <t>Failure mode</t>
  </si>
  <si>
    <t>Missing context assumptions</t>
  </si>
  <si>
    <t>No thresholds / acceptance criteria</t>
  </si>
  <si>
    <t>Unstable subgroup definitions</t>
  </si>
  <si>
    <t>Drift not addressed</t>
  </si>
  <si>
    <t>Monitoring without triggers</t>
  </si>
  <si>
    <t>No revision process/ownership</t>
  </si>
  <si>
    <t>Governance absent</t>
  </si>
  <si>
    <t>RQ3-focused subset (n=10) — failure modes</t>
  </si>
  <si>
    <t>Count in RQ3 subset</t>
  </si>
  <si>
    <t>RQ4 — Enabling end-to-end methods</t>
  </si>
  <si>
    <t>Output: SLR-synthesized Multidimensional Iterative Fairness Framework as an integration of what is missing or fragmented.</t>
  </si>
  <si>
    <t>Elicitation × Operationalization</t>
  </si>
  <si>
    <t>Elicitation \ Operationalization</t>
  </si>
  <si>
    <t>End-to-end coverage and governance maturity</t>
  </si>
  <si>
    <t>Measure</t>
  </si>
  <si>
    <t>Governance mature</t>
  </si>
  <si>
    <t>Governance developing</t>
  </si>
  <si>
    <t>Studies with ELICIT+OPER+MON+REVISE</t>
  </si>
  <si>
    <t>Framework components synthesized from the gaps</t>
  </si>
  <si>
    <t>Component</t>
  </si>
  <si>
    <t>What it adds</t>
  </si>
  <si>
    <t>1. Environment grounding</t>
  </si>
  <si>
    <t>Harms, stakeholders, legal obligations, and deployment assumptions</t>
  </si>
  <si>
    <t>2. Multi-level specification</t>
  </si>
  <si>
    <t>Traceable ENV-DES-SOC requirements and rationale</t>
  </si>
  <si>
    <t>3. Operationalization</t>
  </si>
  <si>
    <t>Metrics, subgroup definitions, thresholds, acceptance criteria, and decision rules</t>
  </si>
  <si>
    <t>4. Assurance loop</t>
  </si>
  <si>
    <t>Validation, release gates, monitoring signals, and drift/harm checks</t>
  </si>
  <si>
    <t>5. Adaptation governance</t>
  </si>
  <si>
    <t>Triggers, owners, escalation paths, documentation, and versioning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</si>
</sst>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1"/>
      <color rgb="FFFFFFFF"/>
      <name val="Calibri"/>
      <family val="2"/>
      <scheme val="minor"/>
    </font>
    <font>
      <b/>
      <sz val="16"/>
      <color theme="1"/>
      <name val="Calibri"/>
      <family val="2"/>
      <scheme val="minor"/>
    </font>
    <font>
      <i/>
      <sz val="11"/>
      <color rgb="FF666666"/>
      <name val="Calibri"/>
      <family val="2"/>
      <scheme val="minor"/>
    </font>
    <font>
      <b/>
      <sz val="13"/>
      <color theme="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D9E2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horizontal="center" vertical="center" wrapText="1"/>
    </xf>
    <xf numFmtId="0" fontId="3" fillId="0" borderId="0" xfId="0" applyFont="1"/>
    <xf numFmtId="0" fontId="4" fillId="0" borderId="0" xfId="0" applyFont="1"/>
    <xf numFmtId="0" fontId="5" fillId="3" borderId="1" xfId="0" applyFont="1" applyFill="1" applyBorder="1"/>
    <xf numFmtId="1"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Publication trend</a:t>
            </a:r>
          </a:p>
        </c:rich>
      </c:tx>
      <c:overlay val="0"/>
    </c:title>
    <c:autoTitleDeleted val="0"/>
    <c:plotArea>
      <c:layout/>
      <c:lineChart>
        <c:grouping val="standard"/>
        <c:varyColors val="0"/>
        <c:ser>
          <c:idx val="0"/>
          <c:order val="0"/>
          <c:tx>
            <c:strRef>
              <c:f>Descriptive!$B$5</c:f>
              <c:strCache>
                <c:ptCount val="1"/>
                <c:pt idx="0">
                  <c:v>Count</c:v>
                </c:pt>
              </c:strCache>
            </c:strRef>
          </c:tx>
          <c:marker>
            <c:symbol val="none"/>
          </c:marker>
          <c:cat>
            <c:numRef>
              <c:f>Descriptive!$A$6:$A$25</c:f>
              <c:numCache>
                <c:formatCode>General</c:formatCode>
                <c:ptCount val="20"/>
                <c:pt idx="0">
                  <c:v>1966</c:v>
                </c:pt>
                <c:pt idx="1">
                  <c:v>1994</c:v>
                </c:pt>
                <c:pt idx="2">
                  <c:v>1999</c:v>
                </c:pt>
                <c:pt idx="3">
                  <c:v>2004</c:v>
                </c:pt>
                <c:pt idx="4">
                  <c:v>2008</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numCache>
            </c:numRef>
          </c:cat>
          <c:val>
            <c:numRef>
              <c:f>Descriptive!$B$6:$B$25</c:f>
              <c:numCache>
                <c:formatCode>0</c:formatCode>
                <c:ptCount val="20"/>
                <c:pt idx="0">
                  <c:v>1</c:v>
                </c:pt>
                <c:pt idx="1">
                  <c:v>1</c:v>
                </c:pt>
                <c:pt idx="2">
                  <c:v>1</c:v>
                </c:pt>
                <c:pt idx="3">
                  <c:v>1</c:v>
                </c:pt>
                <c:pt idx="4">
                  <c:v>4</c:v>
                </c:pt>
                <c:pt idx="5">
                  <c:v>3</c:v>
                </c:pt>
                <c:pt idx="6">
                  <c:v>2</c:v>
                </c:pt>
                <c:pt idx="7">
                  <c:v>1</c:v>
                </c:pt>
                <c:pt idx="8">
                  <c:v>2</c:v>
                </c:pt>
                <c:pt idx="9">
                  <c:v>4</c:v>
                </c:pt>
                <c:pt idx="10">
                  <c:v>10</c:v>
                </c:pt>
                <c:pt idx="11">
                  <c:v>9</c:v>
                </c:pt>
                <c:pt idx="12">
                  <c:v>20</c:v>
                </c:pt>
                <c:pt idx="13">
                  <c:v>14</c:v>
                </c:pt>
                <c:pt idx="14">
                  <c:v>7</c:v>
                </c:pt>
                <c:pt idx="15">
                  <c:v>8</c:v>
                </c:pt>
                <c:pt idx="16">
                  <c:v>8</c:v>
                </c:pt>
                <c:pt idx="17">
                  <c:v>6</c:v>
                </c:pt>
                <c:pt idx="18">
                  <c:v>7</c:v>
                </c:pt>
                <c:pt idx="19">
                  <c:v>1</c:v>
                </c:pt>
              </c:numCache>
            </c:numRef>
          </c:val>
          <c:smooth val="0"/>
          <c:extLst>
            <c:ext xmlns:c16="http://schemas.microsoft.com/office/drawing/2014/chart" uri="{C3380CC4-5D6E-409C-BE32-E72D297353CC}">
              <c16:uniqueId val="{00000000-D5ED-48BD-B73C-12F583401D14}"/>
            </c:ext>
          </c:extLst>
        </c:ser>
        <c:dLbls>
          <c:showLegendKey val="0"/>
          <c:showVal val="0"/>
          <c:showCatName val="0"/>
          <c:showSerName val="0"/>
          <c:showPercent val="0"/>
          <c:showBubbleSize val="0"/>
        </c:dLbls>
        <c:smooth val="0"/>
        <c:axId val="50010001"/>
        <c:axId val="50010002"/>
      </c:lineChart>
      <c:catAx>
        <c:axId val="50010001"/>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50010002"/>
        <c:crosses val="autoZero"/>
        <c:auto val="1"/>
        <c:lblAlgn val="ctr"/>
        <c:lblOffset val="100"/>
        <c:noMultiLvlLbl val="0"/>
      </c:catAx>
      <c:valAx>
        <c:axId val="50010002"/>
        <c:scaling>
          <c:orientation val="minMax"/>
        </c:scaling>
        <c:delete val="0"/>
        <c:axPos val="l"/>
        <c:majorGridlines/>
        <c:title>
          <c:tx>
            <c:rich>
              <a:bodyPr rot="-5400000" vert="horz"/>
              <a:lstStyle/>
              <a:p>
                <a:pPr>
                  <a:defRPr/>
                </a:pPr>
                <a:r>
                  <a:rPr lang="en-US"/>
                  <a:t>Studies</a:t>
                </a:r>
              </a:p>
            </c:rich>
          </c:tx>
          <c:overlay val="0"/>
        </c:title>
        <c:numFmt formatCode="0"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Domain distribution</a:t>
            </a:r>
          </a:p>
        </c:rich>
      </c:tx>
      <c:overlay val="0"/>
    </c:title>
    <c:autoTitleDeleted val="0"/>
    <c:plotArea>
      <c:layout/>
      <c:barChart>
        <c:barDir val="bar"/>
        <c:grouping val="clustered"/>
        <c:varyColors val="0"/>
        <c:ser>
          <c:idx val="0"/>
          <c:order val="0"/>
          <c:tx>
            <c:strRef>
              <c:f>Descriptive!$F$5</c:f>
              <c:strCache>
                <c:ptCount val="1"/>
                <c:pt idx="0">
                  <c:v>Count</c:v>
                </c:pt>
              </c:strCache>
            </c:strRef>
          </c:tx>
          <c:invertIfNegative val="0"/>
          <c:cat>
            <c:strRef>
              <c:f>Descriptive!$E$6:$E$12</c:f>
              <c:strCache>
                <c:ptCount val="7"/>
                <c:pt idx="0">
                  <c:v>General</c:v>
                </c:pt>
                <c:pt idx="1">
                  <c:v>Lending</c:v>
                </c:pt>
                <c:pt idx="2">
                  <c:v>Policing</c:v>
                </c:pt>
                <c:pt idx="3">
                  <c:v>Hiring</c:v>
                </c:pt>
                <c:pt idx="4">
                  <c:v>Healthcare</c:v>
                </c:pt>
                <c:pt idx="5">
                  <c:v>Other</c:v>
                </c:pt>
                <c:pt idx="6">
                  <c:v>Blank/Uncoded</c:v>
                </c:pt>
              </c:strCache>
            </c:strRef>
          </c:cat>
          <c:val>
            <c:numRef>
              <c:f>Descriptive!$F$6:$F$12</c:f>
              <c:numCache>
                <c:formatCode>0</c:formatCode>
                <c:ptCount val="7"/>
                <c:pt idx="0">
                  <c:v>72</c:v>
                </c:pt>
                <c:pt idx="1">
                  <c:v>10</c:v>
                </c:pt>
                <c:pt idx="2">
                  <c:v>10</c:v>
                </c:pt>
                <c:pt idx="3">
                  <c:v>5</c:v>
                </c:pt>
                <c:pt idx="4">
                  <c:v>3</c:v>
                </c:pt>
                <c:pt idx="5">
                  <c:v>10</c:v>
                </c:pt>
                <c:pt idx="6">
                  <c:v>0</c:v>
                </c:pt>
              </c:numCache>
            </c:numRef>
          </c:val>
          <c:extLst>
            <c:ext xmlns:c16="http://schemas.microsoft.com/office/drawing/2014/chart" uri="{C3380CC4-5D6E-409C-BE32-E72D297353CC}">
              <c16:uniqueId val="{00000000-DD32-4C3E-8B03-E9BC812344B4}"/>
            </c:ext>
          </c:extLst>
        </c:ser>
        <c:dLbls>
          <c:showLegendKey val="0"/>
          <c:showVal val="0"/>
          <c:showCatName val="0"/>
          <c:showSerName val="0"/>
          <c:showPercent val="0"/>
          <c:showBubbleSize val="0"/>
        </c:dLbls>
        <c:gapWidth val="150"/>
        <c:axId val="50020001"/>
        <c:axId val="50020002"/>
      </c:barChart>
      <c:catAx>
        <c:axId val="50020001"/>
        <c:scaling>
          <c:orientation val="minMax"/>
        </c:scaling>
        <c:delete val="0"/>
        <c:axPos val="l"/>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b"/>
        <c:majorGridlines/>
        <c:title>
          <c:tx>
            <c:rich>
              <a:bodyPr/>
              <a:lstStyle/>
              <a:p>
                <a:pPr>
                  <a:defRPr/>
                </a:pPr>
                <a:r>
                  <a:rPr lang="en-US"/>
                  <a:t>Studies</a:t>
                </a:r>
              </a:p>
            </c:rich>
          </c:tx>
          <c:overlay val="0"/>
        </c:title>
        <c:numFmt formatCode="0" sourceLinked="1"/>
        <c:majorTickMark val="out"/>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Level coverage</a:t>
            </a:r>
          </a:p>
        </c:rich>
      </c:tx>
      <c:overlay val="0"/>
    </c:title>
    <c:autoTitleDeleted val="0"/>
    <c:plotArea>
      <c:layout/>
      <c:barChart>
        <c:barDir val="col"/>
        <c:grouping val="clustered"/>
        <c:varyColors val="0"/>
        <c:ser>
          <c:idx val="0"/>
          <c:order val="0"/>
          <c:tx>
            <c:strRef>
              <c:f>RQ1_Levels!$B$5</c:f>
              <c:strCache>
                <c:ptCount val="1"/>
                <c:pt idx="0">
                  <c:v>Count</c:v>
                </c:pt>
              </c:strCache>
            </c:strRef>
          </c:tx>
          <c:invertIfNegative val="0"/>
          <c:cat>
            <c:strRef>
              <c:f>RQ1_Levels!$A$6:$A$8</c:f>
              <c:strCache>
                <c:ptCount val="3"/>
                <c:pt idx="0">
                  <c:v>ENV</c:v>
                </c:pt>
                <c:pt idx="1">
                  <c:v>DES</c:v>
                </c:pt>
                <c:pt idx="2">
                  <c:v>SOC</c:v>
                </c:pt>
              </c:strCache>
            </c:strRef>
          </c:cat>
          <c:val>
            <c:numRef>
              <c:f>RQ1_Levels!$B$6:$B$8</c:f>
              <c:numCache>
                <c:formatCode>0</c:formatCode>
                <c:ptCount val="3"/>
                <c:pt idx="0">
                  <c:v>103</c:v>
                </c:pt>
                <c:pt idx="1">
                  <c:v>101</c:v>
                </c:pt>
                <c:pt idx="2">
                  <c:v>96</c:v>
                </c:pt>
              </c:numCache>
            </c:numRef>
          </c:val>
          <c:extLst>
            <c:ext xmlns:c16="http://schemas.microsoft.com/office/drawing/2014/chart" uri="{C3380CC4-5D6E-409C-BE32-E72D297353CC}">
              <c16:uniqueId val="{00000000-D408-43CE-97BC-E34CED30477D}"/>
            </c:ext>
          </c:extLst>
        </c:ser>
        <c:dLbls>
          <c:showLegendKey val="0"/>
          <c:showVal val="0"/>
          <c:showCatName val="0"/>
          <c:showSerName val="0"/>
          <c:showPercent val="0"/>
          <c:showBubbleSize val="0"/>
        </c:dLbls>
        <c:gapWidth val="150"/>
        <c:axId val="50030001"/>
        <c:axId val="50030002"/>
      </c:barChart>
      <c:catAx>
        <c:axId val="50030001"/>
        <c:scaling>
          <c:orientation val="minMax"/>
        </c:scaling>
        <c:delete val="0"/>
        <c:axPos val="b"/>
        <c:numFmt formatCode="General" sourceLinked="0"/>
        <c:majorTickMark val="out"/>
        <c:minorTickMark val="none"/>
        <c:tickLblPos val="nextTo"/>
        <c:crossAx val="50030002"/>
        <c:crosses val="autoZero"/>
        <c:auto val="1"/>
        <c:lblAlgn val="ctr"/>
        <c:lblOffset val="100"/>
        <c:noMultiLvlLbl val="0"/>
      </c:catAx>
      <c:valAx>
        <c:axId val="50030002"/>
        <c:scaling>
          <c:orientation val="minMax"/>
        </c:scaling>
        <c:delete val="0"/>
        <c:axPos val="l"/>
        <c:majorGridlines/>
        <c:title>
          <c:tx>
            <c:rich>
              <a:bodyPr/>
              <a:lstStyle/>
              <a:p>
                <a:pPr>
                  <a:defRPr/>
                </a:pPr>
                <a:r>
                  <a:rPr lang="en-US"/>
                  <a:t>Studies</a:t>
                </a:r>
              </a:p>
            </c:rich>
          </c:tx>
          <c:overlay val="0"/>
        </c:title>
        <c:numFmt formatCode="0" sourceLinked="1"/>
        <c:majorTickMark val="out"/>
        <c:minorTickMark val="none"/>
        <c:tickLblPos val="nextTo"/>
        <c:crossAx val="5003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Explicitness by level</a:t>
            </a:r>
          </a:p>
        </c:rich>
      </c:tx>
      <c:overlay val="0"/>
    </c:title>
    <c:autoTitleDeleted val="0"/>
    <c:plotArea>
      <c:layout/>
      <c:barChart>
        <c:barDir val="bar"/>
        <c:grouping val="stacked"/>
        <c:varyColors val="0"/>
        <c:ser>
          <c:idx val="0"/>
          <c:order val="0"/>
          <c:tx>
            <c:strRef>
              <c:f>RQ1_Levels!$F$5</c:f>
              <c:strCache>
                <c:ptCount val="1"/>
                <c:pt idx="0">
                  <c:v>Yes</c:v>
                </c:pt>
              </c:strCache>
            </c:strRef>
          </c:tx>
          <c:invertIfNegative val="0"/>
          <c:cat>
            <c:strRef>
              <c:f>RQ1_Levels!$E$6:$E$8</c:f>
              <c:strCache>
                <c:ptCount val="3"/>
                <c:pt idx="0">
                  <c:v>ENV</c:v>
                </c:pt>
                <c:pt idx="1">
                  <c:v>DES</c:v>
                </c:pt>
                <c:pt idx="2">
                  <c:v>SOC</c:v>
                </c:pt>
              </c:strCache>
            </c:strRef>
          </c:cat>
          <c:val>
            <c:numRef>
              <c:f>RQ1_Levels!$F$6:$F$8</c:f>
              <c:numCache>
                <c:formatCode>0</c:formatCode>
                <c:ptCount val="3"/>
                <c:pt idx="0">
                  <c:v>15</c:v>
                </c:pt>
                <c:pt idx="1">
                  <c:v>59</c:v>
                </c:pt>
                <c:pt idx="2">
                  <c:v>15</c:v>
                </c:pt>
              </c:numCache>
            </c:numRef>
          </c:val>
          <c:extLst>
            <c:ext xmlns:c16="http://schemas.microsoft.com/office/drawing/2014/chart" uri="{C3380CC4-5D6E-409C-BE32-E72D297353CC}">
              <c16:uniqueId val="{00000000-5921-4FA4-8151-D9F73EA8E538}"/>
            </c:ext>
          </c:extLst>
        </c:ser>
        <c:ser>
          <c:idx val="1"/>
          <c:order val="1"/>
          <c:tx>
            <c:strRef>
              <c:f>RQ1_Levels!$G$5</c:f>
              <c:strCache>
                <c:ptCount val="1"/>
                <c:pt idx="0">
                  <c:v>Partial</c:v>
                </c:pt>
              </c:strCache>
            </c:strRef>
          </c:tx>
          <c:invertIfNegative val="0"/>
          <c:cat>
            <c:strRef>
              <c:f>RQ1_Levels!$E$6:$E$8</c:f>
              <c:strCache>
                <c:ptCount val="3"/>
                <c:pt idx="0">
                  <c:v>ENV</c:v>
                </c:pt>
                <c:pt idx="1">
                  <c:v>DES</c:v>
                </c:pt>
                <c:pt idx="2">
                  <c:v>SOC</c:v>
                </c:pt>
              </c:strCache>
            </c:strRef>
          </c:cat>
          <c:val>
            <c:numRef>
              <c:f>RQ1_Levels!$G$6:$G$8</c:f>
              <c:numCache>
                <c:formatCode>0</c:formatCode>
                <c:ptCount val="3"/>
                <c:pt idx="0">
                  <c:v>60</c:v>
                </c:pt>
                <c:pt idx="1">
                  <c:v>19</c:v>
                </c:pt>
                <c:pt idx="2">
                  <c:v>53</c:v>
                </c:pt>
              </c:numCache>
            </c:numRef>
          </c:val>
          <c:extLst>
            <c:ext xmlns:c16="http://schemas.microsoft.com/office/drawing/2014/chart" uri="{C3380CC4-5D6E-409C-BE32-E72D297353CC}">
              <c16:uniqueId val="{00000001-5921-4FA4-8151-D9F73EA8E538}"/>
            </c:ext>
          </c:extLst>
        </c:ser>
        <c:ser>
          <c:idx val="2"/>
          <c:order val="2"/>
          <c:tx>
            <c:strRef>
              <c:f>RQ1_Levels!$H$5</c:f>
              <c:strCache>
                <c:ptCount val="1"/>
                <c:pt idx="0">
                  <c:v>No</c:v>
                </c:pt>
              </c:strCache>
            </c:strRef>
          </c:tx>
          <c:invertIfNegative val="0"/>
          <c:cat>
            <c:strRef>
              <c:f>RQ1_Levels!$E$6:$E$8</c:f>
              <c:strCache>
                <c:ptCount val="3"/>
                <c:pt idx="0">
                  <c:v>ENV</c:v>
                </c:pt>
                <c:pt idx="1">
                  <c:v>DES</c:v>
                </c:pt>
                <c:pt idx="2">
                  <c:v>SOC</c:v>
                </c:pt>
              </c:strCache>
            </c:strRef>
          </c:cat>
          <c:val>
            <c:numRef>
              <c:f>RQ1_Levels!$H$6:$H$8</c:f>
              <c:numCache>
                <c:formatCode>0</c:formatCode>
                <c:ptCount val="3"/>
                <c:pt idx="0">
                  <c:v>0</c:v>
                </c:pt>
                <c:pt idx="1">
                  <c:v>0</c:v>
                </c:pt>
                <c:pt idx="2">
                  <c:v>1</c:v>
                </c:pt>
              </c:numCache>
            </c:numRef>
          </c:val>
          <c:extLst>
            <c:ext xmlns:c16="http://schemas.microsoft.com/office/drawing/2014/chart" uri="{C3380CC4-5D6E-409C-BE32-E72D297353CC}">
              <c16:uniqueId val="{00000002-5921-4FA4-8151-D9F73EA8E538}"/>
            </c:ext>
          </c:extLst>
        </c:ser>
        <c:ser>
          <c:idx val="3"/>
          <c:order val="3"/>
          <c:tx>
            <c:strRef>
              <c:f>RQ1_Levels!$I$5</c:f>
              <c:strCache>
                <c:ptCount val="1"/>
                <c:pt idx="0">
                  <c:v>Unclear</c:v>
                </c:pt>
              </c:strCache>
            </c:strRef>
          </c:tx>
          <c:invertIfNegative val="0"/>
          <c:cat>
            <c:strRef>
              <c:f>RQ1_Levels!$E$6:$E$8</c:f>
              <c:strCache>
                <c:ptCount val="3"/>
                <c:pt idx="0">
                  <c:v>ENV</c:v>
                </c:pt>
                <c:pt idx="1">
                  <c:v>DES</c:v>
                </c:pt>
                <c:pt idx="2">
                  <c:v>SOC</c:v>
                </c:pt>
              </c:strCache>
            </c:strRef>
          </c:cat>
          <c:val>
            <c:numRef>
              <c:f>RQ1_Levels!$I$6:$I$8</c:f>
              <c:numCache>
                <c:formatCode>0</c:formatCode>
                <c:ptCount val="3"/>
                <c:pt idx="0">
                  <c:v>1</c:v>
                </c:pt>
                <c:pt idx="1">
                  <c:v>0</c:v>
                </c:pt>
                <c:pt idx="2">
                  <c:v>1</c:v>
                </c:pt>
              </c:numCache>
            </c:numRef>
          </c:val>
          <c:extLst>
            <c:ext xmlns:c16="http://schemas.microsoft.com/office/drawing/2014/chart" uri="{C3380CC4-5D6E-409C-BE32-E72D297353CC}">
              <c16:uniqueId val="{00000003-5921-4FA4-8151-D9F73EA8E538}"/>
            </c:ext>
          </c:extLst>
        </c:ser>
        <c:ser>
          <c:idx val="4"/>
          <c:order val="4"/>
          <c:tx>
            <c:strRef>
              <c:f>RQ1_Levels!$J$5</c:f>
              <c:strCache>
                <c:ptCount val="1"/>
                <c:pt idx="0">
                  <c:v>Blank/Uncoded</c:v>
                </c:pt>
              </c:strCache>
            </c:strRef>
          </c:tx>
          <c:invertIfNegative val="0"/>
          <c:cat>
            <c:strRef>
              <c:f>RQ1_Levels!$E$6:$E$8</c:f>
              <c:strCache>
                <c:ptCount val="3"/>
                <c:pt idx="0">
                  <c:v>ENV</c:v>
                </c:pt>
                <c:pt idx="1">
                  <c:v>DES</c:v>
                </c:pt>
                <c:pt idx="2">
                  <c:v>SOC</c:v>
                </c:pt>
              </c:strCache>
            </c:strRef>
          </c:cat>
          <c:val>
            <c:numRef>
              <c:f>RQ1_Levels!$J$6:$J$8</c:f>
              <c:numCache>
                <c:formatCode>0</c:formatCode>
                <c:ptCount val="3"/>
                <c:pt idx="0">
                  <c:v>27</c:v>
                </c:pt>
                <c:pt idx="1">
                  <c:v>23</c:v>
                </c:pt>
                <c:pt idx="2">
                  <c:v>26</c:v>
                </c:pt>
              </c:numCache>
            </c:numRef>
          </c:val>
          <c:extLst>
            <c:ext xmlns:c16="http://schemas.microsoft.com/office/drawing/2014/chart" uri="{C3380CC4-5D6E-409C-BE32-E72D297353CC}">
              <c16:uniqueId val="{00000004-5921-4FA4-8151-D9F73EA8E538}"/>
            </c:ext>
          </c:extLst>
        </c:ser>
        <c:dLbls>
          <c:showLegendKey val="0"/>
          <c:showVal val="0"/>
          <c:showCatName val="0"/>
          <c:showSerName val="0"/>
          <c:showPercent val="0"/>
          <c:showBubbleSize val="0"/>
        </c:dLbls>
        <c:gapWidth val="150"/>
        <c:overlap val="100"/>
        <c:axId val="50040001"/>
        <c:axId val="50040002"/>
      </c:barChart>
      <c:catAx>
        <c:axId val="50040001"/>
        <c:scaling>
          <c:orientation val="minMax"/>
        </c:scaling>
        <c:delete val="0"/>
        <c:axPos val="l"/>
        <c:numFmt formatCode="General" sourceLinked="0"/>
        <c:majorTickMark val="out"/>
        <c:minorTickMark val="none"/>
        <c:tickLblPos val="nextTo"/>
        <c:crossAx val="50040002"/>
        <c:crosses val="autoZero"/>
        <c:auto val="1"/>
        <c:lblAlgn val="ctr"/>
        <c:lblOffset val="100"/>
        <c:noMultiLvlLbl val="0"/>
      </c:catAx>
      <c:valAx>
        <c:axId val="50040002"/>
        <c:scaling>
          <c:orientation val="minMax"/>
        </c:scaling>
        <c:delete val="0"/>
        <c:axPos val="b"/>
        <c:majorGridlines/>
        <c:title>
          <c:tx>
            <c:rich>
              <a:bodyPr/>
              <a:lstStyle/>
              <a:p>
                <a:pPr>
                  <a:defRPr/>
                </a:pPr>
                <a:r>
                  <a:rPr lang="en-US"/>
                  <a:t>Studies</a:t>
                </a:r>
              </a:p>
            </c:rich>
          </c:tx>
          <c:overlay val="0"/>
        </c:title>
        <c:numFmt formatCode="0" sourceLinked="1"/>
        <c:majorTickMark val="out"/>
        <c:minorTickMark val="none"/>
        <c:tickLblPos val="nextTo"/>
        <c:crossAx val="5004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Lifecycle coverage</a:t>
            </a:r>
          </a:p>
        </c:rich>
      </c:tx>
      <c:overlay val="0"/>
    </c:title>
    <c:autoTitleDeleted val="0"/>
    <c:plotArea>
      <c:layout/>
      <c:barChart>
        <c:barDir val="col"/>
        <c:grouping val="clustered"/>
        <c:varyColors val="0"/>
        <c:ser>
          <c:idx val="0"/>
          <c:order val="0"/>
          <c:tx>
            <c:strRef>
              <c:f>RQ2_Lifecycle!$B$5</c:f>
              <c:strCache>
                <c:ptCount val="1"/>
                <c:pt idx="0">
                  <c:v>Count</c:v>
                </c:pt>
              </c:strCache>
            </c:strRef>
          </c:tx>
          <c:invertIfNegative val="0"/>
          <c:cat>
            <c:strRef>
              <c:f>RQ2_Lifecycle!$A$6:$A$11</c:f>
              <c:strCache>
                <c:ptCount val="6"/>
                <c:pt idx="0">
                  <c:v>Elicitation</c:v>
                </c:pt>
                <c:pt idx="1">
                  <c:v>Specification</c:v>
                </c:pt>
                <c:pt idx="2">
                  <c:v>Operationalization</c:v>
                </c:pt>
                <c:pt idx="3">
                  <c:v>Validation/testing</c:v>
                </c:pt>
                <c:pt idx="4">
                  <c:v>Monitoring</c:v>
                </c:pt>
                <c:pt idx="5">
                  <c:v>Revision</c:v>
                </c:pt>
              </c:strCache>
            </c:strRef>
          </c:cat>
          <c:val>
            <c:numRef>
              <c:f>RQ2_Lifecycle!$B$6:$B$11</c:f>
              <c:numCache>
                <c:formatCode>0</c:formatCode>
                <c:ptCount val="6"/>
                <c:pt idx="0">
                  <c:v>20</c:v>
                </c:pt>
                <c:pt idx="1">
                  <c:v>110</c:v>
                </c:pt>
                <c:pt idx="2">
                  <c:v>102</c:v>
                </c:pt>
                <c:pt idx="3">
                  <c:v>94</c:v>
                </c:pt>
                <c:pt idx="4">
                  <c:v>6</c:v>
                </c:pt>
                <c:pt idx="5">
                  <c:v>7</c:v>
                </c:pt>
              </c:numCache>
            </c:numRef>
          </c:val>
          <c:extLst>
            <c:ext xmlns:c16="http://schemas.microsoft.com/office/drawing/2014/chart" uri="{C3380CC4-5D6E-409C-BE32-E72D297353CC}">
              <c16:uniqueId val="{00000000-DFF0-4356-BDB1-C4CD973C44A2}"/>
            </c:ext>
          </c:extLst>
        </c:ser>
        <c:dLbls>
          <c:showLegendKey val="0"/>
          <c:showVal val="0"/>
          <c:showCatName val="0"/>
          <c:showSerName val="0"/>
          <c:showPercent val="0"/>
          <c:showBubbleSize val="0"/>
        </c:dLbls>
        <c:gapWidth val="150"/>
        <c:axId val="50050001"/>
        <c:axId val="50050002"/>
      </c:barChart>
      <c:catAx>
        <c:axId val="50050001"/>
        <c:scaling>
          <c:orientation val="minMax"/>
        </c:scaling>
        <c:delete val="0"/>
        <c:axPos val="b"/>
        <c:numFmt formatCode="General" sourceLinked="0"/>
        <c:majorTickMark val="out"/>
        <c:minorTickMark val="none"/>
        <c:tickLblPos val="nextTo"/>
        <c:crossAx val="50050002"/>
        <c:crosses val="autoZero"/>
        <c:auto val="1"/>
        <c:lblAlgn val="ctr"/>
        <c:lblOffset val="100"/>
        <c:noMultiLvlLbl val="0"/>
      </c:catAx>
      <c:valAx>
        <c:axId val="50050002"/>
        <c:scaling>
          <c:orientation val="minMax"/>
        </c:scaling>
        <c:delete val="0"/>
        <c:axPos val="l"/>
        <c:majorGridlines/>
        <c:title>
          <c:tx>
            <c:rich>
              <a:bodyPr/>
              <a:lstStyle/>
              <a:p>
                <a:pPr>
                  <a:defRPr/>
                </a:pPr>
                <a:r>
                  <a:rPr lang="en-US"/>
                  <a:t>Studies</a:t>
                </a:r>
              </a:p>
            </c:rich>
          </c:tx>
          <c:overlay val="0"/>
        </c:title>
        <c:numFmt formatCode="0" sourceLinked="1"/>
        <c:majorTickMark val="out"/>
        <c:minorTickMark val="none"/>
        <c:tickLblPos val="nextTo"/>
        <c:crossAx val="5005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Operationalization completeness</a:t>
            </a:r>
          </a:p>
        </c:rich>
      </c:tx>
      <c:overlay val="0"/>
    </c:title>
    <c:autoTitleDeleted val="0"/>
    <c:plotArea>
      <c:layout/>
      <c:barChart>
        <c:barDir val="bar"/>
        <c:grouping val="stacked"/>
        <c:varyColors val="0"/>
        <c:ser>
          <c:idx val="0"/>
          <c:order val="0"/>
          <c:tx>
            <c:strRef>
              <c:f>RQ2_Lifecycle!$B$16</c:f>
              <c:strCache>
                <c:ptCount val="1"/>
                <c:pt idx="0">
                  <c:v>Thresholds stated</c:v>
                </c:pt>
              </c:strCache>
            </c:strRef>
          </c:tx>
          <c:invertIfNegative val="0"/>
          <c:cat>
            <c:strRef>
              <c:f>RQ2_Lifecycle!$A$17:$A$21</c:f>
              <c:strCache>
                <c:ptCount val="5"/>
                <c:pt idx="0">
                  <c:v>Yes</c:v>
                </c:pt>
                <c:pt idx="1">
                  <c:v>Partial</c:v>
                </c:pt>
                <c:pt idx="2">
                  <c:v>No</c:v>
                </c:pt>
                <c:pt idx="3">
                  <c:v>Unclear</c:v>
                </c:pt>
                <c:pt idx="4">
                  <c:v>Blank/Uncoded</c:v>
                </c:pt>
              </c:strCache>
            </c:strRef>
          </c:cat>
          <c:val>
            <c:numRef>
              <c:f>RQ2_Lifecycle!$B$17:$B$21</c:f>
              <c:numCache>
                <c:formatCode>0</c:formatCode>
                <c:ptCount val="5"/>
                <c:pt idx="0">
                  <c:v>27</c:v>
                </c:pt>
                <c:pt idx="1">
                  <c:v>29</c:v>
                </c:pt>
                <c:pt idx="2">
                  <c:v>50</c:v>
                </c:pt>
                <c:pt idx="3">
                  <c:v>4</c:v>
                </c:pt>
                <c:pt idx="4">
                  <c:v>0</c:v>
                </c:pt>
              </c:numCache>
            </c:numRef>
          </c:val>
          <c:extLst>
            <c:ext xmlns:c16="http://schemas.microsoft.com/office/drawing/2014/chart" uri="{C3380CC4-5D6E-409C-BE32-E72D297353CC}">
              <c16:uniqueId val="{00000000-3348-4E58-AF6C-EDE3C2857DEE}"/>
            </c:ext>
          </c:extLst>
        </c:ser>
        <c:ser>
          <c:idx val="1"/>
          <c:order val="1"/>
          <c:tx>
            <c:strRef>
              <c:f>RQ2_Lifecycle!$C$16</c:f>
              <c:strCache>
                <c:ptCount val="1"/>
                <c:pt idx="0">
                  <c:v>Acceptance criteria stated</c:v>
                </c:pt>
              </c:strCache>
            </c:strRef>
          </c:tx>
          <c:invertIfNegative val="0"/>
          <c:cat>
            <c:strRef>
              <c:f>RQ2_Lifecycle!$A$17:$A$21</c:f>
              <c:strCache>
                <c:ptCount val="5"/>
                <c:pt idx="0">
                  <c:v>Yes</c:v>
                </c:pt>
                <c:pt idx="1">
                  <c:v>Partial</c:v>
                </c:pt>
                <c:pt idx="2">
                  <c:v>No</c:v>
                </c:pt>
                <c:pt idx="3">
                  <c:v>Unclear</c:v>
                </c:pt>
                <c:pt idx="4">
                  <c:v>Blank/Uncoded</c:v>
                </c:pt>
              </c:strCache>
            </c:strRef>
          </c:cat>
          <c:val>
            <c:numRef>
              <c:f>RQ2_Lifecycle!$C$17:$C$21</c:f>
              <c:numCache>
                <c:formatCode>0</c:formatCode>
                <c:ptCount val="5"/>
                <c:pt idx="0">
                  <c:v>15</c:v>
                </c:pt>
                <c:pt idx="1">
                  <c:v>36</c:v>
                </c:pt>
                <c:pt idx="2">
                  <c:v>59</c:v>
                </c:pt>
                <c:pt idx="3">
                  <c:v>0</c:v>
                </c:pt>
                <c:pt idx="4">
                  <c:v>0</c:v>
                </c:pt>
              </c:numCache>
            </c:numRef>
          </c:val>
          <c:extLst>
            <c:ext xmlns:c16="http://schemas.microsoft.com/office/drawing/2014/chart" uri="{C3380CC4-5D6E-409C-BE32-E72D297353CC}">
              <c16:uniqueId val="{00000001-3348-4E58-AF6C-EDE3C2857DEE}"/>
            </c:ext>
          </c:extLst>
        </c:ser>
        <c:ser>
          <c:idx val="2"/>
          <c:order val="2"/>
          <c:tx>
            <c:strRef>
              <c:f>RQ2_Lifecycle!$D$16</c:f>
              <c:strCache>
                <c:ptCount val="1"/>
                <c:pt idx="0">
                  <c:v>Decision rule tied to metric</c:v>
                </c:pt>
              </c:strCache>
            </c:strRef>
          </c:tx>
          <c:invertIfNegative val="0"/>
          <c:cat>
            <c:strRef>
              <c:f>RQ2_Lifecycle!$A$17:$A$21</c:f>
              <c:strCache>
                <c:ptCount val="5"/>
                <c:pt idx="0">
                  <c:v>Yes</c:v>
                </c:pt>
                <c:pt idx="1">
                  <c:v>Partial</c:v>
                </c:pt>
                <c:pt idx="2">
                  <c:v>No</c:v>
                </c:pt>
                <c:pt idx="3">
                  <c:v>Unclear</c:v>
                </c:pt>
                <c:pt idx="4">
                  <c:v>Blank/Uncoded</c:v>
                </c:pt>
              </c:strCache>
            </c:strRef>
          </c:cat>
          <c:val>
            <c:numRef>
              <c:f>RQ2_Lifecycle!$D$17:$D$21</c:f>
              <c:numCache>
                <c:formatCode>0</c:formatCode>
                <c:ptCount val="5"/>
                <c:pt idx="0">
                  <c:v>51</c:v>
                </c:pt>
                <c:pt idx="1">
                  <c:v>0</c:v>
                </c:pt>
                <c:pt idx="2">
                  <c:v>28</c:v>
                </c:pt>
                <c:pt idx="3">
                  <c:v>30</c:v>
                </c:pt>
                <c:pt idx="4">
                  <c:v>1</c:v>
                </c:pt>
              </c:numCache>
            </c:numRef>
          </c:val>
          <c:extLst>
            <c:ext xmlns:c16="http://schemas.microsoft.com/office/drawing/2014/chart" uri="{C3380CC4-5D6E-409C-BE32-E72D297353CC}">
              <c16:uniqueId val="{00000002-3348-4E58-AF6C-EDE3C2857DEE}"/>
            </c:ext>
          </c:extLst>
        </c:ser>
        <c:dLbls>
          <c:showLegendKey val="0"/>
          <c:showVal val="0"/>
          <c:showCatName val="0"/>
          <c:showSerName val="0"/>
          <c:showPercent val="0"/>
          <c:showBubbleSize val="0"/>
        </c:dLbls>
        <c:gapWidth val="150"/>
        <c:overlap val="100"/>
        <c:axId val="50060001"/>
        <c:axId val="50060002"/>
      </c:barChart>
      <c:catAx>
        <c:axId val="50060001"/>
        <c:scaling>
          <c:orientation val="minMax"/>
        </c:scaling>
        <c:delete val="0"/>
        <c:axPos val="l"/>
        <c:numFmt formatCode="General" sourceLinked="0"/>
        <c:majorTickMark val="out"/>
        <c:minorTickMark val="none"/>
        <c:tickLblPos val="nextTo"/>
        <c:crossAx val="50060002"/>
        <c:crosses val="autoZero"/>
        <c:auto val="1"/>
        <c:lblAlgn val="ctr"/>
        <c:lblOffset val="100"/>
        <c:noMultiLvlLbl val="0"/>
      </c:catAx>
      <c:valAx>
        <c:axId val="50060002"/>
        <c:scaling>
          <c:orientation val="minMax"/>
        </c:scaling>
        <c:delete val="0"/>
        <c:axPos val="b"/>
        <c:majorGridlines/>
        <c:title>
          <c:tx>
            <c:rich>
              <a:bodyPr/>
              <a:lstStyle/>
              <a:p>
                <a:pPr>
                  <a:defRPr/>
                </a:pPr>
                <a:r>
                  <a:rPr lang="en-US"/>
                  <a:t>Studies</a:t>
                </a:r>
              </a:p>
            </c:rich>
          </c:tx>
          <c:overlay val="0"/>
        </c:title>
        <c:numFmt formatCode="0" sourceLinked="1"/>
        <c:majorTickMark val="out"/>
        <c:minorTickMark val="none"/>
        <c:tickLblPos val="nextTo"/>
        <c:crossAx val="5006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Failure modes (all studies)</a:t>
            </a:r>
          </a:p>
        </c:rich>
      </c:tx>
      <c:overlay val="0"/>
    </c:title>
    <c:autoTitleDeleted val="0"/>
    <c:plotArea>
      <c:layout/>
      <c:barChart>
        <c:barDir val="bar"/>
        <c:grouping val="clustered"/>
        <c:varyColors val="0"/>
        <c:ser>
          <c:idx val="0"/>
          <c:order val="0"/>
          <c:tx>
            <c:strRef>
              <c:f>RQ3_Longitudinal!$B$13</c:f>
              <c:strCache>
                <c:ptCount val="1"/>
                <c:pt idx="0">
                  <c:v>Count</c:v>
                </c:pt>
              </c:strCache>
            </c:strRef>
          </c:tx>
          <c:invertIfNegative val="0"/>
          <c:cat>
            <c:strRef>
              <c:f>RQ3_Longitudinal!$A$14:$A$21</c:f>
              <c:strCache>
                <c:ptCount val="8"/>
                <c:pt idx="0">
                  <c:v>Missing context assumptions</c:v>
                </c:pt>
                <c:pt idx="1">
                  <c:v>No thresholds / acceptance criteria</c:v>
                </c:pt>
                <c:pt idx="2">
                  <c:v>Unstable subgroup definitions</c:v>
                </c:pt>
                <c:pt idx="3">
                  <c:v>Drift not addressed</c:v>
                </c:pt>
                <c:pt idx="4">
                  <c:v>Monitoring without triggers</c:v>
                </c:pt>
                <c:pt idx="5">
                  <c:v>No revision process/ownership</c:v>
                </c:pt>
                <c:pt idx="6">
                  <c:v>Governance absent</c:v>
                </c:pt>
                <c:pt idx="7">
                  <c:v>Other</c:v>
                </c:pt>
              </c:strCache>
            </c:strRef>
          </c:cat>
          <c:val>
            <c:numRef>
              <c:f>RQ3_Longitudinal!$B$14:$B$21</c:f>
              <c:numCache>
                <c:formatCode>0</c:formatCode>
                <c:ptCount val="8"/>
                <c:pt idx="0">
                  <c:v>27</c:v>
                </c:pt>
                <c:pt idx="1">
                  <c:v>59</c:v>
                </c:pt>
                <c:pt idx="2">
                  <c:v>9</c:v>
                </c:pt>
                <c:pt idx="3">
                  <c:v>64</c:v>
                </c:pt>
                <c:pt idx="4">
                  <c:v>17</c:v>
                </c:pt>
                <c:pt idx="5">
                  <c:v>72</c:v>
                </c:pt>
                <c:pt idx="6">
                  <c:v>65</c:v>
                </c:pt>
                <c:pt idx="7">
                  <c:v>90</c:v>
                </c:pt>
              </c:numCache>
            </c:numRef>
          </c:val>
          <c:extLst>
            <c:ext xmlns:c16="http://schemas.microsoft.com/office/drawing/2014/chart" uri="{C3380CC4-5D6E-409C-BE32-E72D297353CC}">
              <c16:uniqueId val="{00000000-046F-48A2-96F7-755D3145FFF7}"/>
            </c:ext>
          </c:extLst>
        </c:ser>
        <c:dLbls>
          <c:showLegendKey val="0"/>
          <c:showVal val="0"/>
          <c:showCatName val="0"/>
          <c:showSerName val="0"/>
          <c:showPercent val="0"/>
          <c:showBubbleSize val="0"/>
        </c:dLbls>
        <c:gapWidth val="150"/>
        <c:axId val="50070001"/>
        <c:axId val="50070002"/>
      </c:barChart>
      <c:catAx>
        <c:axId val="50070001"/>
        <c:scaling>
          <c:orientation val="minMax"/>
        </c:scaling>
        <c:delete val="0"/>
        <c:axPos val="l"/>
        <c:numFmt formatCode="General" sourceLinked="0"/>
        <c:majorTickMark val="out"/>
        <c:minorTickMark val="none"/>
        <c:tickLblPos val="nextTo"/>
        <c:crossAx val="50070002"/>
        <c:crosses val="autoZero"/>
        <c:auto val="1"/>
        <c:lblAlgn val="ctr"/>
        <c:lblOffset val="100"/>
        <c:noMultiLvlLbl val="0"/>
      </c:catAx>
      <c:valAx>
        <c:axId val="50070002"/>
        <c:scaling>
          <c:orientation val="minMax"/>
        </c:scaling>
        <c:delete val="0"/>
        <c:axPos val="b"/>
        <c:majorGridlines/>
        <c:title>
          <c:tx>
            <c:rich>
              <a:bodyPr/>
              <a:lstStyle/>
              <a:p>
                <a:pPr>
                  <a:defRPr/>
                </a:pPr>
                <a:r>
                  <a:rPr lang="en-US"/>
                  <a:t>Studies</a:t>
                </a:r>
              </a:p>
            </c:rich>
          </c:tx>
          <c:overlay val="0"/>
        </c:title>
        <c:numFmt formatCode="0" sourceLinked="1"/>
        <c:majorTickMark val="out"/>
        <c:minorTickMark val="none"/>
        <c:tickLblPos val="nextTo"/>
        <c:crossAx val="50070001"/>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End-to-end coverage</a:t>
            </a:r>
          </a:p>
        </c:rich>
      </c:tx>
      <c:overlay val="0"/>
    </c:title>
    <c:autoTitleDeleted val="0"/>
    <c:plotArea>
      <c:layout/>
      <c:barChart>
        <c:barDir val="col"/>
        <c:grouping val="clustered"/>
        <c:varyColors val="0"/>
        <c:ser>
          <c:idx val="0"/>
          <c:order val="0"/>
          <c:tx>
            <c:strRef>
              <c:f>RQ4_Framework!$B$12</c:f>
              <c:strCache>
                <c:ptCount val="1"/>
                <c:pt idx="0">
                  <c:v>Count</c:v>
                </c:pt>
              </c:strCache>
            </c:strRef>
          </c:tx>
          <c:invertIfNegative val="0"/>
          <c:cat>
            <c:strRef>
              <c:f>RQ4_Framework!$A$13:$A$15</c:f>
              <c:strCache>
                <c:ptCount val="3"/>
                <c:pt idx="0">
                  <c:v>Full loop</c:v>
                </c:pt>
                <c:pt idx="1">
                  <c:v>Partial</c:v>
                </c:pt>
                <c:pt idx="2">
                  <c:v>Blank/Uncoded</c:v>
                </c:pt>
              </c:strCache>
            </c:strRef>
          </c:cat>
          <c:val>
            <c:numRef>
              <c:f>RQ4_Framework!$B$13:$B$15</c:f>
              <c:numCache>
                <c:formatCode>0</c:formatCode>
                <c:ptCount val="3"/>
                <c:pt idx="0">
                  <c:v>2</c:v>
                </c:pt>
                <c:pt idx="1">
                  <c:v>102</c:v>
                </c:pt>
                <c:pt idx="2">
                  <c:v>6</c:v>
                </c:pt>
              </c:numCache>
            </c:numRef>
          </c:val>
          <c:extLst>
            <c:ext xmlns:c16="http://schemas.microsoft.com/office/drawing/2014/chart" uri="{C3380CC4-5D6E-409C-BE32-E72D297353CC}">
              <c16:uniqueId val="{00000000-2E23-4D67-93C0-F7A674B2B0F3}"/>
            </c:ext>
          </c:extLst>
        </c:ser>
        <c:dLbls>
          <c:showLegendKey val="0"/>
          <c:showVal val="0"/>
          <c:showCatName val="0"/>
          <c:showSerName val="0"/>
          <c:showPercent val="0"/>
          <c:showBubbleSize val="0"/>
        </c:dLbls>
        <c:gapWidth val="150"/>
        <c:axId val="50080001"/>
        <c:axId val="50080002"/>
      </c:barChart>
      <c:catAx>
        <c:axId val="50080001"/>
        <c:scaling>
          <c:orientation val="minMax"/>
        </c:scaling>
        <c:delete val="0"/>
        <c:axPos val="b"/>
        <c:numFmt formatCode="General" sourceLinked="0"/>
        <c:majorTickMark val="out"/>
        <c:minorTickMark val="none"/>
        <c:tickLblPos val="nextTo"/>
        <c:crossAx val="50080002"/>
        <c:crosses val="autoZero"/>
        <c:auto val="1"/>
        <c:lblAlgn val="ctr"/>
        <c:lblOffset val="100"/>
        <c:noMultiLvlLbl val="0"/>
      </c:catAx>
      <c:valAx>
        <c:axId val="50080002"/>
        <c:scaling>
          <c:orientation val="minMax"/>
        </c:scaling>
        <c:delete val="0"/>
        <c:axPos val="l"/>
        <c:majorGridlines/>
        <c:title>
          <c:tx>
            <c:rich>
              <a:bodyPr/>
              <a:lstStyle/>
              <a:p>
                <a:pPr>
                  <a:defRPr/>
                </a:pPr>
                <a:r>
                  <a:rPr lang="en-US"/>
                  <a:t>Studies</a:t>
                </a:r>
              </a:p>
            </c:rich>
          </c:tx>
          <c:overlay val="0"/>
        </c:title>
        <c:numFmt formatCode="0" sourceLinked="1"/>
        <c:majorTickMark val="out"/>
        <c:minorTickMark val="none"/>
        <c:tickLblPos val="nextTo"/>
        <c:crossAx val="5008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923925</xdr:colOff>
      <xdr:row>24</xdr:row>
      <xdr:rowOff>114300</xdr:rowOff>
    </xdr:from>
    <xdr:to>
      <xdr:col>9</xdr:col>
      <xdr:colOff>295275</xdr:colOff>
      <xdr:row>43</xdr:row>
      <xdr:rowOff>114300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21</xdr:row>
      <xdr:rowOff>0</xdr:rowOff>
    </xdr:from>
    <xdr:to>
      <xdr:col>17</xdr:col>
      <xdr:colOff>1200150</xdr:colOff>
      <xdr:row>40</xdr:row>
      <xdr:rowOff>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942975</xdr:colOff>
      <xdr:row>4</xdr:row>
      <xdr:rowOff>104775</xdr:rowOff>
    </xdr:from>
    <xdr:to>
      <xdr:col>15</xdr:col>
      <xdr:colOff>609600</xdr:colOff>
      <xdr:row>21</xdr:row>
      <xdr:rowOff>133350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1143000</xdr:colOff>
      <xdr:row>23</xdr:row>
      <xdr:rowOff>85725</xdr:rowOff>
    </xdr:from>
    <xdr:to>
      <xdr:col>14</xdr:col>
      <xdr:colOff>514350</xdr:colOff>
      <xdr:row>44</xdr:row>
      <xdr:rowOff>85725</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1047750</xdr:colOff>
      <xdr:row>11</xdr:row>
      <xdr:rowOff>47625</xdr:rowOff>
    </xdr:from>
    <xdr:to>
      <xdr:col>14</xdr:col>
      <xdr:colOff>419100</xdr:colOff>
      <xdr:row>32</xdr:row>
      <xdr:rowOff>47625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33</xdr:row>
      <xdr:rowOff>0</xdr:rowOff>
    </xdr:from>
    <xdr:to>
      <xdr:col>13</xdr:col>
      <xdr:colOff>1000125</xdr:colOff>
      <xdr:row>54</xdr:row>
      <xdr:rowOff>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11</xdr:row>
      <xdr:rowOff>0</xdr:rowOff>
    </xdr:from>
    <xdr:to>
      <xdr:col>12</xdr:col>
      <xdr:colOff>1000125</xdr:colOff>
      <xdr:row>33</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19</xdr:row>
      <xdr:rowOff>0</xdr:rowOff>
    </xdr:from>
    <xdr:to>
      <xdr:col>11</xdr:col>
      <xdr:colOff>914400</xdr:colOff>
      <xdr:row>37</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showGridLines="0" workbookViewId="0"/>
  </sheetViews>
  <sheetFormatPr defaultRowHeight="15" x14ac:dyDescent="0.25"/>
  <cols>
    <col min="1" max="1" width="18.7109375" customWidth="1"/>
    <col min="2" max="2" width="110.7109375"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ht="30" x14ac:dyDescent="0.25">
      <c r="A5" s="1" t="s">
        <v>8</v>
      </c>
      <c r="B5" s="2" t="s">
        <v>9</v>
      </c>
    </row>
    <row r="6" spans="1:2" x14ac:dyDescent="0.25">
      <c r="A6" s="1" t="s">
        <v>10</v>
      </c>
      <c r="B6"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11"/>
  <sheetViews>
    <sheetView showGridLines="0" workbookViewId="0">
      <pane ySplit="1" topLeftCell="A3" activePane="bottomLeft" state="frozen"/>
      <selection pane="bottomLeft"/>
    </sheetView>
  </sheetViews>
  <sheetFormatPr defaultRowHeight="15" x14ac:dyDescent="0.25"/>
  <cols>
    <col min="1" max="3" width="12.7109375" customWidth="1"/>
    <col min="4" max="6" width="13.7109375" customWidth="1"/>
    <col min="7" max="7" width="21.7109375" customWidth="1"/>
    <col min="8" max="8" width="23.7109375" customWidth="1"/>
    <col min="9" max="9" width="28.7109375" customWidth="1"/>
    <col min="10" max="10" width="20.7109375" customWidth="1"/>
    <col min="11" max="11" width="18.7109375" customWidth="1"/>
    <col min="12" max="12" width="19.7109375" customWidth="1"/>
    <col min="13" max="13" width="28.7109375" customWidth="1"/>
    <col min="14" max="14" width="15.7109375" customWidth="1"/>
    <col min="15" max="17" width="12.7109375" customWidth="1"/>
    <col min="18" max="22" width="30.7109375" customWidth="1"/>
    <col min="23" max="23" width="26.7109375" customWidth="1"/>
    <col min="24" max="27" width="30.7109375" customWidth="1"/>
    <col min="28" max="28" width="12.7109375" customWidth="1"/>
    <col min="29" max="29" width="26.7109375" customWidth="1"/>
    <col min="30" max="30" width="13.7109375" customWidth="1"/>
    <col min="31" max="31" width="12.7109375" customWidth="1"/>
    <col min="32" max="32" width="30.7109375" customWidth="1"/>
    <col min="33" max="33" width="19.7109375" customWidth="1"/>
    <col min="34" max="34" width="26.7109375" customWidth="1"/>
    <col min="35" max="35" width="13.7109375" customWidth="1"/>
    <col min="36" max="36" width="22.7109375" customWidth="1"/>
    <col min="37" max="37" width="20.7109375" customWidth="1"/>
    <col min="38" max="39" width="21.7109375" customWidth="1"/>
    <col min="40" max="40" width="18.7109375" customWidth="1"/>
    <col min="41" max="41" width="26.7109375" customWidth="1"/>
    <col min="42" max="42" width="21.7109375" customWidth="1"/>
    <col min="43" max="43" width="23.7109375" customWidth="1"/>
    <col min="44" max="44" width="14.7109375" customWidth="1"/>
    <col min="45" max="46" width="20.7109375" customWidth="1"/>
    <col min="47" max="47" width="12.7109375" customWidth="1"/>
    <col min="48" max="48" width="26.7109375" customWidth="1"/>
    <col min="49" max="49" width="28.7109375" customWidth="1"/>
    <col min="50" max="50" width="18.7109375" customWidth="1"/>
    <col min="51" max="52" width="26.7109375" customWidth="1"/>
    <col min="53" max="53" width="13.7109375" customWidth="1"/>
    <col min="54" max="54" width="30.7109375" customWidth="1"/>
    <col min="55" max="55" width="14.7109375" customWidth="1"/>
    <col min="56" max="56" width="22.7109375" customWidth="1"/>
    <col min="57" max="57" width="24.7109375" customWidth="1"/>
    <col min="58" max="58" width="12.7109375" customWidth="1"/>
    <col min="59" max="59" width="13.7109375" customWidth="1"/>
    <col min="60" max="60" width="17.7109375" customWidth="1"/>
    <col min="61" max="61" width="20.7109375" customWidth="1"/>
    <col min="62" max="62" width="19.7109375" customWidth="1"/>
    <col min="63" max="63" width="20.7109375" customWidth="1"/>
    <col min="64" max="64" width="28.7109375" customWidth="1"/>
    <col min="65" max="65" width="12.7109375" customWidth="1"/>
  </cols>
  <sheetData>
    <row r="1" spans="1:65" ht="45" x14ac:dyDescent="0.25">
      <c r="A1" s="3" t="s">
        <v>12</v>
      </c>
      <c r="B1" s="3" t="s">
        <v>13</v>
      </c>
      <c r="C1" s="3" t="s">
        <v>14</v>
      </c>
      <c r="D1" s="3" t="s">
        <v>15</v>
      </c>
      <c r="E1" s="3" t="s">
        <v>16</v>
      </c>
      <c r="F1" s="3" t="s">
        <v>17</v>
      </c>
      <c r="G1" s="3" t="s">
        <v>18</v>
      </c>
      <c r="H1" s="3" t="s">
        <v>19</v>
      </c>
      <c r="I1" s="3" t="s">
        <v>20</v>
      </c>
      <c r="J1" s="3" t="s">
        <v>21</v>
      </c>
      <c r="K1" s="3" t="s">
        <v>22</v>
      </c>
      <c r="L1" s="3" t="s">
        <v>23</v>
      </c>
      <c r="M1" s="3" t="s">
        <v>24</v>
      </c>
      <c r="N1" s="3" t="s">
        <v>25</v>
      </c>
      <c r="O1" s="3" t="s">
        <v>26</v>
      </c>
      <c r="P1" s="3" t="s">
        <v>27</v>
      </c>
      <c r="Q1" s="3" t="s">
        <v>28</v>
      </c>
      <c r="R1" s="3" t="s">
        <v>29</v>
      </c>
      <c r="S1" s="3" t="s">
        <v>30</v>
      </c>
      <c r="T1" s="3" t="s">
        <v>31</v>
      </c>
      <c r="U1" s="3" t="s">
        <v>32</v>
      </c>
      <c r="V1" s="3" t="s">
        <v>33</v>
      </c>
      <c r="W1" s="3" t="s">
        <v>34</v>
      </c>
      <c r="X1" s="3" t="s">
        <v>35</v>
      </c>
      <c r="Y1" s="3" t="s">
        <v>36</v>
      </c>
      <c r="Z1" s="3" t="s">
        <v>37</v>
      </c>
      <c r="AA1" s="3" t="s">
        <v>38</v>
      </c>
      <c r="AB1" s="3" t="s">
        <v>39</v>
      </c>
      <c r="AC1" s="3" t="s">
        <v>40</v>
      </c>
      <c r="AD1" s="3" t="s">
        <v>41</v>
      </c>
      <c r="AE1" s="3" t="s">
        <v>42</v>
      </c>
      <c r="AF1" s="3" t="s">
        <v>43</v>
      </c>
      <c r="AG1" s="3" t="s">
        <v>44</v>
      </c>
      <c r="AH1" s="3" t="s">
        <v>45</v>
      </c>
      <c r="AI1" s="3" t="s">
        <v>46</v>
      </c>
      <c r="AJ1" s="3" t="s">
        <v>47</v>
      </c>
      <c r="AK1" s="3" t="s">
        <v>48</v>
      </c>
      <c r="AL1" s="3" t="s">
        <v>49</v>
      </c>
      <c r="AM1" s="3" t="s">
        <v>50</v>
      </c>
      <c r="AN1" s="3" t="s">
        <v>51</v>
      </c>
      <c r="AO1" s="3" t="s">
        <v>52</v>
      </c>
      <c r="AP1" s="3" t="s">
        <v>53</v>
      </c>
      <c r="AQ1" s="3" t="s">
        <v>54</v>
      </c>
      <c r="AR1" s="3" t="s">
        <v>55</v>
      </c>
      <c r="AS1" s="3" t="s">
        <v>56</v>
      </c>
      <c r="AT1" s="3" t="s">
        <v>57</v>
      </c>
      <c r="AU1" s="3" t="s">
        <v>58</v>
      </c>
      <c r="AV1" s="3" t="s">
        <v>59</v>
      </c>
      <c r="AW1" s="3" t="s">
        <v>60</v>
      </c>
      <c r="AX1" s="3" t="s">
        <v>61</v>
      </c>
      <c r="AY1" s="3" t="s">
        <v>62</v>
      </c>
      <c r="AZ1" s="3" t="s">
        <v>63</v>
      </c>
      <c r="BA1" s="3" t="s">
        <v>64</v>
      </c>
      <c r="BB1" s="3" t="s">
        <v>65</v>
      </c>
      <c r="BC1" s="3" t="s">
        <v>66</v>
      </c>
      <c r="BD1" s="3" t="s">
        <v>67</v>
      </c>
      <c r="BE1" s="3" t="s">
        <v>68</v>
      </c>
      <c r="BF1" s="3" t="s">
        <v>69</v>
      </c>
      <c r="BG1" s="3" t="s">
        <v>70</v>
      </c>
      <c r="BH1" s="3" t="s">
        <v>71</v>
      </c>
      <c r="BI1" s="3" t="s">
        <v>72</v>
      </c>
      <c r="BJ1" s="3" t="s">
        <v>73</v>
      </c>
      <c r="BK1" s="3" t="s">
        <v>74</v>
      </c>
      <c r="BL1" s="3" t="s">
        <v>75</v>
      </c>
      <c r="BM1" s="3" t="s">
        <v>76</v>
      </c>
    </row>
    <row r="2" spans="1:65" ht="409.5" x14ac:dyDescent="0.25">
      <c r="A2" s="2" t="s">
        <v>77</v>
      </c>
      <c r="B2" s="2">
        <v>2008</v>
      </c>
      <c r="C2" s="2" t="s">
        <v>78</v>
      </c>
      <c r="D2" s="2" t="s">
        <v>79</v>
      </c>
      <c r="E2" s="2" t="s">
        <v>79</v>
      </c>
      <c r="F2" s="2" t="s">
        <v>79</v>
      </c>
      <c r="G2" s="2" t="s">
        <v>80</v>
      </c>
      <c r="H2" s="2" t="s">
        <v>79</v>
      </c>
      <c r="I2" s="2" t="s">
        <v>79</v>
      </c>
      <c r="J2" s="2" t="s">
        <v>80</v>
      </c>
      <c r="K2" s="2" t="s">
        <v>80</v>
      </c>
      <c r="L2" s="2" t="s">
        <v>79</v>
      </c>
      <c r="M2" s="2" t="s">
        <v>79</v>
      </c>
      <c r="N2" s="2" t="s">
        <v>81</v>
      </c>
      <c r="O2" s="2">
        <v>7</v>
      </c>
      <c r="P2" s="2" t="s">
        <v>82</v>
      </c>
      <c r="Q2" s="2" t="s">
        <v>83</v>
      </c>
      <c r="R2" s="2" t="s">
        <v>84</v>
      </c>
      <c r="S2" s="2" t="s">
        <v>84</v>
      </c>
      <c r="T2" s="2" t="s">
        <v>84</v>
      </c>
      <c r="U2" s="2" t="s">
        <v>84</v>
      </c>
      <c r="V2" s="2" t="s">
        <v>84</v>
      </c>
      <c r="W2" s="2" t="s">
        <v>85</v>
      </c>
      <c r="X2" s="2" t="s">
        <v>86</v>
      </c>
      <c r="Y2" s="2" t="s">
        <v>84</v>
      </c>
      <c r="Z2" s="2" t="s">
        <v>85</v>
      </c>
      <c r="AA2" s="2" t="s">
        <v>86</v>
      </c>
      <c r="AB2" s="2" t="s">
        <v>87</v>
      </c>
      <c r="AC2" s="2"/>
      <c r="AD2" s="2" t="s">
        <v>88</v>
      </c>
      <c r="AE2" s="2" t="s">
        <v>89</v>
      </c>
      <c r="AF2" s="2" t="s">
        <v>79</v>
      </c>
      <c r="AG2" s="2" t="s">
        <v>90</v>
      </c>
      <c r="AH2" s="2"/>
      <c r="AI2" s="2" t="s">
        <v>91</v>
      </c>
      <c r="AJ2" s="2"/>
      <c r="AK2" s="2"/>
      <c r="AL2" s="2"/>
      <c r="AM2" s="2" t="s">
        <v>92</v>
      </c>
      <c r="AN2" s="2" t="s">
        <v>93</v>
      </c>
      <c r="AO2" s="2" t="s">
        <v>94</v>
      </c>
      <c r="AP2" s="2" t="s">
        <v>95</v>
      </c>
      <c r="AQ2" s="2" t="s">
        <v>96</v>
      </c>
      <c r="AR2" s="2" t="s">
        <v>97</v>
      </c>
      <c r="AS2" s="2"/>
      <c r="AT2" s="2"/>
      <c r="AU2" s="2"/>
      <c r="AV2" s="2" t="s">
        <v>98</v>
      </c>
      <c r="AW2" s="2"/>
      <c r="AX2" s="2"/>
      <c r="AY2" s="2"/>
      <c r="AZ2" s="2"/>
      <c r="BA2" s="2" t="s">
        <v>99</v>
      </c>
      <c r="BB2" s="2" t="s">
        <v>100</v>
      </c>
      <c r="BC2" s="2" t="s">
        <v>101</v>
      </c>
      <c r="BD2" s="2" t="s">
        <v>102</v>
      </c>
      <c r="BE2" s="2"/>
      <c r="BF2" s="2" t="s">
        <v>103</v>
      </c>
      <c r="BG2" s="2" t="s">
        <v>104</v>
      </c>
      <c r="BH2" s="2" t="s">
        <v>105</v>
      </c>
      <c r="BI2" s="2" t="s">
        <v>106</v>
      </c>
      <c r="BJ2" s="2" t="s">
        <v>107</v>
      </c>
      <c r="BK2" s="2" t="s">
        <v>108</v>
      </c>
      <c r="BL2" s="2" t="s">
        <v>79</v>
      </c>
      <c r="BM2" s="2" t="s">
        <v>109</v>
      </c>
    </row>
    <row r="3" spans="1:65" ht="409.5" x14ac:dyDescent="0.25">
      <c r="A3" s="2" t="s">
        <v>110</v>
      </c>
      <c r="B3" s="2">
        <v>2008</v>
      </c>
      <c r="C3" s="2" t="s">
        <v>111</v>
      </c>
      <c r="D3" s="2" t="s">
        <v>79</v>
      </c>
      <c r="E3" s="2" t="s">
        <v>79</v>
      </c>
      <c r="F3" s="2" t="s">
        <v>79</v>
      </c>
      <c r="G3" s="2" t="s">
        <v>80</v>
      </c>
      <c r="H3" s="2" t="s">
        <v>79</v>
      </c>
      <c r="I3" s="2" t="s">
        <v>79</v>
      </c>
      <c r="J3" s="2" t="s">
        <v>80</v>
      </c>
      <c r="K3" s="2" t="s">
        <v>80</v>
      </c>
      <c r="L3" s="2" t="s">
        <v>106</v>
      </c>
      <c r="M3" s="2" t="s">
        <v>80</v>
      </c>
      <c r="N3" s="2" t="s">
        <v>112</v>
      </c>
      <c r="O3" s="2">
        <v>7.5</v>
      </c>
      <c r="P3" s="2" t="s">
        <v>82</v>
      </c>
      <c r="Q3" s="2" t="s">
        <v>113</v>
      </c>
      <c r="R3" s="2" t="s">
        <v>84</v>
      </c>
      <c r="S3" s="2" t="s">
        <v>85</v>
      </c>
      <c r="T3" s="2" t="s">
        <v>84</v>
      </c>
      <c r="U3" s="2" t="s">
        <v>84</v>
      </c>
      <c r="V3" s="2" t="s">
        <v>84</v>
      </c>
      <c r="W3" s="2" t="s">
        <v>84</v>
      </c>
      <c r="X3" s="2" t="s">
        <v>84</v>
      </c>
      <c r="Y3" s="2" t="s">
        <v>84</v>
      </c>
      <c r="Z3" s="2" t="s">
        <v>86</v>
      </c>
      <c r="AA3" s="2" t="s">
        <v>86</v>
      </c>
      <c r="AB3" s="2" t="s">
        <v>114</v>
      </c>
      <c r="AC3" s="2"/>
      <c r="AD3" s="2" t="s">
        <v>115</v>
      </c>
      <c r="AE3" s="2" t="s">
        <v>89</v>
      </c>
      <c r="AF3" s="2" t="s">
        <v>106</v>
      </c>
      <c r="AG3" s="2" t="s">
        <v>116</v>
      </c>
      <c r="AH3" s="2"/>
      <c r="AI3" s="2" t="s">
        <v>117</v>
      </c>
      <c r="AJ3" s="2"/>
      <c r="AK3" s="2"/>
      <c r="AL3" s="2"/>
      <c r="AM3" s="2" t="s">
        <v>92</v>
      </c>
      <c r="AN3" s="2" t="s">
        <v>118</v>
      </c>
      <c r="AO3" s="2" t="s">
        <v>119</v>
      </c>
      <c r="AP3" s="2" t="s">
        <v>95</v>
      </c>
      <c r="AQ3" s="2" t="s">
        <v>120</v>
      </c>
      <c r="AR3" s="2" t="s">
        <v>121</v>
      </c>
      <c r="AS3" s="2"/>
      <c r="AT3" s="2"/>
      <c r="AU3" s="2"/>
      <c r="AV3" s="2" t="s">
        <v>122</v>
      </c>
      <c r="AW3" s="2"/>
      <c r="AX3" s="2"/>
      <c r="AY3" s="2"/>
      <c r="AZ3" s="2"/>
      <c r="BA3" s="2" t="s">
        <v>123</v>
      </c>
      <c r="BB3" s="2" t="s">
        <v>100</v>
      </c>
      <c r="BC3" s="2" t="s">
        <v>124</v>
      </c>
      <c r="BD3" s="2" t="s">
        <v>102</v>
      </c>
      <c r="BE3" s="2"/>
      <c r="BF3" s="2" t="s">
        <v>125</v>
      </c>
      <c r="BG3" s="2" t="s">
        <v>104</v>
      </c>
      <c r="BH3" s="2" t="s">
        <v>126</v>
      </c>
      <c r="BI3" s="2" t="s">
        <v>79</v>
      </c>
      <c r="BJ3" s="2" t="s">
        <v>107</v>
      </c>
      <c r="BK3" s="2" t="s">
        <v>127</v>
      </c>
      <c r="BL3" s="2" t="s">
        <v>79</v>
      </c>
      <c r="BM3" s="2" t="s">
        <v>109</v>
      </c>
    </row>
    <row r="4" spans="1:65" ht="409.5" x14ac:dyDescent="0.25">
      <c r="A4" s="2" t="s">
        <v>128</v>
      </c>
      <c r="B4" s="2">
        <v>2008</v>
      </c>
      <c r="C4" s="2" t="s">
        <v>111</v>
      </c>
      <c r="D4" s="2" t="s">
        <v>79</v>
      </c>
      <c r="E4" s="2" t="s">
        <v>79</v>
      </c>
      <c r="F4" s="2" t="s">
        <v>79</v>
      </c>
      <c r="G4" s="2" t="s">
        <v>80</v>
      </c>
      <c r="H4" s="2" t="s">
        <v>79</v>
      </c>
      <c r="I4" s="2" t="s">
        <v>79</v>
      </c>
      <c r="J4" s="2" t="s">
        <v>80</v>
      </c>
      <c r="K4" s="2" t="s">
        <v>80</v>
      </c>
      <c r="L4" s="2" t="s">
        <v>106</v>
      </c>
      <c r="M4" s="2" t="s">
        <v>80</v>
      </c>
      <c r="N4" s="2" t="s">
        <v>112</v>
      </c>
      <c r="O4" s="2">
        <v>7.5</v>
      </c>
      <c r="P4" s="2" t="s">
        <v>82</v>
      </c>
      <c r="Q4" s="2" t="s">
        <v>129</v>
      </c>
      <c r="R4" s="2" t="s">
        <v>84</v>
      </c>
      <c r="S4" s="2" t="s">
        <v>85</v>
      </c>
      <c r="T4" s="2" t="s">
        <v>84</v>
      </c>
      <c r="U4" s="2" t="s">
        <v>84</v>
      </c>
      <c r="V4" s="2" t="s">
        <v>84</v>
      </c>
      <c r="W4" s="2" t="s">
        <v>84</v>
      </c>
      <c r="X4" s="2" t="s">
        <v>84</v>
      </c>
      <c r="Y4" s="2" t="s">
        <v>84</v>
      </c>
      <c r="Z4" s="2" t="s">
        <v>86</v>
      </c>
      <c r="AA4" s="2" t="s">
        <v>86</v>
      </c>
      <c r="AB4" s="2" t="s">
        <v>130</v>
      </c>
      <c r="AC4" s="2"/>
      <c r="AD4" s="2" t="s">
        <v>115</v>
      </c>
      <c r="AE4" s="2" t="s">
        <v>89</v>
      </c>
      <c r="AF4" s="2" t="s">
        <v>106</v>
      </c>
      <c r="AG4" s="2" t="s">
        <v>116</v>
      </c>
      <c r="AH4" s="2"/>
      <c r="AI4" s="2" t="s">
        <v>117</v>
      </c>
      <c r="AJ4" s="2"/>
      <c r="AK4" s="2"/>
      <c r="AL4" s="2"/>
      <c r="AM4" s="2" t="s">
        <v>92</v>
      </c>
      <c r="AN4" s="2" t="s">
        <v>118</v>
      </c>
      <c r="AO4" s="2" t="s">
        <v>119</v>
      </c>
      <c r="AP4" s="2" t="s">
        <v>95</v>
      </c>
      <c r="AQ4" s="2" t="s">
        <v>131</v>
      </c>
      <c r="AR4" s="2" t="s">
        <v>132</v>
      </c>
      <c r="AS4" s="2"/>
      <c r="AT4" s="2"/>
      <c r="AU4" s="2" t="s">
        <v>133</v>
      </c>
      <c r="AV4" s="2" t="s">
        <v>134</v>
      </c>
      <c r="AW4" s="2"/>
      <c r="AX4" s="2"/>
      <c r="AY4" s="2"/>
      <c r="AZ4" s="2"/>
      <c r="BA4" s="2" t="s">
        <v>135</v>
      </c>
      <c r="BB4" s="2" t="s">
        <v>100</v>
      </c>
      <c r="BC4" s="2" t="s">
        <v>136</v>
      </c>
      <c r="BD4" s="2" t="s">
        <v>102</v>
      </c>
      <c r="BE4" s="2"/>
      <c r="BF4" s="2" t="s">
        <v>137</v>
      </c>
      <c r="BG4" s="2" t="s">
        <v>104</v>
      </c>
      <c r="BH4" s="2" t="s">
        <v>138</v>
      </c>
      <c r="BI4" s="2" t="s">
        <v>79</v>
      </c>
      <c r="BJ4" s="2" t="s">
        <v>107</v>
      </c>
      <c r="BK4" s="2" t="s">
        <v>127</v>
      </c>
      <c r="BL4" s="2" t="s">
        <v>79</v>
      </c>
      <c r="BM4" s="2" t="s">
        <v>109</v>
      </c>
    </row>
    <row r="5" spans="1:65" ht="409.5" x14ac:dyDescent="0.25">
      <c r="A5" s="2" t="s">
        <v>139</v>
      </c>
      <c r="B5" s="2">
        <v>2012</v>
      </c>
      <c r="C5" s="2" t="s">
        <v>111</v>
      </c>
      <c r="D5" s="2" t="s">
        <v>79</v>
      </c>
      <c r="E5" s="2" t="s">
        <v>79</v>
      </c>
      <c r="F5" s="2" t="s">
        <v>79</v>
      </c>
      <c r="G5" s="2" t="s">
        <v>80</v>
      </c>
      <c r="H5" s="2" t="s">
        <v>79</v>
      </c>
      <c r="I5" s="2" t="s">
        <v>79</v>
      </c>
      <c r="J5" s="2" t="s">
        <v>80</v>
      </c>
      <c r="K5" s="2" t="s">
        <v>80</v>
      </c>
      <c r="L5" s="2" t="s">
        <v>106</v>
      </c>
      <c r="M5" s="2" t="s">
        <v>92</v>
      </c>
      <c r="N5" s="2" t="s">
        <v>112</v>
      </c>
      <c r="O5" s="2">
        <v>9</v>
      </c>
      <c r="P5" s="2" t="s">
        <v>82</v>
      </c>
      <c r="Q5" s="2" t="s">
        <v>140</v>
      </c>
      <c r="R5" s="2" t="s">
        <v>84</v>
      </c>
      <c r="S5" s="2" t="s">
        <v>84</v>
      </c>
      <c r="T5" s="2" t="s">
        <v>84</v>
      </c>
      <c r="U5" s="2" t="s">
        <v>84</v>
      </c>
      <c r="V5" s="2" t="s">
        <v>84</v>
      </c>
      <c r="W5" s="2" t="s">
        <v>84</v>
      </c>
      <c r="X5" s="2" t="s">
        <v>84</v>
      </c>
      <c r="Y5" s="2" t="s">
        <v>85</v>
      </c>
      <c r="Z5" s="2" t="s">
        <v>85</v>
      </c>
      <c r="AA5" s="2" t="s">
        <v>84</v>
      </c>
      <c r="AB5" s="2" t="s">
        <v>141</v>
      </c>
      <c r="AC5" s="2"/>
      <c r="AD5" s="2" t="s">
        <v>142</v>
      </c>
      <c r="AE5" s="2" t="s">
        <v>143</v>
      </c>
      <c r="AF5" s="2" t="s">
        <v>79</v>
      </c>
      <c r="AG5" s="2" t="s">
        <v>90</v>
      </c>
      <c r="AH5" s="2"/>
      <c r="AI5" s="2" t="s">
        <v>144</v>
      </c>
      <c r="AJ5" s="2"/>
      <c r="AK5" s="2"/>
      <c r="AL5" s="2"/>
      <c r="AM5" s="2" t="s">
        <v>92</v>
      </c>
      <c r="AN5" s="2" t="s">
        <v>145</v>
      </c>
      <c r="AO5" s="2" t="s">
        <v>146</v>
      </c>
      <c r="AP5" s="2" t="s">
        <v>95</v>
      </c>
      <c r="AQ5" s="2" t="s">
        <v>147</v>
      </c>
      <c r="AR5" s="2" t="s">
        <v>148</v>
      </c>
      <c r="AS5" s="2"/>
      <c r="AT5" s="2"/>
      <c r="AU5" s="2"/>
      <c r="AV5" s="2" t="s">
        <v>149</v>
      </c>
      <c r="AW5" s="2"/>
      <c r="AX5" s="2"/>
      <c r="AY5" s="2"/>
      <c r="AZ5" s="2"/>
      <c r="BA5" s="2" t="s">
        <v>150</v>
      </c>
      <c r="BB5" s="2" t="s">
        <v>100</v>
      </c>
      <c r="BC5" s="2" t="s">
        <v>151</v>
      </c>
      <c r="BD5" s="2" t="s">
        <v>102</v>
      </c>
      <c r="BE5" s="2"/>
      <c r="BF5" s="2" t="s">
        <v>152</v>
      </c>
      <c r="BG5" s="2" t="s">
        <v>153</v>
      </c>
      <c r="BH5" s="2" t="s">
        <v>154</v>
      </c>
      <c r="BI5" s="2" t="s">
        <v>79</v>
      </c>
      <c r="BJ5" s="2" t="s">
        <v>155</v>
      </c>
      <c r="BK5" s="2"/>
      <c r="BL5" s="2" t="s">
        <v>80</v>
      </c>
      <c r="BM5" s="2" t="s">
        <v>109</v>
      </c>
    </row>
    <row r="6" spans="1:65" ht="409.5" x14ac:dyDescent="0.25">
      <c r="A6" s="2" t="s">
        <v>156</v>
      </c>
      <c r="B6" s="2">
        <v>2012</v>
      </c>
      <c r="C6" s="2" t="s">
        <v>111</v>
      </c>
      <c r="D6" s="2" t="s">
        <v>79</v>
      </c>
      <c r="E6" s="2" t="s">
        <v>79</v>
      </c>
      <c r="F6" s="2" t="s">
        <v>79</v>
      </c>
      <c r="G6" s="2" t="s">
        <v>80</v>
      </c>
      <c r="H6" s="2" t="s">
        <v>79</v>
      </c>
      <c r="I6" s="2" t="s">
        <v>79</v>
      </c>
      <c r="J6" s="2" t="s">
        <v>80</v>
      </c>
      <c r="K6" s="2" t="s">
        <v>80</v>
      </c>
      <c r="L6" s="2" t="s">
        <v>80</v>
      </c>
      <c r="M6" s="2" t="s">
        <v>92</v>
      </c>
      <c r="N6" s="2" t="s">
        <v>112</v>
      </c>
      <c r="O6" s="2">
        <v>9.5</v>
      </c>
      <c r="P6" s="2" t="s">
        <v>82</v>
      </c>
      <c r="Q6" s="2" t="s">
        <v>157</v>
      </c>
      <c r="R6" s="2" t="s">
        <v>84</v>
      </c>
      <c r="S6" s="2" t="s">
        <v>84</v>
      </c>
      <c r="T6" s="2" t="s">
        <v>84</v>
      </c>
      <c r="U6" s="2" t="s">
        <v>84</v>
      </c>
      <c r="V6" s="2" t="s">
        <v>84</v>
      </c>
      <c r="W6" s="2" t="s">
        <v>84</v>
      </c>
      <c r="X6" s="2" t="s">
        <v>84</v>
      </c>
      <c r="Y6" s="2" t="s">
        <v>84</v>
      </c>
      <c r="Z6" s="2" t="s">
        <v>85</v>
      </c>
      <c r="AA6" s="2" t="s">
        <v>84</v>
      </c>
      <c r="AB6" s="2" t="s">
        <v>158</v>
      </c>
      <c r="AC6" s="2" t="s">
        <v>79</v>
      </c>
      <c r="AD6" s="2" t="s">
        <v>159</v>
      </c>
      <c r="AE6" s="2" t="s">
        <v>89</v>
      </c>
      <c r="AF6" s="2" t="s">
        <v>106</v>
      </c>
      <c r="AG6" s="2" t="s">
        <v>116</v>
      </c>
      <c r="AH6" s="2" t="s">
        <v>92</v>
      </c>
      <c r="AI6" s="2" t="s">
        <v>160</v>
      </c>
      <c r="AJ6" s="2"/>
      <c r="AK6" s="2"/>
      <c r="AL6" s="2"/>
      <c r="AM6" s="2" t="s">
        <v>92</v>
      </c>
      <c r="AN6" s="2" t="s">
        <v>161</v>
      </c>
      <c r="AO6" s="2" t="s">
        <v>162</v>
      </c>
      <c r="AP6" s="2" t="s">
        <v>95</v>
      </c>
      <c r="AQ6" s="2" t="s">
        <v>163</v>
      </c>
      <c r="AR6" s="2" t="s">
        <v>164</v>
      </c>
      <c r="AS6" s="2"/>
      <c r="AT6" s="2"/>
      <c r="AU6" s="2"/>
      <c r="AV6" s="2" t="s">
        <v>165</v>
      </c>
      <c r="AW6" s="2" t="s">
        <v>80</v>
      </c>
      <c r="AX6" s="2"/>
      <c r="AY6" s="2" t="s">
        <v>80</v>
      </c>
      <c r="AZ6" s="2" t="s">
        <v>92</v>
      </c>
      <c r="BA6" s="2" t="s">
        <v>166</v>
      </c>
      <c r="BB6" s="2" t="s">
        <v>100</v>
      </c>
      <c r="BC6" s="2" t="s">
        <v>167</v>
      </c>
      <c r="BD6" s="2" t="s">
        <v>102</v>
      </c>
      <c r="BE6" s="2" t="s">
        <v>168</v>
      </c>
      <c r="BF6" s="2" t="s">
        <v>169</v>
      </c>
      <c r="BG6" s="2" t="s">
        <v>153</v>
      </c>
      <c r="BH6" s="2" t="s">
        <v>170</v>
      </c>
      <c r="BI6" s="2" t="s">
        <v>79</v>
      </c>
      <c r="BJ6" s="2" t="s">
        <v>107</v>
      </c>
      <c r="BK6" s="2" t="s">
        <v>171</v>
      </c>
      <c r="BL6" s="2" t="s">
        <v>79</v>
      </c>
      <c r="BM6" s="2" t="s">
        <v>172</v>
      </c>
    </row>
    <row r="7" spans="1:65" ht="409.5" x14ac:dyDescent="0.25">
      <c r="A7" s="2" t="s">
        <v>173</v>
      </c>
      <c r="B7" s="2">
        <v>2012</v>
      </c>
      <c r="C7" s="2" t="s">
        <v>111</v>
      </c>
      <c r="D7" s="2" t="s">
        <v>79</v>
      </c>
      <c r="E7" s="2" t="s">
        <v>79</v>
      </c>
      <c r="F7" s="2" t="s">
        <v>79</v>
      </c>
      <c r="G7" s="2" t="s">
        <v>80</v>
      </c>
      <c r="H7" s="2" t="s">
        <v>79</v>
      </c>
      <c r="I7" s="2" t="s">
        <v>79</v>
      </c>
      <c r="J7" s="2" t="s">
        <v>80</v>
      </c>
      <c r="K7" s="2" t="s">
        <v>80</v>
      </c>
      <c r="L7" s="2" t="s">
        <v>92</v>
      </c>
      <c r="M7" s="2" t="s">
        <v>80</v>
      </c>
      <c r="N7" s="2" t="s">
        <v>112</v>
      </c>
      <c r="O7" s="2">
        <v>9.5</v>
      </c>
      <c r="P7" s="2" t="s">
        <v>82</v>
      </c>
      <c r="Q7" s="2" t="s">
        <v>174</v>
      </c>
      <c r="R7" s="2" t="s">
        <v>84</v>
      </c>
      <c r="S7" s="2" t="s">
        <v>84</v>
      </c>
      <c r="T7" s="2" t="s">
        <v>84</v>
      </c>
      <c r="U7" s="2" t="s">
        <v>84</v>
      </c>
      <c r="V7" s="2" t="s">
        <v>84</v>
      </c>
      <c r="W7" s="2" t="s">
        <v>84</v>
      </c>
      <c r="X7" s="2" t="s">
        <v>84</v>
      </c>
      <c r="Y7" s="2" t="s">
        <v>84</v>
      </c>
      <c r="Z7" s="2" t="s">
        <v>85</v>
      </c>
      <c r="AA7" s="2" t="s">
        <v>84</v>
      </c>
      <c r="AB7" s="2" t="s">
        <v>175</v>
      </c>
      <c r="AC7" s="2" t="s">
        <v>79</v>
      </c>
      <c r="AD7" s="2" t="s">
        <v>176</v>
      </c>
      <c r="AE7" s="2" t="s">
        <v>89</v>
      </c>
      <c r="AF7" s="2" t="s">
        <v>106</v>
      </c>
      <c r="AG7" s="2" t="s">
        <v>116</v>
      </c>
      <c r="AH7" s="2" t="s">
        <v>92</v>
      </c>
      <c r="AI7" s="2" t="s">
        <v>177</v>
      </c>
      <c r="AJ7" s="2"/>
      <c r="AK7" s="2"/>
      <c r="AL7" s="2"/>
      <c r="AM7" s="2" t="s">
        <v>92</v>
      </c>
      <c r="AN7" s="2" t="s">
        <v>178</v>
      </c>
      <c r="AO7" s="2" t="s">
        <v>179</v>
      </c>
      <c r="AP7" s="2" t="s">
        <v>95</v>
      </c>
      <c r="AQ7" s="2" t="s">
        <v>180</v>
      </c>
      <c r="AR7" s="2" t="s">
        <v>181</v>
      </c>
      <c r="AS7" s="2"/>
      <c r="AT7" s="2"/>
      <c r="AU7" s="2"/>
      <c r="AV7" s="2" t="s">
        <v>182</v>
      </c>
      <c r="AW7" s="2" t="s">
        <v>80</v>
      </c>
      <c r="AX7" s="2"/>
      <c r="AY7" s="2" t="s">
        <v>80</v>
      </c>
      <c r="AZ7" s="2" t="s">
        <v>92</v>
      </c>
      <c r="BA7" s="2" t="s">
        <v>183</v>
      </c>
      <c r="BB7" s="2" t="s">
        <v>100</v>
      </c>
      <c r="BC7" s="2" t="s">
        <v>184</v>
      </c>
      <c r="BD7" s="2" t="s">
        <v>102</v>
      </c>
      <c r="BE7" s="2" t="s">
        <v>168</v>
      </c>
      <c r="BF7" s="2" t="s">
        <v>185</v>
      </c>
      <c r="BG7" s="2" t="s">
        <v>153</v>
      </c>
      <c r="BH7" s="2" t="s">
        <v>186</v>
      </c>
      <c r="BI7" s="2" t="s">
        <v>79</v>
      </c>
      <c r="BJ7" s="2" t="s">
        <v>107</v>
      </c>
      <c r="BK7" s="2" t="s">
        <v>187</v>
      </c>
      <c r="BL7" s="2" t="s">
        <v>79</v>
      </c>
      <c r="BM7" s="2" t="s">
        <v>109</v>
      </c>
    </row>
    <row r="8" spans="1:65" ht="409.5" x14ac:dyDescent="0.25">
      <c r="A8" s="2" t="s">
        <v>188</v>
      </c>
      <c r="B8" s="2">
        <v>2013</v>
      </c>
      <c r="C8" s="2" t="s">
        <v>189</v>
      </c>
      <c r="D8" s="2" t="s">
        <v>79</v>
      </c>
      <c r="E8" s="2" t="s">
        <v>79</v>
      </c>
      <c r="F8" s="2" t="s">
        <v>79</v>
      </c>
      <c r="G8" s="2" t="s">
        <v>80</v>
      </c>
      <c r="H8" s="2" t="s">
        <v>79</v>
      </c>
      <c r="I8" s="2" t="s">
        <v>79</v>
      </c>
      <c r="J8" s="2" t="s">
        <v>80</v>
      </c>
      <c r="K8" s="2" t="s">
        <v>80</v>
      </c>
      <c r="L8" s="2" t="s">
        <v>79</v>
      </c>
      <c r="M8" s="2" t="s">
        <v>79</v>
      </c>
      <c r="N8" s="2" t="s">
        <v>81</v>
      </c>
      <c r="O8" s="2">
        <v>9</v>
      </c>
      <c r="P8" s="2" t="s">
        <v>82</v>
      </c>
      <c r="Q8" s="2" t="s">
        <v>190</v>
      </c>
      <c r="R8" s="2" t="s">
        <v>84</v>
      </c>
      <c r="S8" s="2" t="s">
        <v>84</v>
      </c>
      <c r="T8" s="2" t="s">
        <v>84</v>
      </c>
      <c r="U8" s="2" t="s">
        <v>84</v>
      </c>
      <c r="V8" s="2" t="s">
        <v>84</v>
      </c>
      <c r="W8" s="2" t="s">
        <v>85</v>
      </c>
      <c r="X8" s="2" t="s">
        <v>84</v>
      </c>
      <c r="Y8" s="2" t="s">
        <v>84</v>
      </c>
      <c r="Z8" s="2" t="s">
        <v>85</v>
      </c>
      <c r="AA8" s="2" t="s">
        <v>84</v>
      </c>
      <c r="AB8" s="2" t="s">
        <v>191</v>
      </c>
      <c r="AC8" s="2" t="s">
        <v>92</v>
      </c>
      <c r="AD8" s="2" t="s">
        <v>192</v>
      </c>
      <c r="AE8" s="2" t="s">
        <v>193</v>
      </c>
      <c r="AF8" s="2" t="s">
        <v>79</v>
      </c>
      <c r="AG8" s="2" t="s">
        <v>194</v>
      </c>
      <c r="AH8" s="2" t="s">
        <v>79</v>
      </c>
      <c r="AI8" s="2" t="s">
        <v>195</v>
      </c>
      <c r="AJ8" s="2"/>
      <c r="AK8" s="2"/>
      <c r="AL8" s="2"/>
      <c r="AM8" s="2" t="s">
        <v>92</v>
      </c>
      <c r="AN8" s="2" t="s">
        <v>178</v>
      </c>
      <c r="AO8" s="2" t="s">
        <v>196</v>
      </c>
      <c r="AP8" s="2" t="s">
        <v>95</v>
      </c>
      <c r="AQ8" s="2" t="s">
        <v>197</v>
      </c>
      <c r="AR8" s="2" t="s">
        <v>198</v>
      </c>
      <c r="AS8" s="2"/>
      <c r="AT8" s="2"/>
      <c r="AU8" s="2"/>
      <c r="AV8" s="2" t="s">
        <v>199</v>
      </c>
      <c r="AW8" s="2" t="s">
        <v>80</v>
      </c>
      <c r="AX8" s="2"/>
      <c r="AY8" s="2" t="s">
        <v>80</v>
      </c>
      <c r="AZ8" s="2" t="s">
        <v>92</v>
      </c>
      <c r="BA8" s="2" t="s">
        <v>200</v>
      </c>
      <c r="BB8" s="2" t="s">
        <v>100</v>
      </c>
      <c r="BC8" s="2" t="s">
        <v>201</v>
      </c>
      <c r="BD8" s="2" t="s">
        <v>202</v>
      </c>
      <c r="BE8" s="2" t="s">
        <v>203</v>
      </c>
      <c r="BF8" s="2" t="s">
        <v>204</v>
      </c>
      <c r="BG8" s="2" t="s">
        <v>104</v>
      </c>
      <c r="BH8" s="2" t="s">
        <v>205</v>
      </c>
      <c r="BI8" s="2" t="s">
        <v>106</v>
      </c>
      <c r="BJ8" s="2" t="s">
        <v>206</v>
      </c>
      <c r="BK8" s="2" t="s">
        <v>207</v>
      </c>
      <c r="BL8" s="2" t="s">
        <v>79</v>
      </c>
      <c r="BM8" s="2" t="s">
        <v>109</v>
      </c>
    </row>
    <row r="9" spans="1:65" ht="409.5" x14ac:dyDescent="0.25">
      <c r="A9" s="2" t="s">
        <v>208</v>
      </c>
      <c r="B9" s="2">
        <v>2013</v>
      </c>
      <c r="C9" s="2" t="s">
        <v>111</v>
      </c>
      <c r="D9" s="2" t="s">
        <v>79</v>
      </c>
      <c r="E9" s="2" t="s">
        <v>79</v>
      </c>
      <c r="F9" s="2" t="s">
        <v>79</v>
      </c>
      <c r="G9" s="2" t="s">
        <v>80</v>
      </c>
      <c r="H9" s="2" t="s">
        <v>79</v>
      </c>
      <c r="I9" s="2" t="s">
        <v>79</v>
      </c>
      <c r="J9" s="2" t="s">
        <v>80</v>
      </c>
      <c r="K9" s="2" t="s">
        <v>80</v>
      </c>
      <c r="L9" s="2" t="s">
        <v>80</v>
      </c>
      <c r="M9" s="2" t="s">
        <v>80</v>
      </c>
      <c r="N9" s="2" t="s">
        <v>112</v>
      </c>
      <c r="O9" s="2">
        <v>9.5</v>
      </c>
      <c r="P9" s="2" t="s">
        <v>82</v>
      </c>
      <c r="Q9" s="2" t="s">
        <v>209</v>
      </c>
      <c r="R9" s="2" t="s">
        <v>84</v>
      </c>
      <c r="S9" s="2" t="s">
        <v>84</v>
      </c>
      <c r="T9" s="2" t="s">
        <v>84</v>
      </c>
      <c r="U9" s="2" t="s">
        <v>84</v>
      </c>
      <c r="V9" s="2" t="s">
        <v>84</v>
      </c>
      <c r="W9" s="2" t="s">
        <v>84</v>
      </c>
      <c r="X9" s="2" t="s">
        <v>84</v>
      </c>
      <c r="Y9" s="2" t="s">
        <v>84</v>
      </c>
      <c r="Z9" s="2" t="s">
        <v>85</v>
      </c>
      <c r="AA9" s="2" t="s">
        <v>84</v>
      </c>
      <c r="AB9" s="2" t="s">
        <v>210</v>
      </c>
      <c r="AC9" s="2" t="s">
        <v>79</v>
      </c>
      <c r="AD9" s="2" t="s">
        <v>211</v>
      </c>
      <c r="AE9" s="2" t="s">
        <v>89</v>
      </c>
      <c r="AF9" s="2" t="s">
        <v>106</v>
      </c>
      <c r="AG9" s="2" t="s">
        <v>116</v>
      </c>
      <c r="AH9" s="2" t="s">
        <v>92</v>
      </c>
      <c r="AI9" s="2" t="s">
        <v>212</v>
      </c>
      <c r="AJ9" s="2"/>
      <c r="AK9" s="2"/>
      <c r="AL9" s="2"/>
      <c r="AM9" s="2" t="s">
        <v>92</v>
      </c>
      <c r="AN9" s="2" t="s">
        <v>213</v>
      </c>
      <c r="AO9" s="2" t="s">
        <v>214</v>
      </c>
      <c r="AP9" s="2" t="s">
        <v>95</v>
      </c>
      <c r="AQ9" s="2" t="s">
        <v>215</v>
      </c>
      <c r="AR9" s="2" t="s">
        <v>216</v>
      </c>
      <c r="AS9" s="2"/>
      <c r="AT9" s="2"/>
      <c r="AU9" s="2"/>
      <c r="AV9" s="2" t="s">
        <v>217</v>
      </c>
      <c r="AW9" s="2" t="s">
        <v>80</v>
      </c>
      <c r="AX9" s="2"/>
      <c r="AY9" s="2" t="s">
        <v>80</v>
      </c>
      <c r="AZ9" s="2" t="s">
        <v>92</v>
      </c>
      <c r="BA9" s="2" t="s">
        <v>218</v>
      </c>
      <c r="BB9" s="2" t="s">
        <v>100</v>
      </c>
      <c r="BC9" s="2" t="s">
        <v>219</v>
      </c>
      <c r="BD9" s="2" t="s">
        <v>102</v>
      </c>
      <c r="BE9" s="2" t="s">
        <v>168</v>
      </c>
      <c r="BF9" s="2" t="s">
        <v>220</v>
      </c>
      <c r="BG9" s="2" t="s">
        <v>153</v>
      </c>
      <c r="BH9" s="2" t="s">
        <v>221</v>
      </c>
      <c r="BI9" s="2" t="s">
        <v>79</v>
      </c>
      <c r="BJ9" s="2" t="s">
        <v>107</v>
      </c>
      <c r="BK9" s="2" t="s">
        <v>222</v>
      </c>
      <c r="BL9" s="2" t="s">
        <v>79</v>
      </c>
      <c r="BM9" s="2" t="s">
        <v>109</v>
      </c>
    </row>
    <row r="10" spans="1:65" ht="409.5" x14ac:dyDescent="0.25">
      <c r="A10" s="2" t="s">
        <v>223</v>
      </c>
      <c r="B10" s="2">
        <v>2015</v>
      </c>
      <c r="C10" s="2" t="s">
        <v>189</v>
      </c>
      <c r="D10" s="2" t="s">
        <v>79</v>
      </c>
      <c r="E10" s="2" t="s">
        <v>79</v>
      </c>
      <c r="F10" s="2" t="s">
        <v>79</v>
      </c>
      <c r="G10" s="2" t="s">
        <v>80</v>
      </c>
      <c r="H10" s="2" t="s">
        <v>79</v>
      </c>
      <c r="I10" s="2" t="s">
        <v>79</v>
      </c>
      <c r="J10" s="2" t="s">
        <v>80</v>
      </c>
      <c r="K10" s="2" t="s">
        <v>80</v>
      </c>
      <c r="L10" s="2" t="s">
        <v>79</v>
      </c>
      <c r="M10" s="2" t="s">
        <v>79</v>
      </c>
      <c r="N10" s="2" t="s">
        <v>224</v>
      </c>
      <c r="O10" s="2">
        <v>9.5</v>
      </c>
      <c r="P10" s="2" t="s">
        <v>82</v>
      </c>
      <c r="Q10" s="2" t="s">
        <v>225</v>
      </c>
      <c r="R10" s="2" t="s">
        <v>84</v>
      </c>
      <c r="S10" s="2" t="s">
        <v>84</v>
      </c>
      <c r="T10" s="2" t="s">
        <v>84</v>
      </c>
      <c r="U10" s="2" t="s">
        <v>84</v>
      </c>
      <c r="V10" s="2" t="s">
        <v>84</v>
      </c>
      <c r="W10" s="2" t="s">
        <v>84</v>
      </c>
      <c r="X10" s="2" t="s">
        <v>84</v>
      </c>
      <c r="Y10" s="2" t="s">
        <v>84</v>
      </c>
      <c r="Z10" s="2" t="s">
        <v>85</v>
      </c>
      <c r="AA10" s="2" t="s">
        <v>84</v>
      </c>
      <c r="AB10" s="2" t="s">
        <v>226</v>
      </c>
      <c r="AC10" s="2" t="s">
        <v>79</v>
      </c>
      <c r="AD10" s="2" t="s">
        <v>227</v>
      </c>
      <c r="AE10" s="2" t="s">
        <v>89</v>
      </c>
      <c r="AF10" s="2" t="s">
        <v>79</v>
      </c>
      <c r="AG10" s="2" t="s">
        <v>116</v>
      </c>
      <c r="AH10" s="2" t="s">
        <v>79</v>
      </c>
      <c r="AI10" s="2" t="s">
        <v>228</v>
      </c>
      <c r="AJ10" s="2"/>
      <c r="AK10" s="2"/>
      <c r="AL10" s="2"/>
      <c r="AM10" s="2" t="s">
        <v>92</v>
      </c>
      <c r="AN10" s="2" t="s">
        <v>161</v>
      </c>
      <c r="AO10" s="2" t="s">
        <v>229</v>
      </c>
      <c r="AP10" s="2" t="s">
        <v>95</v>
      </c>
      <c r="AQ10" s="2" t="s">
        <v>230</v>
      </c>
      <c r="AR10" s="2" t="s">
        <v>231</v>
      </c>
      <c r="AS10" s="2"/>
      <c r="AT10" s="2"/>
      <c r="AU10" s="2"/>
      <c r="AV10" s="2" t="s">
        <v>232</v>
      </c>
      <c r="AW10" s="2" t="s">
        <v>80</v>
      </c>
      <c r="AX10" s="2"/>
      <c r="AY10" s="2" t="s">
        <v>80</v>
      </c>
      <c r="AZ10" s="2" t="s">
        <v>92</v>
      </c>
      <c r="BA10" s="2" t="s">
        <v>233</v>
      </c>
      <c r="BB10" s="2" t="s">
        <v>100</v>
      </c>
      <c r="BC10" s="2" t="s">
        <v>234</v>
      </c>
      <c r="BD10" s="2" t="s">
        <v>202</v>
      </c>
      <c r="BE10" s="2" t="s">
        <v>203</v>
      </c>
      <c r="BF10" s="2" t="s">
        <v>235</v>
      </c>
      <c r="BG10" s="2" t="s">
        <v>104</v>
      </c>
      <c r="BH10" s="2" t="s">
        <v>236</v>
      </c>
      <c r="BI10" s="2" t="s">
        <v>79</v>
      </c>
      <c r="BJ10" s="2" t="s">
        <v>107</v>
      </c>
      <c r="BK10" s="2" t="s">
        <v>237</v>
      </c>
      <c r="BL10" s="2" t="s">
        <v>79</v>
      </c>
      <c r="BM10" s="2" t="s">
        <v>109</v>
      </c>
    </row>
    <row r="11" spans="1:65" ht="409.5" x14ac:dyDescent="0.25">
      <c r="A11" s="2" t="s">
        <v>238</v>
      </c>
      <c r="B11" s="2">
        <v>2016</v>
      </c>
      <c r="C11" s="2" t="s">
        <v>78</v>
      </c>
      <c r="D11" s="2" t="s">
        <v>79</v>
      </c>
      <c r="E11" s="2" t="s">
        <v>79</v>
      </c>
      <c r="F11" s="2" t="s">
        <v>79</v>
      </c>
      <c r="G11" s="2" t="s">
        <v>80</v>
      </c>
      <c r="H11" s="2" t="s">
        <v>79</v>
      </c>
      <c r="I11" s="2" t="s">
        <v>79</v>
      </c>
      <c r="J11" s="2" t="s">
        <v>80</v>
      </c>
      <c r="K11" s="2" t="s">
        <v>80</v>
      </c>
      <c r="L11" s="2" t="s">
        <v>92</v>
      </c>
      <c r="M11" s="2" t="s">
        <v>79</v>
      </c>
      <c r="N11" s="2" t="s">
        <v>224</v>
      </c>
      <c r="O11" s="2">
        <v>10</v>
      </c>
      <c r="P11" s="2" t="s">
        <v>82</v>
      </c>
      <c r="Q11" s="2" t="s">
        <v>239</v>
      </c>
      <c r="R11" s="2" t="s">
        <v>84</v>
      </c>
      <c r="S11" s="2" t="s">
        <v>84</v>
      </c>
      <c r="T11" s="2" t="s">
        <v>84</v>
      </c>
      <c r="U11" s="2" t="s">
        <v>84</v>
      </c>
      <c r="V11" s="2" t="s">
        <v>84</v>
      </c>
      <c r="W11" s="2" t="s">
        <v>84</v>
      </c>
      <c r="X11" s="2" t="s">
        <v>84</v>
      </c>
      <c r="Y11" s="2" t="s">
        <v>84</v>
      </c>
      <c r="Z11" s="2" t="s">
        <v>84</v>
      </c>
      <c r="AA11" s="2" t="s">
        <v>84</v>
      </c>
      <c r="AB11" s="2" t="s">
        <v>240</v>
      </c>
      <c r="AC11" s="2" t="s">
        <v>79</v>
      </c>
      <c r="AD11" s="2" t="s">
        <v>241</v>
      </c>
      <c r="AE11" s="2" t="s">
        <v>89</v>
      </c>
      <c r="AF11" s="2" t="s">
        <v>79</v>
      </c>
      <c r="AG11" s="2" t="s">
        <v>116</v>
      </c>
      <c r="AH11" s="2" t="s">
        <v>92</v>
      </c>
      <c r="AI11" s="2" t="s">
        <v>242</v>
      </c>
      <c r="AJ11" s="2"/>
      <c r="AK11" s="2"/>
      <c r="AL11" s="2"/>
      <c r="AM11" s="2" t="s">
        <v>92</v>
      </c>
      <c r="AN11" s="2" t="s">
        <v>243</v>
      </c>
      <c r="AO11" s="2" t="s">
        <v>244</v>
      </c>
      <c r="AP11" s="2" t="s">
        <v>95</v>
      </c>
      <c r="AQ11" s="2" t="s">
        <v>245</v>
      </c>
      <c r="AR11" s="2" t="s">
        <v>246</v>
      </c>
      <c r="AS11" s="2"/>
      <c r="AT11" s="2"/>
      <c r="AU11" s="2"/>
      <c r="AV11" s="2" t="s">
        <v>247</v>
      </c>
      <c r="AW11" s="2" t="s">
        <v>80</v>
      </c>
      <c r="AX11" s="2"/>
      <c r="AY11" s="2" t="s">
        <v>80</v>
      </c>
      <c r="AZ11" s="2" t="s">
        <v>92</v>
      </c>
      <c r="BA11" s="2" t="s">
        <v>248</v>
      </c>
      <c r="BB11" s="2" t="s">
        <v>100</v>
      </c>
      <c r="BC11" s="2" t="s">
        <v>249</v>
      </c>
      <c r="BD11" s="2" t="s">
        <v>102</v>
      </c>
      <c r="BE11" s="2" t="s">
        <v>203</v>
      </c>
      <c r="BF11" s="2" t="s">
        <v>250</v>
      </c>
      <c r="BG11" s="2" t="s">
        <v>153</v>
      </c>
      <c r="BH11" s="2" t="s">
        <v>251</v>
      </c>
      <c r="BI11" s="2" t="s">
        <v>79</v>
      </c>
      <c r="BJ11" s="2"/>
      <c r="BK11" s="2" t="s">
        <v>252</v>
      </c>
      <c r="BL11" s="2" t="s">
        <v>79</v>
      </c>
      <c r="BM11" s="2" t="s">
        <v>109</v>
      </c>
    </row>
    <row r="12" spans="1:65" ht="409.5" x14ac:dyDescent="0.25">
      <c r="A12" s="2" t="s">
        <v>253</v>
      </c>
      <c r="B12" s="2">
        <v>2016</v>
      </c>
      <c r="C12" s="2" t="s">
        <v>78</v>
      </c>
      <c r="D12" s="2" t="s">
        <v>79</v>
      </c>
      <c r="E12" s="2" t="s">
        <v>79</v>
      </c>
      <c r="F12" s="2" t="s">
        <v>79</v>
      </c>
      <c r="G12" s="2" t="s">
        <v>80</v>
      </c>
      <c r="H12" s="2" t="s">
        <v>79</v>
      </c>
      <c r="I12" s="2" t="s">
        <v>79</v>
      </c>
      <c r="J12" s="2" t="s">
        <v>80</v>
      </c>
      <c r="K12" s="2" t="s">
        <v>80</v>
      </c>
      <c r="L12" s="2" t="s">
        <v>79</v>
      </c>
      <c r="M12" s="2" t="s">
        <v>79</v>
      </c>
      <c r="N12" s="2" t="s">
        <v>224</v>
      </c>
      <c r="O12" s="2">
        <v>9.5</v>
      </c>
      <c r="P12" s="2" t="s">
        <v>82</v>
      </c>
      <c r="Q12" s="2" t="s">
        <v>254</v>
      </c>
      <c r="R12" s="2" t="s">
        <v>84</v>
      </c>
      <c r="S12" s="2" t="s">
        <v>84</v>
      </c>
      <c r="T12" s="2" t="s">
        <v>84</v>
      </c>
      <c r="U12" s="2" t="s">
        <v>84</v>
      </c>
      <c r="V12" s="2" t="s">
        <v>84</v>
      </c>
      <c r="W12" s="2" t="s">
        <v>84</v>
      </c>
      <c r="X12" s="2" t="s">
        <v>84</v>
      </c>
      <c r="Y12" s="2" t="s">
        <v>84</v>
      </c>
      <c r="Z12" s="2" t="s">
        <v>85</v>
      </c>
      <c r="AA12" s="2" t="s">
        <v>84</v>
      </c>
      <c r="AB12" s="2" t="s">
        <v>255</v>
      </c>
      <c r="AC12" s="2" t="s">
        <v>79</v>
      </c>
      <c r="AD12" s="2" t="s">
        <v>256</v>
      </c>
      <c r="AE12" s="2" t="s">
        <v>89</v>
      </c>
      <c r="AF12" s="2" t="s">
        <v>79</v>
      </c>
      <c r="AG12" s="2" t="s">
        <v>116</v>
      </c>
      <c r="AH12" s="2" t="s">
        <v>79</v>
      </c>
      <c r="AI12" s="2" t="s">
        <v>257</v>
      </c>
      <c r="AJ12" s="2"/>
      <c r="AK12" s="2"/>
      <c r="AL12" s="2"/>
      <c r="AM12" s="2" t="s">
        <v>92</v>
      </c>
      <c r="AN12" s="2" t="s">
        <v>93</v>
      </c>
      <c r="AO12" s="2" t="s">
        <v>258</v>
      </c>
      <c r="AP12" s="2" t="s">
        <v>95</v>
      </c>
      <c r="AQ12" s="2" t="s">
        <v>259</v>
      </c>
      <c r="AR12" s="2" t="s">
        <v>260</v>
      </c>
      <c r="AS12" s="2"/>
      <c r="AT12" s="2"/>
      <c r="AU12" s="2"/>
      <c r="AV12" s="2" t="s">
        <v>261</v>
      </c>
      <c r="AW12" s="2" t="s">
        <v>80</v>
      </c>
      <c r="AX12" s="2"/>
      <c r="AY12" s="2" t="s">
        <v>80</v>
      </c>
      <c r="AZ12" s="2" t="s">
        <v>92</v>
      </c>
      <c r="BA12" s="2" t="s">
        <v>262</v>
      </c>
      <c r="BB12" s="2" t="s">
        <v>100</v>
      </c>
      <c r="BC12" s="2" t="s">
        <v>263</v>
      </c>
      <c r="BD12" s="2" t="s">
        <v>102</v>
      </c>
      <c r="BE12" s="2" t="s">
        <v>203</v>
      </c>
      <c r="BF12" s="2" t="s">
        <v>264</v>
      </c>
      <c r="BG12" s="2" t="s">
        <v>104</v>
      </c>
      <c r="BH12" s="2" t="s">
        <v>265</v>
      </c>
      <c r="BI12" s="2" t="s">
        <v>79</v>
      </c>
      <c r="BJ12" s="2" t="s">
        <v>266</v>
      </c>
      <c r="BK12" s="2" t="s">
        <v>267</v>
      </c>
      <c r="BL12" s="2" t="s">
        <v>79</v>
      </c>
      <c r="BM12" s="2" t="s">
        <v>268</v>
      </c>
    </row>
    <row r="13" spans="1:65" ht="409.5" x14ac:dyDescent="0.25">
      <c r="A13" s="2" t="s">
        <v>269</v>
      </c>
      <c r="B13" s="2">
        <v>2016</v>
      </c>
      <c r="C13" s="2" t="s">
        <v>270</v>
      </c>
      <c r="D13" s="2" t="s">
        <v>79</v>
      </c>
      <c r="E13" s="2" t="s">
        <v>79</v>
      </c>
      <c r="F13" s="2" t="s">
        <v>79</v>
      </c>
      <c r="G13" s="2" t="s">
        <v>79</v>
      </c>
      <c r="H13" s="2" t="s">
        <v>79</v>
      </c>
      <c r="I13" s="2" t="s">
        <v>79</v>
      </c>
      <c r="J13" s="2" t="s">
        <v>80</v>
      </c>
      <c r="K13" s="2" t="s">
        <v>80</v>
      </c>
      <c r="L13" s="2" t="s">
        <v>80</v>
      </c>
      <c r="M13" s="2" t="s">
        <v>80</v>
      </c>
      <c r="N13" s="2" t="s">
        <v>271</v>
      </c>
      <c r="O13" s="2">
        <v>9.5</v>
      </c>
      <c r="P13" s="2" t="s">
        <v>82</v>
      </c>
      <c r="Q13" s="2" t="s">
        <v>272</v>
      </c>
      <c r="R13" s="2" t="s">
        <v>84</v>
      </c>
      <c r="S13" s="2" t="s">
        <v>84</v>
      </c>
      <c r="T13" s="2" t="s">
        <v>84</v>
      </c>
      <c r="U13" s="2" t="s">
        <v>84</v>
      </c>
      <c r="V13" s="2" t="s">
        <v>84</v>
      </c>
      <c r="W13" s="2" t="s">
        <v>84</v>
      </c>
      <c r="X13" s="2" t="s">
        <v>84</v>
      </c>
      <c r="Y13" s="2" t="s">
        <v>84</v>
      </c>
      <c r="Z13" s="2" t="s">
        <v>85</v>
      </c>
      <c r="AA13" s="2" t="s">
        <v>84</v>
      </c>
      <c r="AB13" s="2" t="s">
        <v>273</v>
      </c>
      <c r="AC13" s="2" t="s">
        <v>79</v>
      </c>
      <c r="AD13" s="2" t="s">
        <v>274</v>
      </c>
      <c r="AE13" s="2" t="s">
        <v>89</v>
      </c>
      <c r="AF13" s="2" t="s">
        <v>80</v>
      </c>
      <c r="AG13" s="2" t="s">
        <v>116</v>
      </c>
      <c r="AH13" s="2" t="s">
        <v>92</v>
      </c>
      <c r="AI13" s="2" t="s">
        <v>275</v>
      </c>
      <c r="AJ13" s="2" t="s">
        <v>276</v>
      </c>
      <c r="AK13" s="2" t="s">
        <v>277</v>
      </c>
      <c r="AL13" s="2" t="s">
        <v>278</v>
      </c>
      <c r="AM13" s="2" t="s">
        <v>92</v>
      </c>
      <c r="AN13" s="2" t="s">
        <v>279</v>
      </c>
      <c r="AO13" s="2" t="s">
        <v>280</v>
      </c>
      <c r="AP13" s="2" t="s">
        <v>95</v>
      </c>
      <c r="AQ13" s="2" t="s">
        <v>281</v>
      </c>
      <c r="AR13" s="2" t="s">
        <v>282</v>
      </c>
      <c r="AS13" s="2"/>
      <c r="AT13" s="2"/>
      <c r="AU13" s="2"/>
      <c r="AV13" s="2" t="s">
        <v>283</v>
      </c>
      <c r="AW13" s="2" t="s">
        <v>80</v>
      </c>
      <c r="AX13" s="2"/>
      <c r="AY13" s="2" t="s">
        <v>80</v>
      </c>
      <c r="AZ13" s="2" t="s">
        <v>92</v>
      </c>
      <c r="BA13" s="2" t="s">
        <v>284</v>
      </c>
      <c r="BB13" s="2" t="s">
        <v>100</v>
      </c>
      <c r="BC13" s="2" t="s">
        <v>285</v>
      </c>
      <c r="BD13" s="2" t="s">
        <v>286</v>
      </c>
      <c r="BE13" s="2" t="s">
        <v>287</v>
      </c>
      <c r="BF13" s="2" t="s">
        <v>288</v>
      </c>
      <c r="BG13" s="2" t="s">
        <v>153</v>
      </c>
      <c r="BH13" s="2"/>
      <c r="BI13" s="2" t="s">
        <v>79</v>
      </c>
      <c r="BJ13" s="2" t="s">
        <v>289</v>
      </c>
      <c r="BK13" s="2" t="s">
        <v>290</v>
      </c>
      <c r="BL13" s="2" t="s">
        <v>79</v>
      </c>
      <c r="BM13" s="2" t="s">
        <v>291</v>
      </c>
    </row>
    <row r="14" spans="1:65" ht="409.5" x14ac:dyDescent="0.25">
      <c r="A14" s="2" t="s">
        <v>292</v>
      </c>
      <c r="B14" s="2">
        <v>2016</v>
      </c>
      <c r="C14" s="2" t="s">
        <v>189</v>
      </c>
      <c r="D14" s="2" t="s">
        <v>79</v>
      </c>
      <c r="E14" s="2" t="s">
        <v>79</v>
      </c>
      <c r="F14" s="2" t="s">
        <v>79</v>
      </c>
      <c r="G14" s="2" t="s">
        <v>80</v>
      </c>
      <c r="H14" s="2" t="s">
        <v>79</v>
      </c>
      <c r="I14" s="2" t="s">
        <v>79</v>
      </c>
      <c r="J14" s="2" t="s">
        <v>80</v>
      </c>
      <c r="K14" s="2" t="s">
        <v>80</v>
      </c>
      <c r="L14" s="2" t="s">
        <v>92</v>
      </c>
      <c r="M14" s="2" t="s">
        <v>92</v>
      </c>
      <c r="N14" s="2" t="s">
        <v>293</v>
      </c>
      <c r="O14" s="2">
        <v>9</v>
      </c>
      <c r="P14" s="2" t="s">
        <v>82</v>
      </c>
      <c r="Q14" s="2" t="s">
        <v>294</v>
      </c>
      <c r="R14" s="2" t="s">
        <v>84</v>
      </c>
      <c r="S14" s="2" t="s">
        <v>84</v>
      </c>
      <c r="T14" s="2" t="s">
        <v>84</v>
      </c>
      <c r="U14" s="2" t="s">
        <v>84</v>
      </c>
      <c r="V14" s="2" t="s">
        <v>84</v>
      </c>
      <c r="W14" s="2" t="s">
        <v>84</v>
      </c>
      <c r="X14" s="2" t="s">
        <v>84</v>
      </c>
      <c r="Y14" s="2" t="s">
        <v>85</v>
      </c>
      <c r="Z14" s="2" t="s">
        <v>85</v>
      </c>
      <c r="AA14" s="2" t="s">
        <v>84</v>
      </c>
      <c r="AB14" s="2" t="s">
        <v>295</v>
      </c>
      <c r="AC14" s="2" t="s">
        <v>92</v>
      </c>
      <c r="AD14" s="2" t="s">
        <v>296</v>
      </c>
      <c r="AE14" s="2" t="s">
        <v>143</v>
      </c>
      <c r="AF14" s="2" t="s">
        <v>106</v>
      </c>
      <c r="AG14" s="2" t="s">
        <v>90</v>
      </c>
      <c r="AH14" s="2" t="s">
        <v>79</v>
      </c>
      <c r="AI14" s="2" t="s">
        <v>297</v>
      </c>
      <c r="AJ14" s="2"/>
      <c r="AK14" s="2"/>
      <c r="AL14" s="2"/>
      <c r="AM14" s="2" t="s">
        <v>92</v>
      </c>
      <c r="AN14" s="2" t="s">
        <v>93</v>
      </c>
      <c r="AO14" s="2" t="s">
        <v>298</v>
      </c>
      <c r="AP14" s="2" t="s">
        <v>95</v>
      </c>
      <c r="AQ14" s="2" t="s">
        <v>299</v>
      </c>
      <c r="AR14" s="2" t="s">
        <v>300</v>
      </c>
      <c r="AS14" s="2"/>
      <c r="AT14" s="2"/>
      <c r="AU14" s="2"/>
      <c r="AV14" s="2" t="s">
        <v>301</v>
      </c>
      <c r="AW14" s="2" t="s">
        <v>80</v>
      </c>
      <c r="AX14" s="2"/>
      <c r="AY14" s="2" t="s">
        <v>80</v>
      </c>
      <c r="AZ14" s="2" t="s">
        <v>92</v>
      </c>
      <c r="BA14" s="2" t="s">
        <v>302</v>
      </c>
      <c r="BB14" s="2" t="s">
        <v>303</v>
      </c>
      <c r="BC14" s="2" t="s">
        <v>304</v>
      </c>
      <c r="BD14" s="2" t="s">
        <v>305</v>
      </c>
      <c r="BE14" s="2" t="s">
        <v>306</v>
      </c>
      <c r="BF14" s="2" t="s">
        <v>307</v>
      </c>
      <c r="BG14" s="2" t="s">
        <v>104</v>
      </c>
      <c r="BH14" s="2" t="s">
        <v>308</v>
      </c>
      <c r="BI14" s="2" t="s">
        <v>79</v>
      </c>
      <c r="BJ14" s="2" t="s">
        <v>155</v>
      </c>
      <c r="BK14" s="2"/>
      <c r="BL14" s="2" t="s">
        <v>80</v>
      </c>
      <c r="BM14" s="2" t="s">
        <v>172</v>
      </c>
    </row>
    <row r="15" spans="1:65" ht="409.5" x14ac:dyDescent="0.25">
      <c r="A15" s="2" t="s">
        <v>309</v>
      </c>
      <c r="B15" s="2">
        <v>2017</v>
      </c>
      <c r="C15" s="2" t="s">
        <v>111</v>
      </c>
      <c r="D15" s="2" t="s">
        <v>79</v>
      </c>
      <c r="E15" s="2" t="s">
        <v>79</v>
      </c>
      <c r="F15" s="2" t="s">
        <v>79</v>
      </c>
      <c r="G15" s="2" t="s">
        <v>80</v>
      </c>
      <c r="H15" s="2" t="s">
        <v>79</v>
      </c>
      <c r="I15" s="2" t="s">
        <v>79</v>
      </c>
      <c r="J15" s="2" t="s">
        <v>80</v>
      </c>
      <c r="K15" s="2" t="s">
        <v>80</v>
      </c>
      <c r="L15" s="2" t="s">
        <v>79</v>
      </c>
      <c r="M15" s="2" t="s">
        <v>79</v>
      </c>
      <c r="N15" s="2" t="s">
        <v>224</v>
      </c>
      <c r="O15" s="2">
        <v>9.5</v>
      </c>
      <c r="P15" s="2" t="s">
        <v>82</v>
      </c>
      <c r="Q15" s="2" t="s">
        <v>310</v>
      </c>
      <c r="R15" s="2" t="s">
        <v>84</v>
      </c>
      <c r="S15" s="2" t="s">
        <v>84</v>
      </c>
      <c r="T15" s="2" t="s">
        <v>84</v>
      </c>
      <c r="U15" s="2" t="s">
        <v>84</v>
      </c>
      <c r="V15" s="2" t="s">
        <v>84</v>
      </c>
      <c r="W15" s="2" t="s">
        <v>84</v>
      </c>
      <c r="X15" s="2" t="s">
        <v>84</v>
      </c>
      <c r="Y15" s="2" t="s">
        <v>84</v>
      </c>
      <c r="Z15" s="2" t="s">
        <v>85</v>
      </c>
      <c r="AA15" s="2" t="s">
        <v>84</v>
      </c>
      <c r="AB15" s="2" t="s">
        <v>311</v>
      </c>
      <c r="AC15" s="2" t="s">
        <v>79</v>
      </c>
      <c r="AD15" s="2" t="s">
        <v>312</v>
      </c>
      <c r="AE15" s="2" t="s">
        <v>89</v>
      </c>
      <c r="AF15" s="2" t="s">
        <v>79</v>
      </c>
      <c r="AG15" s="2" t="s">
        <v>116</v>
      </c>
      <c r="AH15" s="2" t="s">
        <v>79</v>
      </c>
      <c r="AI15" s="2" t="s">
        <v>313</v>
      </c>
      <c r="AJ15" s="2"/>
      <c r="AK15" s="2"/>
      <c r="AL15" s="2"/>
      <c r="AM15" s="2" t="s">
        <v>92</v>
      </c>
      <c r="AN15" s="2" t="s">
        <v>161</v>
      </c>
      <c r="AO15" s="2" t="s">
        <v>314</v>
      </c>
      <c r="AP15" s="2" t="s">
        <v>95</v>
      </c>
      <c r="AQ15" s="2" t="s">
        <v>315</v>
      </c>
      <c r="AR15" s="2" t="s">
        <v>316</v>
      </c>
      <c r="AS15" s="2"/>
      <c r="AT15" s="2"/>
      <c r="AU15" s="2"/>
      <c r="AV15" s="2" t="s">
        <v>317</v>
      </c>
      <c r="AW15" s="2" t="s">
        <v>80</v>
      </c>
      <c r="AX15" s="2"/>
      <c r="AY15" s="2" t="s">
        <v>80</v>
      </c>
      <c r="AZ15" s="2" t="s">
        <v>92</v>
      </c>
      <c r="BA15" s="2" t="s">
        <v>318</v>
      </c>
      <c r="BB15" s="2" t="s">
        <v>100</v>
      </c>
      <c r="BC15" s="2" t="s">
        <v>319</v>
      </c>
      <c r="BD15" s="2" t="s">
        <v>102</v>
      </c>
      <c r="BE15" s="2" t="s">
        <v>203</v>
      </c>
      <c r="BF15" s="2" t="s">
        <v>320</v>
      </c>
      <c r="BG15" s="2" t="s">
        <v>153</v>
      </c>
      <c r="BH15" s="2" t="s">
        <v>321</v>
      </c>
      <c r="BI15" s="2" t="s">
        <v>79</v>
      </c>
      <c r="BJ15" s="2" t="s">
        <v>107</v>
      </c>
      <c r="BK15" s="2" t="s">
        <v>322</v>
      </c>
      <c r="BL15" s="2" t="s">
        <v>79</v>
      </c>
      <c r="BM15" s="2" t="s">
        <v>109</v>
      </c>
    </row>
    <row r="16" spans="1:65" ht="409.5" x14ac:dyDescent="0.25">
      <c r="A16" s="2" t="s">
        <v>323</v>
      </c>
      <c r="B16" s="2">
        <v>2017</v>
      </c>
      <c r="C16" s="2" t="s">
        <v>270</v>
      </c>
      <c r="D16" s="2" t="s">
        <v>79</v>
      </c>
      <c r="E16" s="2" t="s">
        <v>79</v>
      </c>
      <c r="F16" s="2" t="s">
        <v>79</v>
      </c>
      <c r="G16" s="2" t="s">
        <v>80</v>
      </c>
      <c r="H16" s="2" t="s">
        <v>79</v>
      </c>
      <c r="I16" s="2" t="s">
        <v>79</v>
      </c>
      <c r="J16" s="2" t="s">
        <v>80</v>
      </c>
      <c r="K16" s="2" t="s">
        <v>80</v>
      </c>
      <c r="L16" s="2" t="s">
        <v>79</v>
      </c>
      <c r="M16" s="2" t="s">
        <v>79</v>
      </c>
      <c r="N16" s="2" t="s">
        <v>224</v>
      </c>
      <c r="O16" s="2">
        <v>9.5</v>
      </c>
      <c r="P16" s="2" t="s">
        <v>82</v>
      </c>
      <c r="Q16" s="2" t="s">
        <v>324</v>
      </c>
      <c r="R16" s="2" t="s">
        <v>84</v>
      </c>
      <c r="S16" s="2" t="s">
        <v>84</v>
      </c>
      <c r="T16" s="2" t="s">
        <v>84</v>
      </c>
      <c r="U16" s="2" t="s">
        <v>84</v>
      </c>
      <c r="V16" s="2" t="s">
        <v>84</v>
      </c>
      <c r="W16" s="2" t="s">
        <v>84</v>
      </c>
      <c r="X16" s="2" t="s">
        <v>84</v>
      </c>
      <c r="Y16" s="2" t="s">
        <v>84</v>
      </c>
      <c r="Z16" s="2" t="s">
        <v>85</v>
      </c>
      <c r="AA16" s="2" t="s">
        <v>84</v>
      </c>
      <c r="AB16" s="2" t="s">
        <v>325</v>
      </c>
      <c r="AC16" s="2" t="s">
        <v>79</v>
      </c>
      <c r="AD16" s="2" t="s">
        <v>326</v>
      </c>
      <c r="AE16" s="2" t="s">
        <v>89</v>
      </c>
      <c r="AF16" s="2" t="s">
        <v>79</v>
      </c>
      <c r="AG16" s="2" t="s">
        <v>116</v>
      </c>
      <c r="AH16" s="2" t="s">
        <v>79</v>
      </c>
      <c r="AI16" s="2" t="s">
        <v>327</v>
      </c>
      <c r="AJ16" s="2"/>
      <c r="AK16" s="2"/>
      <c r="AL16" s="2"/>
      <c r="AM16" s="2" t="s">
        <v>92</v>
      </c>
      <c r="AN16" s="2" t="s">
        <v>328</v>
      </c>
      <c r="AO16" s="2" t="s">
        <v>329</v>
      </c>
      <c r="AP16" s="2" t="s">
        <v>95</v>
      </c>
      <c r="AQ16" s="2" t="s">
        <v>330</v>
      </c>
      <c r="AR16" s="2" t="s">
        <v>331</v>
      </c>
      <c r="AS16" s="2"/>
      <c r="AT16" s="2"/>
      <c r="AU16" s="2"/>
      <c r="AV16" s="2" t="s">
        <v>332</v>
      </c>
      <c r="AW16" s="2" t="s">
        <v>80</v>
      </c>
      <c r="AX16" s="2"/>
      <c r="AY16" s="2" t="s">
        <v>80</v>
      </c>
      <c r="AZ16" s="2" t="s">
        <v>92</v>
      </c>
      <c r="BA16" s="2" t="s">
        <v>333</v>
      </c>
      <c r="BB16" s="2" t="s">
        <v>100</v>
      </c>
      <c r="BC16" s="2" t="s">
        <v>334</v>
      </c>
      <c r="BD16" s="2" t="s">
        <v>102</v>
      </c>
      <c r="BE16" s="2" t="s">
        <v>203</v>
      </c>
      <c r="BF16" s="2" t="s">
        <v>335</v>
      </c>
      <c r="BG16" s="2" t="s">
        <v>153</v>
      </c>
      <c r="BH16" s="2" t="s">
        <v>336</v>
      </c>
      <c r="BI16" s="2" t="s">
        <v>79</v>
      </c>
      <c r="BJ16" s="2" t="s">
        <v>107</v>
      </c>
      <c r="BK16" s="2" t="s">
        <v>337</v>
      </c>
      <c r="BL16" s="2" t="s">
        <v>79</v>
      </c>
      <c r="BM16" s="2" t="s">
        <v>109</v>
      </c>
    </row>
    <row r="17" spans="1:65" ht="409.5" x14ac:dyDescent="0.25">
      <c r="A17" s="2" t="s">
        <v>338</v>
      </c>
      <c r="B17" s="2">
        <v>2017</v>
      </c>
      <c r="C17" s="2" t="s">
        <v>270</v>
      </c>
      <c r="D17" s="2" t="s">
        <v>79</v>
      </c>
      <c r="E17" s="2" t="s">
        <v>79</v>
      </c>
      <c r="F17" s="2" t="s">
        <v>79</v>
      </c>
      <c r="G17" s="2" t="s">
        <v>80</v>
      </c>
      <c r="H17" s="2" t="s">
        <v>79</v>
      </c>
      <c r="I17" s="2" t="s">
        <v>79</v>
      </c>
      <c r="J17" s="2" t="s">
        <v>80</v>
      </c>
      <c r="K17" s="2" t="s">
        <v>80</v>
      </c>
      <c r="L17" s="2" t="s">
        <v>80</v>
      </c>
      <c r="M17" s="2" t="s">
        <v>92</v>
      </c>
      <c r="N17" s="2" t="s">
        <v>224</v>
      </c>
      <c r="O17" s="2">
        <v>9.5</v>
      </c>
      <c r="P17" s="2" t="s">
        <v>82</v>
      </c>
      <c r="Q17" s="2" t="s">
        <v>339</v>
      </c>
      <c r="R17" s="2" t="s">
        <v>84</v>
      </c>
      <c r="S17" s="2" t="s">
        <v>84</v>
      </c>
      <c r="T17" s="2" t="s">
        <v>84</v>
      </c>
      <c r="U17" s="2" t="s">
        <v>84</v>
      </c>
      <c r="V17" s="2" t="s">
        <v>84</v>
      </c>
      <c r="W17" s="2" t="s">
        <v>84</v>
      </c>
      <c r="X17" s="2" t="s">
        <v>84</v>
      </c>
      <c r="Y17" s="2" t="s">
        <v>84</v>
      </c>
      <c r="Z17" s="2" t="s">
        <v>85</v>
      </c>
      <c r="AA17" s="2" t="s">
        <v>84</v>
      </c>
      <c r="AB17" s="2" t="s">
        <v>340</v>
      </c>
      <c r="AC17" s="2" t="s">
        <v>79</v>
      </c>
      <c r="AD17" s="2" t="s">
        <v>341</v>
      </c>
      <c r="AE17" s="2" t="s">
        <v>89</v>
      </c>
      <c r="AF17" s="2" t="s">
        <v>79</v>
      </c>
      <c r="AG17" s="2" t="s">
        <v>116</v>
      </c>
      <c r="AH17" s="2" t="s">
        <v>92</v>
      </c>
      <c r="AI17" s="2" t="s">
        <v>342</v>
      </c>
      <c r="AJ17" s="2"/>
      <c r="AK17" s="2"/>
      <c r="AL17" s="2"/>
      <c r="AM17" s="2" t="s">
        <v>92</v>
      </c>
      <c r="AN17" s="2" t="s">
        <v>161</v>
      </c>
      <c r="AO17" s="2" t="s">
        <v>343</v>
      </c>
      <c r="AP17" s="2" t="s">
        <v>95</v>
      </c>
      <c r="AQ17" s="2" t="s">
        <v>344</v>
      </c>
      <c r="AR17" s="2" t="s">
        <v>345</v>
      </c>
      <c r="AS17" s="2"/>
      <c r="AT17" s="2"/>
      <c r="AU17" s="2"/>
      <c r="AV17" s="2" t="s">
        <v>346</v>
      </c>
      <c r="AW17" s="2" t="s">
        <v>80</v>
      </c>
      <c r="AX17" s="2"/>
      <c r="AY17" s="2" t="s">
        <v>80</v>
      </c>
      <c r="AZ17" s="2" t="s">
        <v>92</v>
      </c>
      <c r="BA17" s="2" t="s">
        <v>347</v>
      </c>
      <c r="BB17" s="2" t="s">
        <v>100</v>
      </c>
      <c r="BC17" s="2" t="s">
        <v>348</v>
      </c>
      <c r="BD17" s="2" t="s">
        <v>102</v>
      </c>
      <c r="BE17" s="2" t="s">
        <v>203</v>
      </c>
      <c r="BF17" s="2" t="s">
        <v>349</v>
      </c>
      <c r="BG17" s="2" t="s">
        <v>153</v>
      </c>
      <c r="BH17" s="2" t="s">
        <v>350</v>
      </c>
      <c r="BI17" s="2" t="s">
        <v>79</v>
      </c>
      <c r="BJ17" s="2" t="s">
        <v>107</v>
      </c>
      <c r="BK17" s="2" t="s">
        <v>351</v>
      </c>
      <c r="BL17" s="2" t="s">
        <v>79</v>
      </c>
      <c r="BM17" s="2" t="s">
        <v>109</v>
      </c>
    </row>
    <row r="18" spans="1:65" ht="409.5" x14ac:dyDescent="0.25">
      <c r="A18" s="2" t="s">
        <v>352</v>
      </c>
      <c r="B18" s="2">
        <v>2017</v>
      </c>
      <c r="C18" s="2" t="s">
        <v>270</v>
      </c>
      <c r="D18" s="2" t="s">
        <v>79</v>
      </c>
      <c r="E18" s="2" t="s">
        <v>79</v>
      </c>
      <c r="F18" s="2" t="s">
        <v>79</v>
      </c>
      <c r="G18" s="2" t="s">
        <v>80</v>
      </c>
      <c r="H18" s="2" t="s">
        <v>79</v>
      </c>
      <c r="I18" s="2" t="s">
        <v>79</v>
      </c>
      <c r="J18" s="2" t="s">
        <v>80</v>
      </c>
      <c r="K18" s="2" t="s">
        <v>80</v>
      </c>
      <c r="L18" s="2" t="s">
        <v>80</v>
      </c>
      <c r="M18" s="2" t="s">
        <v>92</v>
      </c>
      <c r="N18" s="2" t="s">
        <v>224</v>
      </c>
      <c r="O18" s="2">
        <v>9</v>
      </c>
      <c r="P18" s="2" t="s">
        <v>82</v>
      </c>
      <c r="Q18" s="2" t="s">
        <v>353</v>
      </c>
      <c r="R18" s="2" t="s">
        <v>84</v>
      </c>
      <c r="S18" s="2" t="s">
        <v>84</v>
      </c>
      <c r="T18" s="2" t="s">
        <v>84</v>
      </c>
      <c r="U18" s="2" t="s">
        <v>84</v>
      </c>
      <c r="V18" s="2" t="s">
        <v>84</v>
      </c>
      <c r="W18" s="2" t="s">
        <v>84</v>
      </c>
      <c r="X18" s="2" t="s">
        <v>84</v>
      </c>
      <c r="Y18" s="2" t="s">
        <v>85</v>
      </c>
      <c r="Z18" s="2" t="s">
        <v>85</v>
      </c>
      <c r="AA18" s="2" t="s">
        <v>84</v>
      </c>
      <c r="AB18" s="2" t="s">
        <v>354</v>
      </c>
      <c r="AC18" s="2" t="s">
        <v>79</v>
      </c>
      <c r="AD18" s="2" t="s">
        <v>355</v>
      </c>
      <c r="AE18" s="2" t="s">
        <v>89</v>
      </c>
      <c r="AF18" s="2" t="s">
        <v>79</v>
      </c>
      <c r="AG18" s="2" t="s">
        <v>90</v>
      </c>
      <c r="AH18" s="2" t="s">
        <v>92</v>
      </c>
      <c r="AI18" s="2" t="s">
        <v>356</v>
      </c>
      <c r="AJ18" s="2"/>
      <c r="AK18" s="2"/>
      <c r="AL18" s="2"/>
      <c r="AM18" s="2" t="s">
        <v>92</v>
      </c>
      <c r="AN18" s="2" t="s">
        <v>357</v>
      </c>
      <c r="AO18" s="2" t="s">
        <v>358</v>
      </c>
      <c r="AP18" s="2" t="s">
        <v>95</v>
      </c>
      <c r="AQ18" s="2" t="s">
        <v>359</v>
      </c>
      <c r="AR18" s="2" t="s">
        <v>360</v>
      </c>
      <c r="AS18" s="2"/>
      <c r="AT18" s="2"/>
      <c r="AU18" s="2"/>
      <c r="AV18" s="2" t="s">
        <v>361</v>
      </c>
      <c r="AW18" s="2" t="s">
        <v>80</v>
      </c>
      <c r="AX18" s="2"/>
      <c r="AY18" s="2" t="s">
        <v>80</v>
      </c>
      <c r="AZ18" s="2" t="s">
        <v>92</v>
      </c>
      <c r="BA18" s="2" t="s">
        <v>362</v>
      </c>
      <c r="BB18" s="2" t="s">
        <v>100</v>
      </c>
      <c r="BC18" s="2" t="s">
        <v>363</v>
      </c>
      <c r="BD18" s="2" t="s">
        <v>102</v>
      </c>
      <c r="BE18" s="2" t="s">
        <v>364</v>
      </c>
      <c r="BF18" s="2" t="s">
        <v>365</v>
      </c>
      <c r="BG18" s="2" t="s">
        <v>153</v>
      </c>
      <c r="BH18" s="2" t="s">
        <v>366</v>
      </c>
      <c r="BI18" s="2" t="s">
        <v>79</v>
      </c>
      <c r="BJ18" s="2" t="s">
        <v>367</v>
      </c>
      <c r="BK18" s="2" t="s">
        <v>368</v>
      </c>
      <c r="BL18" s="2" t="s">
        <v>79</v>
      </c>
      <c r="BM18" s="2" t="s">
        <v>268</v>
      </c>
    </row>
    <row r="19" spans="1:65" ht="409.5" x14ac:dyDescent="0.25">
      <c r="A19" s="2" t="s">
        <v>369</v>
      </c>
      <c r="B19" s="2">
        <v>2017</v>
      </c>
      <c r="C19" s="2" t="s">
        <v>270</v>
      </c>
      <c r="D19" s="2" t="s">
        <v>79</v>
      </c>
      <c r="E19" s="2" t="s">
        <v>79</v>
      </c>
      <c r="F19" s="2" t="s">
        <v>79</v>
      </c>
      <c r="G19" s="2" t="s">
        <v>80</v>
      </c>
      <c r="H19" s="2" t="s">
        <v>79</v>
      </c>
      <c r="I19" s="2" t="s">
        <v>79</v>
      </c>
      <c r="J19" s="2" t="s">
        <v>80</v>
      </c>
      <c r="K19" s="2" t="s">
        <v>80</v>
      </c>
      <c r="L19" s="2" t="s">
        <v>79</v>
      </c>
      <c r="M19" s="2" t="s">
        <v>92</v>
      </c>
      <c r="N19" s="2" t="s">
        <v>224</v>
      </c>
      <c r="O19" s="2">
        <v>10</v>
      </c>
      <c r="P19" s="2" t="s">
        <v>82</v>
      </c>
      <c r="Q19" s="2" t="s">
        <v>370</v>
      </c>
      <c r="R19" s="2" t="s">
        <v>84</v>
      </c>
      <c r="S19" s="2" t="s">
        <v>84</v>
      </c>
      <c r="T19" s="2" t="s">
        <v>84</v>
      </c>
      <c r="U19" s="2" t="s">
        <v>84</v>
      </c>
      <c r="V19" s="2" t="s">
        <v>84</v>
      </c>
      <c r="W19" s="2" t="s">
        <v>84</v>
      </c>
      <c r="X19" s="2" t="s">
        <v>84</v>
      </c>
      <c r="Y19" s="2" t="s">
        <v>84</v>
      </c>
      <c r="Z19" s="2" t="s">
        <v>84</v>
      </c>
      <c r="AA19" s="2" t="s">
        <v>84</v>
      </c>
      <c r="AB19" s="2" t="s">
        <v>371</v>
      </c>
      <c r="AC19" s="2" t="s">
        <v>79</v>
      </c>
      <c r="AD19" s="2" t="s">
        <v>372</v>
      </c>
      <c r="AE19" s="2" t="s">
        <v>89</v>
      </c>
      <c r="AF19" s="2" t="s">
        <v>79</v>
      </c>
      <c r="AG19" s="2" t="s">
        <v>116</v>
      </c>
      <c r="AH19" s="2" t="s">
        <v>92</v>
      </c>
      <c r="AI19" s="2" t="s">
        <v>373</v>
      </c>
      <c r="AJ19" s="2"/>
      <c r="AK19" s="2"/>
      <c r="AL19" s="2"/>
      <c r="AM19" s="2" t="s">
        <v>92</v>
      </c>
      <c r="AN19" s="2" t="s">
        <v>243</v>
      </c>
      <c r="AO19" s="2" t="s">
        <v>374</v>
      </c>
      <c r="AP19" s="2" t="s">
        <v>95</v>
      </c>
      <c r="AQ19" s="2" t="s">
        <v>375</v>
      </c>
      <c r="AR19" s="2" t="s">
        <v>376</v>
      </c>
      <c r="AS19" s="2"/>
      <c r="AT19" s="2"/>
      <c r="AU19" s="2"/>
      <c r="AV19" s="2" t="s">
        <v>377</v>
      </c>
      <c r="AW19" s="2" t="s">
        <v>80</v>
      </c>
      <c r="AX19" s="2"/>
      <c r="AY19" s="2" t="s">
        <v>80</v>
      </c>
      <c r="AZ19" s="2" t="s">
        <v>92</v>
      </c>
      <c r="BA19" s="2" t="s">
        <v>378</v>
      </c>
      <c r="BB19" s="2" t="s">
        <v>100</v>
      </c>
      <c r="BC19" s="2" t="s">
        <v>379</v>
      </c>
      <c r="BD19" s="2" t="s">
        <v>102</v>
      </c>
      <c r="BE19" s="2" t="s">
        <v>364</v>
      </c>
      <c r="BF19" s="2" t="s">
        <v>380</v>
      </c>
      <c r="BG19" s="2" t="s">
        <v>104</v>
      </c>
      <c r="BH19" s="2" t="s">
        <v>381</v>
      </c>
      <c r="BI19" s="2" t="s">
        <v>79</v>
      </c>
      <c r="BJ19" s="2" t="s">
        <v>107</v>
      </c>
      <c r="BK19" s="2" t="s">
        <v>382</v>
      </c>
      <c r="BL19" s="2" t="s">
        <v>79</v>
      </c>
      <c r="BM19" s="2" t="s">
        <v>109</v>
      </c>
    </row>
    <row r="20" spans="1:65" ht="409.5" x14ac:dyDescent="0.25">
      <c r="A20" s="2" t="s">
        <v>383</v>
      </c>
      <c r="B20" s="2">
        <v>2017</v>
      </c>
      <c r="C20" s="2" t="s">
        <v>111</v>
      </c>
      <c r="D20" s="2" t="s">
        <v>79</v>
      </c>
      <c r="E20" s="2" t="s">
        <v>79</v>
      </c>
      <c r="F20" s="2" t="s">
        <v>79</v>
      </c>
      <c r="G20" s="2" t="s">
        <v>80</v>
      </c>
      <c r="H20" s="2" t="s">
        <v>79</v>
      </c>
      <c r="I20" s="2" t="s">
        <v>79</v>
      </c>
      <c r="J20" s="2" t="s">
        <v>80</v>
      </c>
      <c r="K20" s="2" t="s">
        <v>80</v>
      </c>
      <c r="L20" s="2" t="s">
        <v>79</v>
      </c>
      <c r="M20" s="2" t="s">
        <v>79</v>
      </c>
      <c r="N20" s="2" t="s">
        <v>224</v>
      </c>
      <c r="O20" s="2">
        <v>9</v>
      </c>
      <c r="P20" s="2" t="s">
        <v>82</v>
      </c>
      <c r="Q20" s="2" t="s">
        <v>384</v>
      </c>
      <c r="R20" s="2" t="s">
        <v>84</v>
      </c>
      <c r="S20" s="2" t="s">
        <v>84</v>
      </c>
      <c r="T20" s="2" t="s">
        <v>84</v>
      </c>
      <c r="U20" s="2" t="s">
        <v>84</v>
      </c>
      <c r="V20" s="2" t="s">
        <v>84</v>
      </c>
      <c r="W20" s="2" t="s">
        <v>85</v>
      </c>
      <c r="X20" s="2" t="s">
        <v>84</v>
      </c>
      <c r="Y20" s="2" t="s">
        <v>84</v>
      </c>
      <c r="Z20" s="2" t="s">
        <v>85</v>
      </c>
      <c r="AA20" s="2" t="s">
        <v>84</v>
      </c>
      <c r="AB20" s="2" t="s">
        <v>385</v>
      </c>
      <c r="AC20" s="2" t="s">
        <v>79</v>
      </c>
      <c r="AD20" s="2" t="s">
        <v>386</v>
      </c>
      <c r="AE20" s="2" t="s">
        <v>89</v>
      </c>
      <c r="AF20" s="2" t="s">
        <v>79</v>
      </c>
      <c r="AG20" s="2" t="s">
        <v>116</v>
      </c>
      <c r="AH20" s="2" t="s">
        <v>92</v>
      </c>
      <c r="AI20" s="2" t="s">
        <v>387</v>
      </c>
      <c r="AJ20" s="2"/>
      <c r="AK20" s="2"/>
      <c r="AL20" s="2"/>
      <c r="AM20" s="2" t="s">
        <v>92</v>
      </c>
      <c r="AN20" s="2" t="s">
        <v>388</v>
      </c>
      <c r="AO20" s="2" t="s">
        <v>389</v>
      </c>
      <c r="AP20" s="2" t="s">
        <v>95</v>
      </c>
      <c r="AQ20" s="2" t="s">
        <v>390</v>
      </c>
      <c r="AR20" s="2" t="s">
        <v>391</v>
      </c>
      <c r="AS20" s="2"/>
      <c r="AT20" s="2"/>
      <c r="AU20" s="2"/>
      <c r="AV20" s="2" t="s">
        <v>392</v>
      </c>
      <c r="AW20" s="2" t="s">
        <v>80</v>
      </c>
      <c r="AX20" s="2"/>
      <c r="AY20" s="2" t="s">
        <v>80</v>
      </c>
      <c r="AZ20" s="2" t="s">
        <v>92</v>
      </c>
      <c r="BA20" s="2" t="s">
        <v>393</v>
      </c>
      <c r="BB20" s="2" t="s">
        <v>100</v>
      </c>
      <c r="BC20" s="2" t="s">
        <v>394</v>
      </c>
      <c r="BD20" s="2" t="s">
        <v>102</v>
      </c>
      <c r="BE20" s="2" t="s">
        <v>306</v>
      </c>
      <c r="BF20" s="2" t="s">
        <v>395</v>
      </c>
      <c r="BG20" s="2" t="s">
        <v>104</v>
      </c>
      <c r="BH20" s="2" t="s">
        <v>396</v>
      </c>
      <c r="BI20" s="2" t="s">
        <v>79</v>
      </c>
      <c r="BJ20" s="2" t="s">
        <v>107</v>
      </c>
      <c r="BK20" s="2" t="s">
        <v>397</v>
      </c>
      <c r="BL20" s="2" t="s">
        <v>79</v>
      </c>
      <c r="BM20" s="2" t="s">
        <v>109</v>
      </c>
    </row>
    <row r="21" spans="1:65" ht="409.5" x14ac:dyDescent="0.25">
      <c r="A21" s="2" t="s">
        <v>398</v>
      </c>
      <c r="B21" s="2">
        <v>2017</v>
      </c>
      <c r="C21" s="2" t="s">
        <v>78</v>
      </c>
      <c r="D21" s="2" t="s">
        <v>79</v>
      </c>
      <c r="E21" s="2" t="s">
        <v>79</v>
      </c>
      <c r="F21" s="2" t="s">
        <v>79</v>
      </c>
      <c r="G21" s="2" t="s">
        <v>80</v>
      </c>
      <c r="H21" s="2" t="s">
        <v>79</v>
      </c>
      <c r="I21" s="2" t="s">
        <v>79</v>
      </c>
      <c r="J21" s="2" t="s">
        <v>80</v>
      </c>
      <c r="K21" s="2" t="s">
        <v>80</v>
      </c>
      <c r="L21" s="2" t="s">
        <v>80</v>
      </c>
      <c r="M21" s="2" t="s">
        <v>92</v>
      </c>
      <c r="N21" s="2" t="s">
        <v>399</v>
      </c>
      <c r="O21" s="2">
        <v>10</v>
      </c>
      <c r="P21" s="2" t="s">
        <v>82</v>
      </c>
      <c r="Q21" s="2" t="s">
        <v>400</v>
      </c>
      <c r="R21" s="2" t="s">
        <v>84</v>
      </c>
      <c r="S21" s="2" t="s">
        <v>84</v>
      </c>
      <c r="T21" s="2" t="s">
        <v>84</v>
      </c>
      <c r="U21" s="2" t="s">
        <v>84</v>
      </c>
      <c r="V21" s="2" t="s">
        <v>84</v>
      </c>
      <c r="W21" s="2" t="s">
        <v>84</v>
      </c>
      <c r="X21" s="2" t="s">
        <v>84</v>
      </c>
      <c r="Y21" s="2" t="s">
        <v>84</v>
      </c>
      <c r="Z21" s="2" t="s">
        <v>84</v>
      </c>
      <c r="AA21" s="2" t="s">
        <v>84</v>
      </c>
      <c r="AB21" s="2" t="s">
        <v>401</v>
      </c>
      <c r="AC21" s="2" t="s">
        <v>79</v>
      </c>
      <c r="AD21" s="2" t="s">
        <v>402</v>
      </c>
      <c r="AE21" s="2" t="s">
        <v>89</v>
      </c>
      <c r="AF21" s="2" t="s">
        <v>79</v>
      </c>
      <c r="AG21" s="2" t="s">
        <v>116</v>
      </c>
      <c r="AH21" s="2" t="s">
        <v>92</v>
      </c>
      <c r="AI21" s="2" t="s">
        <v>403</v>
      </c>
      <c r="AJ21" s="2"/>
      <c r="AK21" s="2"/>
      <c r="AL21" s="2"/>
      <c r="AM21" s="2" t="s">
        <v>92</v>
      </c>
      <c r="AN21" s="2" t="s">
        <v>404</v>
      </c>
      <c r="AO21" s="2" t="s">
        <v>405</v>
      </c>
      <c r="AP21" s="2" t="s">
        <v>95</v>
      </c>
      <c r="AQ21" s="2" t="s">
        <v>406</v>
      </c>
      <c r="AR21" s="2" t="s">
        <v>407</v>
      </c>
      <c r="AS21" s="2"/>
      <c r="AT21" s="2"/>
      <c r="AU21" s="2"/>
      <c r="AV21" s="2" t="s">
        <v>408</v>
      </c>
      <c r="AW21" s="2" t="s">
        <v>106</v>
      </c>
      <c r="AX21" s="2" t="s">
        <v>409</v>
      </c>
      <c r="AY21" s="2" t="s">
        <v>106</v>
      </c>
      <c r="AZ21" s="2" t="s">
        <v>92</v>
      </c>
      <c r="BA21" s="2" t="s">
        <v>410</v>
      </c>
      <c r="BB21" s="2" t="s">
        <v>100</v>
      </c>
      <c r="BC21" s="2" t="s">
        <v>411</v>
      </c>
      <c r="BD21" s="2" t="s">
        <v>102</v>
      </c>
      <c r="BE21" s="2" t="s">
        <v>168</v>
      </c>
      <c r="BF21" s="2" t="s">
        <v>412</v>
      </c>
      <c r="BG21" s="2" t="s">
        <v>153</v>
      </c>
      <c r="BH21" s="2" t="s">
        <v>413</v>
      </c>
      <c r="BI21" s="2" t="s">
        <v>79</v>
      </c>
      <c r="BJ21" s="2" t="s">
        <v>107</v>
      </c>
      <c r="BK21" s="2" t="s">
        <v>414</v>
      </c>
      <c r="BL21" s="2" t="s">
        <v>79</v>
      </c>
      <c r="BM21" s="2" t="s">
        <v>109</v>
      </c>
    </row>
    <row r="22" spans="1:65" ht="409.5" x14ac:dyDescent="0.25">
      <c r="A22" s="2" t="s">
        <v>415</v>
      </c>
      <c r="B22" s="2">
        <v>2018</v>
      </c>
      <c r="C22" s="2" t="s">
        <v>270</v>
      </c>
      <c r="D22" s="2" t="s">
        <v>79</v>
      </c>
      <c r="E22" s="2" t="s">
        <v>79</v>
      </c>
      <c r="F22" s="2" t="s">
        <v>79</v>
      </c>
      <c r="G22" s="2" t="s">
        <v>80</v>
      </c>
      <c r="H22" s="2" t="s">
        <v>79</v>
      </c>
      <c r="I22" s="2" t="s">
        <v>79</v>
      </c>
      <c r="J22" s="2" t="s">
        <v>80</v>
      </c>
      <c r="K22" s="2" t="s">
        <v>80</v>
      </c>
      <c r="L22" s="2" t="s">
        <v>80</v>
      </c>
      <c r="M22" s="2" t="s">
        <v>80</v>
      </c>
      <c r="N22" s="2" t="s">
        <v>271</v>
      </c>
      <c r="O22" s="2">
        <v>8</v>
      </c>
      <c r="P22" s="2" t="s">
        <v>82</v>
      </c>
      <c r="Q22" s="2" t="s">
        <v>416</v>
      </c>
      <c r="R22" s="2" t="s">
        <v>84</v>
      </c>
      <c r="S22" s="2" t="s">
        <v>84</v>
      </c>
      <c r="T22" s="2" t="s">
        <v>84</v>
      </c>
      <c r="U22" s="2" t="s">
        <v>84</v>
      </c>
      <c r="V22" s="2" t="s">
        <v>84</v>
      </c>
      <c r="W22" s="2" t="s">
        <v>85</v>
      </c>
      <c r="X22" s="2" t="s">
        <v>86</v>
      </c>
      <c r="Y22" s="2" t="s">
        <v>84</v>
      </c>
      <c r="Z22" s="2" t="s">
        <v>85</v>
      </c>
      <c r="AA22" s="2" t="s">
        <v>84</v>
      </c>
      <c r="AB22" s="2" t="s">
        <v>417</v>
      </c>
      <c r="AC22" s="2" t="s">
        <v>92</v>
      </c>
      <c r="AD22" s="2" t="s">
        <v>418</v>
      </c>
      <c r="AE22" s="2" t="s">
        <v>89</v>
      </c>
      <c r="AF22" s="2" t="s">
        <v>79</v>
      </c>
      <c r="AG22" s="2" t="s">
        <v>116</v>
      </c>
      <c r="AH22" s="2" t="s">
        <v>92</v>
      </c>
      <c r="AI22" s="2" t="s">
        <v>419</v>
      </c>
      <c r="AJ22" s="2"/>
      <c r="AK22" s="2"/>
      <c r="AL22" s="2"/>
      <c r="AM22" s="2" t="s">
        <v>92</v>
      </c>
      <c r="AN22" s="2" t="s">
        <v>118</v>
      </c>
      <c r="AO22" s="2" t="s">
        <v>420</v>
      </c>
      <c r="AP22" s="2" t="s">
        <v>95</v>
      </c>
      <c r="AQ22" s="2" t="s">
        <v>421</v>
      </c>
      <c r="AR22" s="2" t="s">
        <v>422</v>
      </c>
      <c r="AS22" s="2"/>
      <c r="AT22" s="2"/>
      <c r="AU22" s="2"/>
      <c r="AV22" s="2" t="s">
        <v>423</v>
      </c>
      <c r="AW22" s="2" t="s">
        <v>80</v>
      </c>
      <c r="AX22" s="2"/>
      <c r="AY22" s="2" t="s">
        <v>80</v>
      </c>
      <c r="AZ22" s="2" t="s">
        <v>92</v>
      </c>
      <c r="BA22" s="2" t="s">
        <v>424</v>
      </c>
      <c r="BB22" s="2" t="s">
        <v>303</v>
      </c>
      <c r="BC22" s="2" t="s">
        <v>425</v>
      </c>
      <c r="BD22" s="2" t="s">
        <v>426</v>
      </c>
      <c r="BE22" s="2" t="s">
        <v>427</v>
      </c>
      <c r="BF22" s="2" t="s">
        <v>428</v>
      </c>
      <c r="BG22" s="2" t="s">
        <v>104</v>
      </c>
      <c r="BH22" s="2"/>
      <c r="BI22" s="2" t="s">
        <v>106</v>
      </c>
      <c r="BJ22" s="2" t="s">
        <v>429</v>
      </c>
      <c r="BK22" s="2" t="s">
        <v>430</v>
      </c>
      <c r="BL22" s="2" t="s">
        <v>79</v>
      </c>
      <c r="BM22" s="2" t="s">
        <v>109</v>
      </c>
    </row>
    <row r="23" spans="1:65" ht="409.5" x14ac:dyDescent="0.25">
      <c r="A23" s="2" t="s">
        <v>431</v>
      </c>
      <c r="B23" s="2">
        <v>2018</v>
      </c>
      <c r="C23" s="2" t="s">
        <v>270</v>
      </c>
      <c r="D23" s="2" t="s">
        <v>79</v>
      </c>
      <c r="E23" s="2" t="s">
        <v>79</v>
      </c>
      <c r="F23" s="2" t="s">
        <v>79</v>
      </c>
      <c r="G23" s="2" t="s">
        <v>79</v>
      </c>
      <c r="H23" s="2" t="s">
        <v>79</v>
      </c>
      <c r="I23" s="2" t="s">
        <v>79</v>
      </c>
      <c r="J23" s="2" t="s">
        <v>80</v>
      </c>
      <c r="K23" s="2" t="s">
        <v>80</v>
      </c>
      <c r="L23" s="2" t="s">
        <v>79</v>
      </c>
      <c r="M23" s="2" t="s">
        <v>92</v>
      </c>
      <c r="N23" s="2" t="s">
        <v>224</v>
      </c>
      <c r="O23" s="2">
        <v>9.5</v>
      </c>
      <c r="P23" s="2" t="s">
        <v>82</v>
      </c>
      <c r="Q23" s="2" t="s">
        <v>432</v>
      </c>
      <c r="R23" s="2" t="s">
        <v>84</v>
      </c>
      <c r="S23" s="2" t="s">
        <v>84</v>
      </c>
      <c r="T23" s="2" t="s">
        <v>84</v>
      </c>
      <c r="U23" s="2" t="s">
        <v>84</v>
      </c>
      <c r="V23" s="2" t="s">
        <v>84</v>
      </c>
      <c r="W23" s="2" t="s">
        <v>84</v>
      </c>
      <c r="X23" s="2" t="s">
        <v>84</v>
      </c>
      <c r="Y23" s="2" t="s">
        <v>84</v>
      </c>
      <c r="Z23" s="2" t="s">
        <v>85</v>
      </c>
      <c r="AA23" s="2" t="s">
        <v>84</v>
      </c>
      <c r="AB23" s="2" t="s">
        <v>433</v>
      </c>
      <c r="AC23" s="2" t="s">
        <v>79</v>
      </c>
      <c r="AD23" s="2" t="s">
        <v>434</v>
      </c>
      <c r="AE23" s="2" t="s">
        <v>89</v>
      </c>
      <c r="AF23" s="2" t="s">
        <v>79</v>
      </c>
      <c r="AG23" s="2" t="s">
        <v>116</v>
      </c>
      <c r="AH23" s="2" t="s">
        <v>92</v>
      </c>
      <c r="AI23" s="2" t="s">
        <v>435</v>
      </c>
      <c r="AJ23" s="2" t="s">
        <v>276</v>
      </c>
      <c r="AK23" s="2" t="s">
        <v>277</v>
      </c>
      <c r="AL23" s="2" t="s">
        <v>436</v>
      </c>
      <c r="AM23" s="2" t="s">
        <v>92</v>
      </c>
      <c r="AN23" s="2" t="s">
        <v>437</v>
      </c>
      <c r="AO23" s="2" t="s">
        <v>438</v>
      </c>
      <c r="AP23" s="2" t="s">
        <v>95</v>
      </c>
      <c r="AQ23" s="2" t="s">
        <v>439</v>
      </c>
      <c r="AR23" s="2" t="s">
        <v>440</v>
      </c>
      <c r="AS23" s="2"/>
      <c r="AT23" s="2"/>
      <c r="AU23" s="2"/>
      <c r="AV23" s="2" t="s">
        <v>441</v>
      </c>
      <c r="AW23" s="2" t="s">
        <v>80</v>
      </c>
      <c r="AX23" s="2"/>
      <c r="AY23" s="2" t="s">
        <v>80</v>
      </c>
      <c r="AZ23" s="2" t="s">
        <v>92</v>
      </c>
      <c r="BA23" s="2" t="s">
        <v>442</v>
      </c>
      <c r="BB23" s="2" t="s">
        <v>100</v>
      </c>
      <c r="BC23" s="2" t="s">
        <v>443</v>
      </c>
      <c r="BD23" s="2" t="s">
        <v>102</v>
      </c>
      <c r="BE23" s="2" t="s">
        <v>444</v>
      </c>
      <c r="BF23" s="2" t="s">
        <v>445</v>
      </c>
      <c r="BG23" s="2" t="s">
        <v>153</v>
      </c>
      <c r="BH23" s="2" t="s">
        <v>446</v>
      </c>
      <c r="BI23" s="2" t="s">
        <v>79</v>
      </c>
      <c r="BJ23" s="2" t="s">
        <v>289</v>
      </c>
      <c r="BK23" s="2" t="s">
        <v>447</v>
      </c>
      <c r="BL23" s="2" t="s">
        <v>79</v>
      </c>
      <c r="BM23" s="2" t="s">
        <v>109</v>
      </c>
    </row>
    <row r="24" spans="1:65" ht="409.5" x14ac:dyDescent="0.25">
      <c r="A24" s="2" t="s">
        <v>448</v>
      </c>
      <c r="B24" s="2">
        <v>2018</v>
      </c>
      <c r="C24" s="2" t="s">
        <v>111</v>
      </c>
      <c r="D24" s="2" t="s">
        <v>79</v>
      </c>
      <c r="E24" s="2" t="s">
        <v>79</v>
      </c>
      <c r="F24" s="2" t="s">
        <v>79</v>
      </c>
      <c r="G24" s="2" t="s">
        <v>80</v>
      </c>
      <c r="H24" s="2" t="s">
        <v>79</v>
      </c>
      <c r="I24" s="2" t="s">
        <v>79</v>
      </c>
      <c r="J24" s="2" t="s">
        <v>80</v>
      </c>
      <c r="K24" s="2" t="s">
        <v>80</v>
      </c>
      <c r="L24" s="2" t="s">
        <v>79</v>
      </c>
      <c r="M24" s="2" t="s">
        <v>92</v>
      </c>
      <c r="N24" s="2" t="s">
        <v>224</v>
      </c>
      <c r="O24" s="2">
        <v>8.5</v>
      </c>
      <c r="P24" s="2" t="s">
        <v>82</v>
      </c>
      <c r="Q24" s="2" t="s">
        <v>449</v>
      </c>
      <c r="R24" s="2" t="s">
        <v>84</v>
      </c>
      <c r="S24" s="2" t="s">
        <v>84</v>
      </c>
      <c r="T24" s="2" t="s">
        <v>84</v>
      </c>
      <c r="U24" s="2" t="s">
        <v>84</v>
      </c>
      <c r="V24" s="2" t="s">
        <v>84</v>
      </c>
      <c r="W24" s="2" t="s">
        <v>85</v>
      </c>
      <c r="X24" s="2" t="s">
        <v>86</v>
      </c>
      <c r="Y24" s="2" t="s">
        <v>84</v>
      </c>
      <c r="Z24" s="2" t="s">
        <v>84</v>
      </c>
      <c r="AA24" s="2" t="s">
        <v>84</v>
      </c>
      <c r="AB24" s="2" t="s">
        <v>450</v>
      </c>
      <c r="AC24" s="2" t="s">
        <v>79</v>
      </c>
      <c r="AD24" s="2" t="s">
        <v>451</v>
      </c>
      <c r="AE24" s="2" t="s">
        <v>89</v>
      </c>
      <c r="AF24" s="2" t="s">
        <v>79</v>
      </c>
      <c r="AG24" s="2" t="s">
        <v>116</v>
      </c>
      <c r="AH24" s="2" t="s">
        <v>92</v>
      </c>
      <c r="AI24" s="2" t="s">
        <v>452</v>
      </c>
      <c r="AJ24" s="2"/>
      <c r="AK24" s="2"/>
      <c r="AL24" s="2"/>
      <c r="AM24" s="2" t="s">
        <v>92</v>
      </c>
      <c r="AN24" s="2" t="s">
        <v>453</v>
      </c>
      <c r="AO24" s="2" t="s">
        <v>454</v>
      </c>
      <c r="AP24" s="2" t="s">
        <v>95</v>
      </c>
      <c r="AQ24" s="2" t="s">
        <v>455</v>
      </c>
      <c r="AR24" s="2" t="s">
        <v>456</v>
      </c>
      <c r="AS24" s="2"/>
      <c r="AT24" s="2"/>
      <c r="AU24" s="2"/>
      <c r="AV24" s="2" t="s">
        <v>457</v>
      </c>
      <c r="AW24" s="2" t="s">
        <v>80</v>
      </c>
      <c r="AX24" s="2"/>
      <c r="AY24" s="2" t="s">
        <v>80</v>
      </c>
      <c r="AZ24" s="2" t="s">
        <v>92</v>
      </c>
      <c r="BA24" s="2" t="s">
        <v>458</v>
      </c>
      <c r="BB24" s="2" t="s">
        <v>100</v>
      </c>
      <c r="BC24" s="2" t="s">
        <v>459</v>
      </c>
      <c r="BD24" s="2" t="s">
        <v>102</v>
      </c>
      <c r="BE24" s="2" t="s">
        <v>427</v>
      </c>
      <c r="BF24" s="2" t="s">
        <v>460</v>
      </c>
      <c r="BG24" s="2" t="s">
        <v>153</v>
      </c>
      <c r="BH24" s="2" t="s">
        <v>461</v>
      </c>
      <c r="BI24" s="2" t="s">
        <v>106</v>
      </c>
      <c r="BJ24" s="2" t="s">
        <v>107</v>
      </c>
      <c r="BK24" s="2" t="s">
        <v>462</v>
      </c>
      <c r="BL24" s="2" t="s">
        <v>79</v>
      </c>
      <c r="BM24" s="2" t="s">
        <v>109</v>
      </c>
    </row>
    <row r="25" spans="1:65" ht="409.5" x14ac:dyDescent="0.25">
      <c r="A25" s="2" t="s">
        <v>463</v>
      </c>
      <c r="B25" s="2">
        <v>2018</v>
      </c>
      <c r="C25" s="2" t="s">
        <v>78</v>
      </c>
      <c r="D25" s="2" t="s">
        <v>80</v>
      </c>
      <c r="E25" s="2" t="s">
        <v>80</v>
      </c>
      <c r="F25" s="2" t="s">
        <v>80</v>
      </c>
      <c r="G25" s="2" t="s">
        <v>80</v>
      </c>
      <c r="H25" s="2" t="s">
        <v>79</v>
      </c>
      <c r="I25" s="2" t="s">
        <v>79</v>
      </c>
      <c r="J25" s="2" t="s">
        <v>80</v>
      </c>
      <c r="K25" s="2" t="s">
        <v>80</v>
      </c>
      <c r="L25" s="2" t="s">
        <v>92</v>
      </c>
      <c r="M25" s="2" t="s">
        <v>92</v>
      </c>
      <c r="N25" s="2"/>
      <c r="O25" s="2">
        <v>8.5</v>
      </c>
      <c r="P25" s="2" t="s">
        <v>82</v>
      </c>
      <c r="Q25" s="2"/>
      <c r="R25" s="2" t="s">
        <v>84</v>
      </c>
      <c r="S25" s="2" t="s">
        <v>84</v>
      </c>
      <c r="T25" s="2" t="s">
        <v>84</v>
      </c>
      <c r="U25" s="2" t="s">
        <v>84</v>
      </c>
      <c r="V25" s="2" t="s">
        <v>84</v>
      </c>
      <c r="W25" s="2" t="s">
        <v>84</v>
      </c>
      <c r="X25" s="2" t="s">
        <v>86</v>
      </c>
      <c r="Y25" s="2" t="s">
        <v>84</v>
      </c>
      <c r="Z25" s="2" t="s">
        <v>85</v>
      </c>
      <c r="AA25" s="2" t="s">
        <v>84</v>
      </c>
      <c r="AB25" s="2" t="s">
        <v>464</v>
      </c>
      <c r="AC25" s="2"/>
      <c r="AD25" s="2"/>
      <c r="AE25" s="2" t="s">
        <v>89</v>
      </c>
      <c r="AF25" s="2" t="s">
        <v>79</v>
      </c>
      <c r="AG25" s="2" t="s">
        <v>90</v>
      </c>
      <c r="AH25" s="2"/>
      <c r="AI25" s="2"/>
      <c r="AJ25" s="2"/>
      <c r="AK25" s="2"/>
      <c r="AL25" s="2"/>
      <c r="AM25" s="2" t="s">
        <v>92</v>
      </c>
      <c r="AN25" s="2" t="s">
        <v>465</v>
      </c>
      <c r="AO25" s="2" t="s">
        <v>466</v>
      </c>
      <c r="AP25" s="2" t="s">
        <v>95</v>
      </c>
      <c r="AQ25" s="2" t="s">
        <v>467</v>
      </c>
      <c r="AR25" s="2" t="s">
        <v>468</v>
      </c>
      <c r="AS25" s="2"/>
      <c r="AT25" s="2"/>
      <c r="AU25" s="2" t="s">
        <v>469</v>
      </c>
      <c r="AV25" s="2" t="s">
        <v>470</v>
      </c>
      <c r="AW25" s="2"/>
      <c r="AX25" s="2"/>
      <c r="AY25" s="2"/>
      <c r="AZ25" s="2"/>
      <c r="BA25" s="2"/>
      <c r="BB25" s="2" t="s">
        <v>100</v>
      </c>
      <c r="BC25" s="2" t="s">
        <v>471</v>
      </c>
      <c r="BD25" s="2" t="s">
        <v>102</v>
      </c>
      <c r="BE25" s="2"/>
      <c r="BF25" s="2" t="s">
        <v>472</v>
      </c>
      <c r="BG25" s="2" t="s">
        <v>153</v>
      </c>
      <c r="BH25" s="2" t="s">
        <v>473</v>
      </c>
      <c r="BI25" s="2" t="s">
        <v>79</v>
      </c>
      <c r="BJ25" s="2" t="s">
        <v>429</v>
      </c>
      <c r="BK25" s="2" t="s">
        <v>474</v>
      </c>
      <c r="BL25" s="2" t="s">
        <v>79</v>
      </c>
      <c r="BM25" s="2" t="s">
        <v>109</v>
      </c>
    </row>
    <row r="26" spans="1:65" ht="405" x14ac:dyDescent="0.25">
      <c r="A26" s="2" t="s">
        <v>475</v>
      </c>
      <c r="B26" s="2">
        <v>2018</v>
      </c>
      <c r="C26" s="2" t="s">
        <v>111</v>
      </c>
      <c r="D26" s="2" t="s">
        <v>80</v>
      </c>
      <c r="E26" s="2" t="s">
        <v>80</v>
      </c>
      <c r="F26" s="2" t="s">
        <v>80</v>
      </c>
      <c r="G26" s="2" t="s">
        <v>80</v>
      </c>
      <c r="H26" s="2" t="s">
        <v>79</v>
      </c>
      <c r="I26" s="2" t="s">
        <v>79</v>
      </c>
      <c r="J26" s="2" t="s">
        <v>80</v>
      </c>
      <c r="K26" s="2" t="s">
        <v>80</v>
      </c>
      <c r="L26" s="2" t="s">
        <v>92</v>
      </c>
      <c r="M26" s="2" t="s">
        <v>92</v>
      </c>
      <c r="N26" s="2" t="s">
        <v>476</v>
      </c>
      <c r="O26" s="2">
        <v>8.5</v>
      </c>
      <c r="P26" s="2" t="s">
        <v>82</v>
      </c>
      <c r="Q26" s="2"/>
      <c r="R26" s="2" t="s">
        <v>84</v>
      </c>
      <c r="S26" s="2" t="s">
        <v>84</v>
      </c>
      <c r="T26" s="2" t="s">
        <v>84</v>
      </c>
      <c r="U26" s="2" t="s">
        <v>84</v>
      </c>
      <c r="V26" s="2" t="s">
        <v>84</v>
      </c>
      <c r="W26" s="2" t="s">
        <v>84</v>
      </c>
      <c r="X26" s="2" t="s">
        <v>86</v>
      </c>
      <c r="Y26" s="2" t="s">
        <v>84</v>
      </c>
      <c r="Z26" s="2" t="s">
        <v>85</v>
      </c>
      <c r="AA26" s="2" t="s">
        <v>84</v>
      </c>
      <c r="AB26" s="2" t="s">
        <v>477</v>
      </c>
      <c r="AC26" s="2"/>
      <c r="AD26" s="2"/>
      <c r="AE26" s="2" t="s">
        <v>478</v>
      </c>
      <c r="AF26" s="2" t="s">
        <v>106</v>
      </c>
      <c r="AG26" s="2" t="s">
        <v>116</v>
      </c>
      <c r="AH26" s="2"/>
      <c r="AI26" s="2"/>
      <c r="AJ26" s="2"/>
      <c r="AK26" s="2"/>
      <c r="AL26" s="2"/>
      <c r="AM26" s="2" t="s">
        <v>92</v>
      </c>
      <c r="AN26" s="2" t="s">
        <v>479</v>
      </c>
      <c r="AO26" s="2" t="s">
        <v>480</v>
      </c>
      <c r="AP26" s="2" t="s">
        <v>95</v>
      </c>
      <c r="AQ26" s="2" t="s">
        <v>481</v>
      </c>
      <c r="AR26" s="2" t="s">
        <v>482</v>
      </c>
      <c r="AS26" s="2"/>
      <c r="AT26" s="2"/>
      <c r="AU26" s="2" t="s">
        <v>483</v>
      </c>
      <c r="AV26" s="2" t="s">
        <v>484</v>
      </c>
      <c r="AW26" s="2"/>
      <c r="AX26" s="2"/>
      <c r="AY26" s="2"/>
      <c r="AZ26" s="2"/>
      <c r="BA26" s="2"/>
      <c r="BB26" s="2" t="s">
        <v>100</v>
      </c>
      <c r="BC26" s="2" t="s">
        <v>485</v>
      </c>
      <c r="BD26" s="2" t="s">
        <v>102</v>
      </c>
      <c r="BE26" s="2"/>
      <c r="BF26" s="2" t="s">
        <v>486</v>
      </c>
      <c r="BG26" s="2" t="s">
        <v>153</v>
      </c>
      <c r="BH26" s="2" t="s">
        <v>487</v>
      </c>
      <c r="BI26" s="2" t="s">
        <v>79</v>
      </c>
      <c r="BJ26" s="2" t="s">
        <v>107</v>
      </c>
      <c r="BK26" s="2" t="s">
        <v>488</v>
      </c>
      <c r="BL26" s="2" t="s">
        <v>79</v>
      </c>
      <c r="BM26" s="2" t="s">
        <v>109</v>
      </c>
    </row>
    <row r="27" spans="1:65" ht="409.5" x14ac:dyDescent="0.25">
      <c r="A27" s="2" t="s">
        <v>489</v>
      </c>
      <c r="B27" s="2">
        <v>2018</v>
      </c>
      <c r="C27" s="2" t="s">
        <v>111</v>
      </c>
      <c r="D27" s="2" t="s">
        <v>80</v>
      </c>
      <c r="E27" s="2" t="s">
        <v>80</v>
      </c>
      <c r="F27" s="2" t="s">
        <v>80</v>
      </c>
      <c r="G27" s="2" t="s">
        <v>80</v>
      </c>
      <c r="H27" s="2" t="s">
        <v>79</v>
      </c>
      <c r="I27" s="2" t="s">
        <v>79</v>
      </c>
      <c r="J27" s="2" t="s">
        <v>80</v>
      </c>
      <c r="K27" s="2" t="s">
        <v>80</v>
      </c>
      <c r="L27" s="2" t="s">
        <v>79</v>
      </c>
      <c r="M27" s="2" t="s">
        <v>92</v>
      </c>
      <c r="N27" s="2" t="s">
        <v>476</v>
      </c>
      <c r="O27" s="2">
        <v>8.5</v>
      </c>
      <c r="P27" s="2" t="s">
        <v>82</v>
      </c>
      <c r="Q27" s="2" t="s">
        <v>490</v>
      </c>
      <c r="R27" s="2" t="s">
        <v>84</v>
      </c>
      <c r="S27" s="2" t="s">
        <v>84</v>
      </c>
      <c r="T27" s="2" t="s">
        <v>84</v>
      </c>
      <c r="U27" s="2" t="s">
        <v>84</v>
      </c>
      <c r="V27" s="2" t="s">
        <v>84</v>
      </c>
      <c r="W27" s="2" t="s">
        <v>84</v>
      </c>
      <c r="X27" s="2" t="s">
        <v>86</v>
      </c>
      <c r="Y27" s="2" t="s">
        <v>84</v>
      </c>
      <c r="Z27" s="2" t="s">
        <v>85</v>
      </c>
      <c r="AA27" s="2" t="s">
        <v>84</v>
      </c>
      <c r="AB27" s="2" t="s">
        <v>491</v>
      </c>
      <c r="AC27" s="2"/>
      <c r="AD27" s="2"/>
      <c r="AE27" s="2" t="s">
        <v>89</v>
      </c>
      <c r="AF27" s="2" t="s">
        <v>79</v>
      </c>
      <c r="AG27" s="2" t="s">
        <v>90</v>
      </c>
      <c r="AH27" s="2"/>
      <c r="AI27" s="2"/>
      <c r="AJ27" s="2"/>
      <c r="AK27" s="2"/>
      <c r="AL27" s="2"/>
      <c r="AM27" s="2" t="s">
        <v>92</v>
      </c>
      <c r="AN27" s="2" t="s">
        <v>465</v>
      </c>
      <c r="AO27" s="2" t="s">
        <v>492</v>
      </c>
      <c r="AP27" s="2" t="s">
        <v>95</v>
      </c>
      <c r="AQ27" s="2" t="s">
        <v>493</v>
      </c>
      <c r="AR27" s="2" t="s">
        <v>494</v>
      </c>
      <c r="AS27" s="2"/>
      <c r="AT27" s="2"/>
      <c r="AU27" s="2" t="s">
        <v>495</v>
      </c>
      <c r="AV27" s="2" t="s">
        <v>496</v>
      </c>
      <c r="AW27" s="2"/>
      <c r="AX27" s="2"/>
      <c r="AY27" s="2"/>
      <c r="AZ27" s="2"/>
      <c r="BA27" s="2"/>
      <c r="BB27" s="2" t="s">
        <v>100</v>
      </c>
      <c r="BC27" s="2" t="s">
        <v>497</v>
      </c>
      <c r="BD27" s="2" t="s">
        <v>102</v>
      </c>
      <c r="BE27" s="2"/>
      <c r="BF27" s="2" t="s">
        <v>498</v>
      </c>
      <c r="BG27" s="2" t="s">
        <v>153</v>
      </c>
      <c r="BH27" s="2" t="s">
        <v>499</v>
      </c>
      <c r="BI27" s="2" t="s">
        <v>79</v>
      </c>
      <c r="BJ27" s="2" t="s">
        <v>107</v>
      </c>
      <c r="BK27" s="2" t="s">
        <v>500</v>
      </c>
      <c r="BL27" s="2" t="s">
        <v>79</v>
      </c>
      <c r="BM27" s="2" t="s">
        <v>109</v>
      </c>
    </row>
    <row r="28" spans="1:65" ht="409.5" x14ac:dyDescent="0.25">
      <c r="A28" s="2" t="s">
        <v>501</v>
      </c>
      <c r="B28" s="2">
        <v>2018</v>
      </c>
      <c r="C28" s="2" t="s">
        <v>111</v>
      </c>
      <c r="D28" s="2" t="s">
        <v>79</v>
      </c>
      <c r="E28" s="2" t="s">
        <v>79</v>
      </c>
      <c r="F28" s="2" t="s">
        <v>79</v>
      </c>
      <c r="G28" s="2" t="s">
        <v>80</v>
      </c>
      <c r="H28" s="2" t="s">
        <v>79</v>
      </c>
      <c r="I28" s="2" t="s">
        <v>79</v>
      </c>
      <c r="J28" s="2" t="s">
        <v>80</v>
      </c>
      <c r="K28" s="2" t="s">
        <v>80</v>
      </c>
      <c r="L28" s="2" t="s">
        <v>80</v>
      </c>
      <c r="M28" s="2" t="s">
        <v>80</v>
      </c>
      <c r="N28" s="2" t="s">
        <v>502</v>
      </c>
      <c r="O28" s="2">
        <v>7.5</v>
      </c>
      <c r="P28" s="2" t="s">
        <v>82</v>
      </c>
      <c r="Q28" s="2" t="s">
        <v>503</v>
      </c>
      <c r="R28" s="2" t="s">
        <v>84</v>
      </c>
      <c r="S28" s="2" t="s">
        <v>85</v>
      </c>
      <c r="T28" s="2" t="s">
        <v>84</v>
      </c>
      <c r="U28" s="2" t="s">
        <v>84</v>
      </c>
      <c r="V28" s="2" t="s">
        <v>84</v>
      </c>
      <c r="W28" s="2" t="s">
        <v>84</v>
      </c>
      <c r="X28" s="2" t="s">
        <v>86</v>
      </c>
      <c r="Y28" s="2" t="s">
        <v>86</v>
      </c>
      <c r="Z28" s="2" t="s">
        <v>84</v>
      </c>
      <c r="AA28" s="2" t="s">
        <v>84</v>
      </c>
      <c r="AB28" s="2" t="s">
        <v>504</v>
      </c>
      <c r="AC28" s="2" t="s">
        <v>92</v>
      </c>
      <c r="AD28" s="2" t="s">
        <v>505</v>
      </c>
      <c r="AE28" s="2" t="s">
        <v>143</v>
      </c>
      <c r="AF28" s="2" t="s">
        <v>106</v>
      </c>
      <c r="AG28" s="2" t="s">
        <v>90</v>
      </c>
      <c r="AH28" s="2" t="s">
        <v>106</v>
      </c>
      <c r="AI28" s="2" t="s">
        <v>506</v>
      </c>
      <c r="AJ28" s="2"/>
      <c r="AK28" s="2"/>
      <c r="AL28" s="2"/>
      <c r="AM28" s="2" t="s">
        <v>92</v>
      </c>
      <c r="AN28" s="2"/>
      <c r="AO28" s="2" t="s">
        <v>507</v>
      </c>
      <c r="AP28" s="2" t="s">
        <v>95</v>
      </c>
      <c r="AQ28" s="2" t="s">
        <v>508</v>
      </c>
      <c r="AR28" s="2" t="s">
        <v>509</v>
      </c>
      <c r="AS28" s="2"/>
      <c r="AT28" s="2"/>
      <c r="AU28" s="2" t="s">
        <v>510</v>
      </c>
      <c r="AV28" s="2" t="s">
        <v>511</v>
      </c>
      <c r="AW28" s="2"/>
      <c r="AX28" s="2"/>
      <c r="AY28" s="2"/>
      <c r="AZ28" s="2" t="s">
        <v>106</v>
      </c>
      <c r="BA28" s="2" t="s">
        <v>512</v>
      </c>
      <c r="BB28" s="2" t="s">
        <v>303</v>
      </c>
      <c r="BC28" s="2" t="s">
        <v>513</v>
      </c>
      <c r="BD28" s="2" t="s">
        <v>514</v>
      </c>
      <c r="BE28" s="2"/>
      <c r="BF28" s="2" t="s">
        <v>515</v>
      </c>
      <c r="BG28" s="2" t="s">
        <v>104</v>
      </c>
      <c r="BH28" s="2"/>
      <c r="BI28" s="2" t="s">
        <v>79</v>
      </c>
      <c r="BJ28" s="2" t="s">
        <v>155</v>
      </c>
      <c r="BK28" s="2"/>
      <c r="BL28" s="2" t="s">
        <v>80</v>
      </c>
      <c r="BM28" s="2" t="s">
        <v>109</v>
      </c>
    </row>
    <row r="29" spans="1:65" ht="409.5" x14ac:dyDescent="0.25">
      <c r="A29" s="2" t="s">
        <v>516</v>
      </c>
      <c r="B29" s="2">
        <v>2019</v>
      </c>
      <c r="C29" s="2" t="s">
        <v>270</v>
      </c>
      <c r="D29" s="2" t="s">
        <v>79</v>
      </c>
      <c r="E29" s="2" t="s">
        <v>79</v>
      </c>
      <c r="F29" s="2" t="s">
        <v>79</v>
      </c>
      <c r="G29" s="2" t="s">
        <v>80</v>
      </c>
      <c r="H29" s="2" t="s">
        <v>79</v>
      </c>
      <c r="I29" s="2" t="s">
        <v>79</v>
      </c>
      <c r="J29" s="2" t="s">
        <v>80</v>
      </c>
      <c r="K29" s="2" t="s">
        <v>80</v>
      </c>
      <c r="L29" s="2" t="s">
        <v>79</v>
      </c>
      <c r="M29" s="2" t="s">
        <v>92</v>
      </c>
      <c r="N29" s="2" t="s">
        <v>517</v>
      </c>
      <c r="O29" s="2">
        <v>8.5</v>
      </c>
      <c r="P29" s="2" t="s">
        <v>82</v>
      </c>
      <c r="Q29" s="2" t="s">
        <v>518</v>
      </c>
      <c r="R29" s="2" t="s">
        <v>84</v>
      </c>
      <c r="S29" s="2" t="s">
        <v>84</v>
      </c>
      <c r="T29" s="2" t="s">
        <v>84</v>
      </c>
      <c r="U29" s="2" t="s">
        <v>84</v>
      </c>
      <c r="V29" s="2" t="s">
        <v>84</v>
      </c>
      <c r="W29" s="2" t="s">
        <v>84</v>
      </c>
      <c r="X29" s="2" t="s">
        <v>86</v>
      </c>
      <c r="Y29" s="2" t="s">
        <v>84</v>
      </c>
      <c r="Z29" s="2" t="s">
        <v>85</v>
      </c>
      <c r="AA29" s="2" t="s">
        <v>84</v>
      </c>
      <c r="AB29" s="2" t="s">
        <v>519</v>
      </c>
      <c r="AC29" s="2" t="s">
        <v>79</v>
      </c>
      <c r="AD29" s="2" t="s">
        <v>520</v>
      </c>
      <c r="AE29" s="2" t="s">
        <v>89</v>
      </c>
      <c r="AF29" s="2" t="s">
        <v>79</v>
      </c>
      <c r="AG29" s="2" t="s">
        <v>116</v>
      </c>
      <c r="AH29" s="2" t="s">
        <v>92</v>
      </c>
      <c r="AI29" s="2" t="s">
        <v>521</v>
      </c>
      <c r="AJ29" s="2"/>
      <c r="AK29" s="2"/>
      <c r="AL29" s="2"/>
      <c r="AM29" s="2" t="s">
        <v>92</v>
      </c>
      <c r="AN29" s="2"/>
      <c r="AO29" s="2" t="s">
        <v>522</v>
      </c>
      <c r="AP29" s="2" t="s">
        <v>95</v>
      </c>
      <c r="AQ29" s="2" t="s">
        <v>523</v>
      </c>
      <c r="AR29" s="2" t="s">
        <v>524</v>
      </c>
      <c r="AS29" s="2"/>
      <c r="AT29" s="2"/>
      <c r="AU29" s="2" t="s">
        <v>525</v>
      </c>
      <c r="AV29" s="2" t="s">
        <v>526</v>
      </c>
      <c r="AW29" s="2"/>
      <c r="AX29" s="2"/>
      <c r="AY29" s="2"/>
      <c r="AZ29" s="2" t="s">
        <v>92</v>
      </c>
      <c r="BA29" s="2" t="s">
        <v>527</v>
      </c>
      <c r="BB29" s="2" t="s">
        <v>100</v>
      </c>
      <c r="BC29" s="2" t="s">
        <v>528</v>
      </c>
      <c r="BD29" s="2" t="s">
        <v>102</v>
      </c>
      <c r="BE29" s="2"/>
      <c r="BF29" s="2" t="s">
        <v>529</v>
      </c>
      <c r="BG29" s="2" t="s">
        <v>104</v>
      </c>
      <c r="BH29" s="2" t="s">
        <v>530</v>
      </c>
      <c r="BI29" s="2" t="s">
        <v>79</v>
      </c>
      <c r="BJ29" s="2" t="s">
        <v>429</v>
      </c>
      <c r="BK29" s="2" t="s">
        <v>531</v>
      </c>
      <c r="BL29" s="2" t="s">
        <v>79</v>
      </c>
      <c r="BM29" s="2" t="s">
        <v>109</v>
      </c>
    </row>
    <row r="30" spans="1:65" ht="409.5" x14ac:dyDescent="0.25">
      <c r="A30" s="2" t="s">
        <v>532</v>
      </c>
      <c r="B30" s="2">
        <v>2019</v>
      </c>
      <c r="C30" s="2" t="s">
        <v>111</v>
      </c>
      <c r="D30" s="2" t="s">
        <v>79</v>
      </c>
      <c r="E30" s="2" t="s">
        <v>79</v>
      </c>
      <c r="F30" s="2" t="s">
        <v>79</v>
      </c>
      <c r="G30" s="2" t="s">
        <v>80</v>
      </c>
      <c r="H30" s="2" t="s">
        <v>79</v>
      </c>
      <c r="I30" s="2" t="s">
        <v>79</v>
      </c>
      <c r="J30" s="2" t="s">
        <v>80</v>
      </c>
      <c r="K30" s="2" t="s">
        <v>80</v>
      </c>
      <c r="L30" s="2" t="s">
        <v>80</v>
      </c>
      <c r="M30" s="2" t="s">
        <v>80</v>
      </c>
      <c r="N30" s="2" t="s">
        <v>271</v>
      </c>
      <c r="O30" s="2">
        <v>8.5</v>
      </c>
      <c r="P30" s="2" t="s">
        <v>82</v>
      </c>
      <c r="Q30" s="2" t="s">
        <v>533</v>
      </c>
      <c r="R30" s="2" t="s">
        <v>84</v>
      </c>
      <c r="S30" s="2" t="s">
        <v>84</v>
      </c>
      <c r="T30" s="2" t="s">
        <v>84</v>
      </c>
      <c r="U30" s="2" t="s">
        <v>84</v>
      </c>
      <c r="V30" s="2" t="s">
        <v>84</v>
      </c>
      <c r="W30" s="2" t="s">
        <v>84</v>
      </c>
      <c r="X30" s="2" t="s">
        <v>86</v>
      </c>
      <c r="Y30" s="2" t="s">
        <v>84</v>
      </c>
      <c r="Z30" s="2" t="s">
        <v>85</v>
      </c>
      <c r="AA30" s="2" t="s">
        <v>84</v>
      </c>
      <c r="AB30" s="2" t="s">
        <v>534</v>
      </c>
      <c r="AC30" s="2" t="s">
        <v>92</v>
      </c>
      <c r="AD30" s="2" t="s">
        <v>535</v>
      </c>
      <c r="AE30" s="2" t="s">
        <v>89</v>
      </c>
      <c r="AF30" s="2" t="s">
        <v>106</v>
      </c>
      <c r="AG30" s="2" t="s">
        <v>90</v>
      </c>
      <c r="AH30" s="2" t="s">
        <v>92</v>
      </c>
      <c r="AI30" s="2" t="s">
        <v>536</v>
      </c>
      <c r="AJ30" s="2"/>
      <c r="AK30" s="2"/>
      <c r="AL30" s="2"/>
      <c r="AM30" s="2" t="s">
        <v>92</v>
      </c>
      <c r="AN30" s="2" t="s">
        <v>118</v>
      </c>
      <c r="AO30" s="2" t="s">
        <v>537</v>
      </c>
      <c r="AP30" s="2" t="s">
        <v>95</v>
      </c>
      <c r="AQ30" s="2" t="s">
        <v>538</v>
      </c>
      <c r="AR30" s="2" t="s">
        <v>539</v>
      </c>
      <c r="AS30" s="2"/>
      <c r="AT30" s="2"/>
      <c r="AU30" s="2" t="s">
        <v>540</v>
      </c>
      <c r="AV30" s="2" t="s">
        <v>541</v>
      </c>
      <c r="AW30" s="2"/>
      <c r="AX30" s="2"/>
      <c r="AY30" s="2"/>
      <c r="AZ30" s="2" t="s">
        <v>92</v>
      </c>
      <c r="BA30" s="2" t="s">
        <v>542</v>
      </c>
      <c r="BB30" s="2" t="s">
        <v>100</v>
      </c>
      <c r="BC30" s="2" t="s">
        <v>543</v>
      </c>
      <c r="BD30" s="2" t="s">
        <v>102</v>
      </c>
      <c r="BE30" s="2"/>
      <c r="BF30" s="2" t="s">
        <v>544</v>
      </c>
      <c r="BG30" s="2" t="s">
        <v>153</v>
      </c>
      <c r="BH30" s="2"/>
      <c r="BI30" s="2" t="s">
        <v>79</v>
      </c>
      <c r="BJ30" s="2" t="s">
        <v>545</v>
      </c>
      <c r="BK30" s="2" t="s">
        <v>546</v>
      </c>
      <c r="BL30" s="2" t="s">
        <v>79</v>
      </c>
      <c r="BM30" s="2" t="s">
        <v>109</v>
      </c>
    </row>
    <row r="31" spans="1:65" ht="409.5" x14ac:dyDescent="0.25">
      <c r="A31" s="2" t="s">
        <v>547</v>
      </c>
      <c r="B31" s="2">
        <v>2019</v>
      </c>
      <c r="C31" s="2" t="s">
        <v>78</v>
      </c>
      <c r="D31" s="2" t="s">
        <v>79</v>
      </c>
      <c r="E31" s="2" t="s">
        <v>79</v>
      </c>
      <c r="F31" s="2" t="s">
        <v>79</v>
      </c>
      <c r="G31" s="2" t="s">
        <v>80</v>
      </c>
      <c r="H31" s="2" t="s">
        <v>79</v>
      </c>
      <c r="I31" s="2" t="s">
        <v>79</v>
      </c>
      <c r="J31" s="2" t="s">
        <v>80</v>
      </c>
      <c r="K31" s="2" t="s">
        <v>80</v>
      </c>
      <c r="L31" s="2" t="s">
        <v>79</v>
      </c>
      <c r="M31" s="2" t="s">
        <v>92</v>
      </c>
      <c r="N31" s="2" t="s">
        <v>548</v>
      </c>
      <c r="O31" s="2">
        <v>8.5</v>
      </c>
      <c r="P31" s="2" t="s">
        <v>82</v>
      </c>
      <c r="Q31" s="2" t="s">
        <v>549</v>
      </c>
      <c r="R31" s="2" t="s">
        <v>84</v>
      </c>
      <c r="S31" s="2" t="s">
        <v>84</v>
      </c>
      <c r="T31" s="2" t="s">
        <v>84</v>
      </c>
      <c r="U31" s="2" t="s">
        <v>84</v>
      </c>
      <c r="V31" s="2" t="s">
        <v>84</v>
      </c>
      <c r="W31" s="2" t="s">
        <v>84</v>
      </c>
      <c r="X31" s="2" t="s">
        <v>86</v>
      </c>
      <c r="Y31" s="2" t="s">
        <v>84</v>
      </c>
      <c r="Z31" s="2" t="s">
        <v>85</v>
      </c>
      <c r="AA31" s="2" t="s">
        <v>84</v>
      </c>
      <c r="AB31" s="2" t="s">
        <v>550</v>
      </c>
      <c r="AC31" s="2" t="s">
        <v>92</v>
      </c>
      <c r="AD31" s="2" t="s">
        <v>551</v>
      </c>
      <c r="AE31" s="2" t="s">
        <v>89</v>
      </c>
      <c r="AF31" s="2" t="s">
        <v>79</v>
      </c>
      <c r="AG31" s="2" t="s">
        <v>90</v>
      </c>
      <c r="AH31" s="2" t="s">
        <v>92</v>
      </c>
      <c r="AI31" s="2" t="s">
        <v>552</v>
      </c>
      <c r="AJ31" s="2"/>
      <c r="AK31" s="2"/>
      <c r="AL31" s="2"/>
      <c r="AM31" s="2" t="s">
        <v>92</v>
      </c>
      <c r="AN31" s="2" t="s">
        <v>553</v>
      </c>
      <c r="AO31" s="2" t="s">
        <v>554</v>
      </c>
      <c r="AP31" s="2" t="s">
        <v>95</v>
      </c>
      <c r="AQ31" s="2" t="s">
        <v>555</v>
      </c>
      <c r="AR31" s="2" t="s">
        <v>556</v>
      </c>
      <c r="AS31" s="2"/>
      <c r="AT31" s="2"/>
      <c r="AU31" s="2" t="s">
        <v>557</v>
      </c>
      <c r="AV31" s="2" t="s">
        <v>558</v>
      </c>
      <c r="AW31" s="2"/>
      <c r="AX31" s="2"/>
      <c r="AY31" s="2"/>
      <c r="AZ31" s="2" t="s">
        <v>92</v>
      </c>
      <c r="BA31" s="2" t="s">
        <v>559</v>
      </c>
      <c r="BB31" s="2" t="s">
        <v>100</v>
      </c>
      <c r="BC31" s="2" t="s">
        <v>560</v>
      </c>
      <c r="BD31" s="2" t="s">
        <v>102</v>
      </c>
      <c r="BE31" s="2"/>
      <c r="BF31" s="2" t="s">
        <v>561</v>
      </c>
      <c r="BG31" s="2" t="s">
        <v>153</v>
      </c>
      <c r="BH31" s="2" t="s">
        <v>562</v>
      </c>
      <c r="BI31" s="2" t="s">
        <v>79</v>
      </c>
      <c r="BJ31" s="2" t="s">
        <v>563</v>
      </c>
      <c r="BK31" s="2" t="s">
        <v>564</v>
      </c>
      <c r="BL31" s="2" t="s">
        <v>79</v>
      </c>
      <c r="BM31" s="2" t="s">
        <v>109</v>
      </c>
    </row>
    <row r="32" spans="1:65" ht="409.5" x14ac:dyDescent="0.25">
      <c r="A32" s="2" t="s">
        <v>565</v>
      </c>
      <c r="B32" s="2">
        <v>2019</v>
      </c>
      <c r="C32" s="2" t="s">
        <v>566</v>
      </c>
      <c r="D32" s="2" t="s">
        <v>79</v>
      </c>
      <c r="E32" s="2" t="s">
        <v>79</v>
      </c>
      <c r="F32" s="2" t="s">
        <v>79</v>
      </c>
      <c r="G32" s="2" t="s">
        <v>80</v>
      </c>
      <c r="H32" s="2" t="s">
        <v>79</v>
      </c>
      <c r="I32" s="2" t="s">
        <v>79</v>
      </c>
      <c r="J32" s="2" t="s">
        <v>80</v>
      </c>
      <c r="K32" s="2" t="s">
        <v>80</v>
      </c>
      <c r="L32" s="2" t="s">
        <v>79</v>
      </c>
      <c r="M32" s="2" t="s">
        <v>79</v>
      </c>
      <c r="N32" s="2" t="s">
        <v>224</v>
      </c>
      <c r="O32" s="2">
        <v>8.5</v>
      </c>
      <c r="P32" s="2" t="s">
        <v>82</v>
      </c>
      <c r="Q32" s="2" t="s">
        <v>567</v>
      </c>
      <c r="R32" s="2" t="s">
        <v>84</v>
      </c>
      <c r="S32" s="2" t="s">
        <v>84</v>
      </c>
      <c r="T32" s="2" t="s">
        <v>84</v>
      </c>
      <c r="U32" s="2" t="s">
        <v>84</v>
      </c>
      <c r="V32" s="2" t="s">
        <v>84</v>
      </c>
      <c r="W32" s="2" t="s">
        <v>84</v>
      </c>
      <c r="X32" s="2" t="s">
        <v>86</v>
      </c>
      <c r="Y32" s="2" t="s">
        <v>84</v>
      </c>
      <c r="Z32" s="2" t="s">
        <v>85</v>
      </c>
      <c r="AA32" s="2" t="s">
        <v>84</v>
      </c>
      <c r="AB32" s="2" t="s">
        <v>568</v>
      </c>
      <c r="AC32" s="2" t="s">
        <v>79</v>
      </c>
      <c r="AD32" s="2" t="s">
        <v>569</v>
      </c>
      <c r="AE32" s="2" t="s">
        <v>89</v>
      </c>
      <c r="AF32" s="2" t="s">
        <v>79</v>
      </c>
      <c r="AG32" s="2" t="s">
        <v>116</v>
      </c>
      <c r="AH32" s="2" t="s">
        <v>79</v>
      </c>
      <c r="AI32" s="2" t="s">
        <v>570</v>
      </c>
      <c r="AJ32" s="2"/>
      <c r="AK32" s="2"/>
      <c r="AL32" s="2"/>
      <c r="AM32" s="2" t="s">
        <v>92</v>
      </c>
      <c r="AN32" s="2" t="s">
        <v>118</v>
      </c>
      <c r="AO32" s="2" t="s">
        <v>571</v>
      </c>
      <c r="AP32" s="2" t="s">
        <v>95</v>
      </c>
      <c r="AQ32" s="2" t="s">
        <v>572</v>
      </c>
      <c r="AR32" s="2" t="s">
        <v>573</v>
      </c>
      <c r="AS32" s="2"/>
      <c r="AT32" s="2"/>
      <c r="AU32" s="2" t="s">
        <v>574</v>
      </c>
      <c r="AV32" s="2" t="s">
        <v>575</v>
      </c>
      <c r="AW32" s="2"/>
      <c r="AX32" s="2"/>
      <c r="AY32" s="2"/>
      <c r="AZ32" s="2" t="s">
        <v>92</v>
      </c>
      <c r="BA32" s="2" t="s">
        <v>576</v>
      </c>
      <c r="BB32" s="2" t="s">
        <v>100</v>
      </c>
      <c r="BC32" s="2" t="s">
        <v>577</v>
      </c>
      <c r="BD32" s="2" t="s">
        <v>102</v>
      </c>
      <c r="BE32" s="2"/>
      <c r="BF32" s="2" t="s">
        <v>578</v>
      </c>
      <c r="BG32" s="2" t="s">
        <v>153</v>
      </c>
      <c r="BH32" s="2" t="s">
        <v>579</v>
      </c>
      <c r="BI32" s="2" t="s">
        <v>79</v>
      </c>
      <c r="BJ32" s="2" t="s">
        <v>563</v>
      </c>
      <c r="BK32" s="2" t="s">
        <v>580</v>
      </c>
      <c r="BL32" s="2" t="s">
        <v>79</v>
      </c>
      <c r="BM32" s="2" t="s">
        <v>109</v>
      </c>
    </row>
    <row r="33" spans="1:65" ht="409.5" x14ac:dyDescent="0.25">
      <c r="A33" s="2" t="s">
        <v>581</v>
      </c>
      <c r="B33" s="2">
        <v>2019</v>
      </c>
      <c r="C33" s="2" t="s">
        <v>111</v>
      </c>
      <c r="D33" s="2" t="s">
        <v>79</v>
      </c>
      <c r="E33" s="2" t="s">
        <v>79</v>
      </c>
      <c r="F33" s="2" t="s">
        <v>79</v>
      </c>
      <c r="G33" s="2" t="s">
        <v>80</v>
      </c>
      <c r="H33" s="2" t="s">
        <v>79</v>
      </c>
      <c r="I33" s="2" t="s">
        <v>79</v>
      </c>
      <c r="J33" s="2" t="s">
        <v>80</v>
      </c>
      <c r="K33" s="2" t="s">
        <v>80</v>
      </c>
      <c r="L33" s="2" t="s">
        <v>79</v>
      </c>
      <c r="M33" s="2" t="s">
        <v>79</v>
      </c>
      <c r="N33" s="2" t="s">
        <v>224</v>
      </c>
      <c r="O33" s="2">
        <v>8.5</v>
      </c>
      <c r="P33" s="2" t="s">
        <v>82</v>
      </c>
      <c r="Q33" s="2" t="s">
        <v>582</v>
      </c>
      <c r="R33" s="2" t="s">
        <v>84</v>
      </c>
      <c r="S33" s="2" t="s">
        <v>84</v>
      </c>
      <c r="T33" s="2" t="s">
        <v>84</v>
      </c>
      <c r="U33" s="2" t="s">
        <v>84</v>
      </c>
      <c r="V33" s="2" t="s">
        <v>84</v>
      </c>
      <c r="W33" s="2" t="s">
        <v>84</v>
      </c>
      <c r="X33" s="2" t="s">
        <v>86</v>
      </c>
      <c r="Y33" s="2" t="s">
        <v>84</v>
      </c>
      <c r="Z33" s="2" t="s">
        <v>85</v>
      </c>
      <c r="AA33" s="2" t="s">
        <v>84</v>
      </c>
      <c r="AB33" s="2" t="s">
        <v>583</v>
      </c>
      <c r="AC33" s="2" t="s">
        <v>79</v>
      </c>
      <c r="AD33" s="2" t="s">
        <v>584</v>
      </c>
      <c r="AE33" s="2" t="s">
        <v>89</v>
      </c>
      <c r="AF33" s="2" t="s">
        <v>79</v>
      </c>
      <c r="AG33" s="2" t="s">
        <v>116</v>
      </c>
      <c r="AH33" s="2" t="s">
        <v>92</v>
      </c>
      <c r="AI33" s="2" t="s">
        <v>585</v>
      </c>
      <c r="AJ33" s="2"/>
      <c r="AK33" s="2"/>
      <c r="AL33" s="2"/>
      <c r="AM33" s="2" t="s">
        <v>92</v>
      </c>
      <c r="AN33" s="2" t="s">
        <v>465</v>
      </c>
      <c r="AO33" s="2" t="s">
        <v>586</v>
      </c>
      <c r="AP33" s="2" t="s">
        <v>95</v>
      </c>
      <c r="AQ33" s="2" t="s">
        <v>587</v>
      </c>
      <c r="AR33" s="2" t="s">
        <v>588</v>
      </c>
      <c r="AS33" s="2"/>
      <c r="AT33" s="2"/>
      <c r="AU33" s="2" t="s">
        <v>589</v>
      </c>
      <c r="AV33" s="2" t="s">
        <v>590</v>
      </c>
      <c r="AW33" s="2"/>
      <c r="AX33" s="2"/>
      <c r="AY33" s="2"/>
      <c r="AZ33" s="2" t="s">
        <v>92</v>
      </c>
      <c r="BA33" s="2" t="s">
        <v>591</v>
      </c>
      <c r="BB33" s="2" t="s">
        <v>100</v>
      </c>
      <c r="BC33" s="2" t="s">
        <v>592</v>
      </c>
      <c r="BD33" s="2" t="s">
        <v>102</v>
      </c>
      <c r="BE33" s="2"/>
      <c r="BF33" s="2" t="s">
        <v>593</v>
      </c>
      <c r="BG33" s="2" t="s">
        <v>153</v>
      </c>
      <c r="BH33" s="2" t="s">
        <v>594</v>
      </c>
      <c r="BI33" s="2" t="s">
        <v>79</v>
      </c>
      <c r="BJ33" s="2" t="s">
        <v>563</v>
      </c>
      <c r="BK33" s="2" t="s">
        <v>595</v>
      </c>
      <c r="BL33" s="2" t="s">
        <v>79</v>
      </c>
      <c r="BM33" s="2" t="s">
        <v>172</v>
      </c>
    </row>
    <row r="34" spans="1:65" ht="409.5" x14ac:dyDescent="0.25">
      <c r="A34" s="2" t="s">
        <v>596</v>
      </c>
      <c r="B34" s="2">
        <v>2019</v>
      </c>
      <c r="C34" s="2" t="s">
        <v>78</v>
      </c>
      <c r="D34" s="2" t="s">
        <v>79</v>
      </c>
      <c r="E34" s="2" t="s">
        <v>79</v>
      </c>
      <c r="F34" s="2" t="s">
        <v>79</v>
      </c>
      <c r="G34" s="2" t="s">
        <v>80</v>
      </c>
      <c r="H34" s="2" t="s">
        <v>79</v>
      </c>
      <c r="I34" s="2" t="s">
        <v>79</v>
      </c>
      <c r="J34" s="2" t="s">
        <v>80</v>
      </c>
      <c r="K34" s="2" t="s">
        <v>80</v>
      </c>
      <c r="L34" s="2" t="s">
        <v>79</v>
      </c>
      <c r="M34" s="2" t="s">
        <v>92</v>
      </c>
      <c r="N34" s="2" t="s">
        <v>224</v>
      </c>
      <c r="O34" s="2">
        <v>8.5</v>
      </c>
      <c r="P34" s="2" t="s">
        <v>82</v>
      </c>
      <c r="Q34" s="2" t="s">
        <v>597</v>
      </c>
      <c r="R34" s="2" t="s">
        <v>84</v>
      </c>
      <c r="S34" s="2" t="s">
        <v>84</v>
      </c>
      <c r="T34" s="2" t="s">
        <v>84</v>
      </c>
      <c r="U34" s="2" t="s">
        <v>84</v>
      </c>
      <c r="V34" s="2" t="s">
        <v>84</v>
      </c>
      <c r="W34" s="2" t="s">
        <v>84</v>
      </c>
      <c r="X34" s="2" t="s">
        <v>86</v>
      </c>
      <c r="Y34" s="2" t="s">
        <v>84</v>
      </c>
      <c r="Z34" s="2" t="s">
        <v>85</v>
      </c>
      <c r="AA34" s="2" t="s">
        <v>84</v>
      </c>
      <c r="AB34" s="2" t="s">
        <v>598</v>
      </c>
      <c r="AC34" s="2" t="s">
        <v>79</v>
      </c>
      <c r="AD34" s="2" t="s">
        <v>599</v>
      </c>
      <c r="AE34" s="2" t="s">
        <v>89</v>
      </c>
      <c r="AF34" s="2" t="s">
        <v>79</v>
      </c>
      <c r="AG34" s="2" t="s">
        <v>90</v>
      </c>
      <c r="AH34" s="2" t="s">
        <v>92</v>
      </c>
      <c r="AI34" s="2" t="s">
        <v>600</v>
      </c>
      <c r="AJ34" s="2"/>
      <c r="AK34" s="2"/>
      <c r="AL34" s="2"/>
      <c r="AM34" s="2" t="s">
        <v>92</v>
      </c>
      <c r="AN34" s="2" t="s">
        <v>601</v>
      </c>
      <c r="AO34" s="2" t="s">
        <v>602</v>
      </c>
      <c r="AP34" s="2" t="s">
        <v>95</v>
      </c>
      <c r="AQ34" s="2" t="s">
        <v>603</v>
      </c>
      <c r="AR34" s="2" t="s">
        <v>604</v>
      </c>
      <c r="AS34" s="2"/>
      <c r="AT34" s="2"/>
      <c r="AU34" s="2" t="s">
        <v>605</v>
      </c>
      <c r="AV34" s="2" t="s">
        <v>606</v>
      </c>
      <c r="AW34" s="2"/>
      <c r="AX34" s="2"/>
      <c r="AY34" s="2"/>
      <c r="AZ34" s="2" t="s">
        <v>92</v>
      </c>
      <c r="BA34" s="2" t="s">
        <v>607</v>
      </c>
      <c r="BB34" s="2" t="s">
        <v>100</v>
      </c>
      <c r="BC34" s="2" t="s">
        <v>608</v>
      </c>
      <c r="BD34" s="2" t="s">
        <v>102</v>
      </c>
      <c r="BE34" s="2"/>
      <c r="BF34" s="2" t="s">
        <v>609</v>
      </c>
      <c r="BG34" s="2" t="s">
        <v>104</v>
      </c>
      <c r="BH34" s="2" t="s">
        <v>610</v>
      </c>
      <c r="BI34" s="2" t="s">
        <v>79</v>
      </c>
      <c r="BJ34" s="2" t="s">
        <v>563</v>
      </c>
      <c r="BK34" s="2" t="s">
        <v>611</v>
      </c>
      <c r="BL34" s="2" t="s">
        <v>79</v>
      </c>
      <c r="BM34" s="2" t="s">
        <v>109</v>
      </c>
    </row>
    <row r="35" spans="1:65" ht="409.5" x14ac:dyDescent="0.25">
      <c r="A35" s="2" t="s">
        <v>612</v>
      </c>
      <c r="B35" s="2">
        <v>2019</v>
      </c>
      <c r="C35" s="2" t="s">
        <v>78</v>
      </c>
      <c r="D35" s="2" t="s">
        <v>79</v>
      </c>
      <c r="E35" s="2" t="s">
        <v>79</v>
      </c>
      <c r="F35" s="2" t="s">
        <v>79</v>
      </c>
      <c r="G35" s="2" t="s">
        <v>79</v>
      </c>
      <c r="H35" s="2" t="s">
        <v>79</v>
      </c>
      <c r="I35" s="2" t="s">
        <v>79</v>
      </c>
      <c r="J35" s="2" t="s">
        <v>80</v>
      </c>
      <c r="K35" s="2" t="s">
        <v>80</v>
      </c>
      <c r="L35" s="2" t="s">
        <v>92</v>
      </c>
      <c r="M35" s="2" t="s">
        <v>80</v>
      </c>
      <c r="N35" s="2" t="s">
        <v>613</v>
      </c>
      <c r="O35" s="2">
        <v>9.5</v>
      </c>
      <c r="P35" s="2" t="s">
        <v>82</v>
      </c>
      <c r="Q35" s="2" t="s">
        <v>614</v>
      </c>
      <c r="R35" s="2" t="s">
        <v>84</v>
      </c>
      <c r="S35" s="2" t="s">
        <v>84</v>
      </c>
      <c r="T35" s="2" t="s">
        <v>84</v>
      </c>
      <c r="U35" s="2" t="s">
        <v>84</v>
      </c>
      <c r="V35" s="2" t="s">
        <v>84</v>
      </c>
      <c r="W35" s="2" t="s">
        <v>84</v>
      </c>
      <c r="X35" s="2" t="s">
        <v>84</v>
      </c>
      <c r="Y35" s="2" t="s">
        <v>84</v>
      </c>
      <c r="Z35" s="2" t="s">
        <v>85</v>
      </c>
      <c r="AA35" s="2" t="s">
        <v>84</v>
      </c>
      <c r="AB35" s="2" t="s">
        <v>615</v>
      </c>
      <c r="AC35" s="2" t="s">
        <v>92</v>
      </c>
      <c r="AD35" s="2" t="s">
        <v>616</v>
      </c>
      <c r="AE35" s="2" t="s">
        <v>143</v>
      </c>
      <c r="AF35" s="2" t="s">
        <v>79</v>
      </c>
      <c r="AG35" s="2" t="s">
        <v>194</v>
      </c>
      <c r="AH35" s="2" t="s">
        <v>92</v>
      </c>
      <c r="AI35" s="2" t="s">
        <v>617</v>
      </c>
      <c r="AJ35" s="2" t="s">
        <v>618</v>
      </c>
      <c r="AK35" s="2" t="s">
        <v>619</v>
      </c>
      <c r="AL35" s="2" t="s">
        <v>620</v>
      </c>
      <c r="AM35" s="2" t="s">
        <v>92</v>
      </c>
      <c r="AN35" s="2" t="s">
        <v>93</v>
      </c>
      <c r="AO35" s="2" t="s">
        <v>621</v>
      </c>
      <c r="AP35" s="2" t="s">
        <v>95</v>
      </c>
      <c r="AQ35" s="2" t="s">
        <v>622</v>
      </c>
      <c r="AR35" s="2" t="s">
        <v>623</v>
      </c>
      <c r="AS35" s="2"/>
      <c r="AT35" s="2"/>
      <c r="AU35" s="2" t="s">
        <v>624</v>
      </c>
      <c r="AV35" s="2" t="s">
        <v>625</v>
      </c>
      <c r="AW35" s="2"/>
      <c r="AX35" s="2"/>
      <c r="AY35" s="2"/>
      <c r="AZ35" s="2" t="s">
        <v>92</v>
      </c>
      <c r="BA35" s="2" t="s">
        <v>626</v>
      </c>
      <c r="BB35" s="2" t="s">
        <v>303</v>
      </c>
      <c r="BC35" s="2" t="s">
        <v>627</v>
      </c>
      <c r="BD35" s="2" t="s">
        <v>514</v>
      </c>
      <c r="BE35" s="2" t="s">
        <v>628</v>
      </c>
      <c r="BF35" s="2" t="s">
        <v>629</v>
      </c>
      <c r="BG35" s="2" t="s">
        <v>104</v>
      </c>
      <c r="BH35" s="2" t="s">
        <v>630</v>
      </c>
      <c r="BI35" s="2" t="s">
        <v>79</v>
      </c>
      <c r="BJ35" s="2" t="s">
        <v>631</v>
      </c>
      <c r="BK35" s="2" t="s">
        <v>632</v>
      </c>
      <c r="BL35" s="2" t="s">
        <v>79</v>
      </c>
      <c r="BM35" s="2" t="s">
        <v>109</v>
      </c>
    </row>
    <row r="36" spans="1:65" ht="409.5" x14ac:dyDescent="0.25">
      <c r="A36" s="2" t="s">
        <v>633</v>
      </c>
      <c r="B36" s="2">
        <v>2019</v>
      </c>
      <c r="C36" s="2" t="s">
        <v>111</v>
      </c>
      <c r="D36" s="2" t="s">
        <v>79</v>
      </c>
      <c r="E36" s="2" t="s">
        <v>79</v>
      </c>
      <c r="F36" s="2" t="s">
        <v>79</v>
      </c>
      <c r="G36" s="2" t="s">
        <v>80</v>
      </c>
      <c r="H36" s="2" t="s">
        <v>79</v>
      </c>
      <c r="I36" s="2" t="s">
        <v>79</v>
      </c>
      <c r="J36" s="2" t="s">
        <v>80</v>
      </c>
      <c r="K36" s="2" t="s">
        <v>80</v>
      </c>
      <c r="L36" s="2" t="s">
        <v>92</v>
      </c>
      <c r="M36" s="2" t="s">
        <v>80</v>
      </c>
      <c r="N36" s="2" t="s">
        <v>634</v>
      </c>
      <c r="O36" s="2">
        <v>8.5</v>
      </c>
      <c r="P36" s="2" t="s">
        <v>82</v>
      </c>
      <c r="Q36" s="2" t="s">
        <v>635</v>
      </c>
      <c r="R36" s="2" t="s">
        <v>84</v>
      </c>
      <c r="S36" s="2" t="s">
        <v>84</v>
      </c>
      <c r="T36" s="2" t="s">
        <v>84</v>
      </c>
      <c r="U36" s="2" t="s">
        <v>84</v>
      </c>
      <c r="V36" s="2" t="s">
        <v>84</v>
      </c>
      <c r="W36" s="2" t="s">
        <v>84</v>
      </c>
      <c r="X36" s="2" t="s">
        <v>86</v>
      </c>
      <c r="Y36" s="2" t="s">
        <v>85</v>
      </c>
      <c r="Z36" s="2" t="s">
        <v>84</v>
      </c>
      <c r="AA36" s="2" t="s">
        <v>84</v>
      </c>
      <c r="AB36" s="2" t="s">
        <v>636</v>
      </c>
      <c r="AC36" s="2" t="s">
        <v>92</v>
      </c>
      <c r="AD36" s="2" t="s">
        <v>637</v>
      </c>
      <c r="AE36" s="2" t="s">
        <v>143</v>
      </c>
      <c r="AF36" s="2" t="s">
        <v>106</v>
      </c>
      <c r="AG36" s="2" t="s">
        <v>90</v>
      </c>
      <c r="AH36" s="2" t="s">
        <v>92</v>
      </c>
      <c r="AI36" s="2" t="s">
        <v>638</v>
      </c>
      <c r="AJ36" s="2"/>
      <c r="AK36" s="2"/>
      <c r="AL36" s="2"/>
      <c r="AM36" s="2" t="s">
        <v>92</v>
      </c>
      <c r="AN36" s="2" t="s">
        <v>639</v>
      </c>
      <c r="AO36" s="2" t="s">
        <v>640</v>
      </c>
      <c r="AP36" s="2" t="s">
        <v>95</v>
      </c>
      <c r="AQ36" s="2" t="s">
        <v>641</v>
      </c>
      <c r="AR36" s="2" t="s">
        <v>642</v>
      </c>
      <c r="AS36" s="2"/>
      <c r="AT36" s="2"/>
      <c r="AU36" s="2" t="s">
        <v>643</v>
      </c>
      <c r="AV36" s="2" t="s">
        <v>644</v>
      </c>
      <c r="AW36" s="2"/>
      <c r="AX36" s="2"/>
      <c r="AY36" s="2"/>
      <c r="AZ36" s="2" t="s">
        <v>92</v>
      </c>
      <c r="BA36" s="2" t="s">
        <v>645</v>
      </c>
      <c r="BB36" s="2" t="s">
        <v>303</v>
      </c>
      <c r="BC36" s="2" t="s">
        <v>646</v>
      </c>
      <c r="BD36" s="2" t="s">
        <v>514</v>
      </c>
      <c r="BE36" s="2" t="s">
        <v>168</v>
      </c>
      <c r="BF36" s="2" t="s">
        <v>647</v>
      </c>
      <c r="BG36" s="2" t="s">
        <v>648</v>
      </c>
      <c r="BH36" s="2" t="s">
        <v>649</v>
      </c>
      <c r="BI36" s="2" t="s">
        <v>79</v>
      </c>
      <c r="BJ36" s="2" t="s">
        <v>143</v>
      </c>
      <c r="BK36" s="2" t="s">
        <v>650</v>
      </c>
      <c r="BL36" s="2" t="s">
        <v>79</v>
      </c>
      <c r="BM36" s="2" t="s">
        <v>109</v>
      </c>
    </row>
    <row r="37" spans="1:65" ht="409.5" x14ac:dyDescent="0.25">
      <c r="A37" s="2" t="s">
        <v>651</v>
      </c>
      <c r="B37" s="2">
        <v>2019</v>
      </c>
      <c r="C37" s="2" t="s">
        <v>111</v>
      </c>
      <c r="D37" s="2" t="s">
        <v>79</v>
      </c>
      <c r="E37" s="2" t="s">
        <v>79</v>
      </c>
      <c r="F37" s="2" t="s">
        <v>80</v>
      </c>
      <c r="G37" s="2" t="s">
        <v>80</v>
      </c>
      <c r="H37" s="2" t="s">
        <v>79</v>
      </c>
      <c r="I37" s="2" t="s">
        <v>79</v>
      </c>
      <c r="J37" s="2" t="s">
        <v>80</v>
      </c>
      <c r="K37" s="2" t="s">
        <v>80</v>
      </c>
      <c r="L37" s="2" t="s">
        <v>80</v>
      </c>
      <c r="M37" s="2" t="s">
        <v>80</v>
      </c>
      <c r="N37" s="2" t="s">
        <v>224</v>
      </c>
      <c r="O37" s="2">
        <v>8.5</v>
      </c>
      <c r="P37" s="2" t="s">
        <v>82</v>
      </c>
      <c r="Q37" s="2" t="s">
        <v>652</v>
      </c>
      <c r="R37" s="2" t="s">
        <v>84</v>
      </c>
      <c r="S37" s="2" t="s">
        <v>84</v>
      </c>
      <c r="T37" s="2" t="s">
        <v>84</v>
      </c>
      <c r="U37" s="2" t="s">
        <v>84</v>
      </c>
      <c r="V37" s="2" t="s">
        <v>84</v>
      </c>
      <c r="W37" s="2" t="s">
        <v>84</v>
      </c>
      <c r="X37" s="2" t="s">
        <v>86</v>
      </c>
      <c r="Y37" s="2" t="s">
        <v>84</v>
      </c>
      <c r="Z37" s="2" t="s">
        <v>85</v>
      </c>
      <c r="AA37" s="2" t="s">
        <v>84</v>
      </c>
      <c r="AB37" s="2" t="s">
        <v>653</v>
      </c>
      <c r="AC37" s="2" t="s">
        <v>79</v>
      </c>
      <c r="AD37" s="2" t="s">
        <v>654</v>
      </c>
      <c r="AE37" s="2" t="s">
        <v>478</v>
      </c>
      <c r="AF37" s="2" t="s">
        <v>106</v>
      </c>
      <c r="AG37" s="2" t="s">
        <v>116</v>
      </c>
      <c r="AH37" s="2" t="s">
        <v>92</v>
      </c>
      <c r="AI37" s="2" t="s">
        <v>655</v>
      </c>
      <c r="AJ37" s="2"/>
      <c r="AK37" s="2"/>
      <c r="AL37" s="2"/>
      <c r="AM37" s="2" t="s">
        <v>92</v>
      </c>
      <c r="AN37" s="2" t="s">
        <v>656</v>
      </c>
      <c r="AO37" s="2" t="s">
        <v>657</v>
      </c>
      <c r="AP37" s="2" t="s">
        <v>95</v>
      </c>
      <c r="AQ37" s="2" t="s">
        <v>658</v>
      </c>
      <c r="AR37" s="2" t="s">
        <v>659</v>
      </c>
      <c r="AS37" s="2"/>
      <c r="AT37" s="2"/>
      <c r="AU37" s="2" t="s">
        <v>660</v>
      </c>
      <c r="AV37" s="2" t="s">
        <v>661</v>
      </c>
      <c r="AW37" s="2"/>
      <c r="AX37" s="2"/>
      <c r="AY37" s="2"/>
      <c r="AZ37" s="2" t="s">
        <v>106</v>
      </c>
      <c r="BA37" s="2"/>
      <c r="BB37" s="2" t="s">
        <v>100</v>
      </c>
      <c r="BC37" s="2" t="s">
        <v>662</v>
      </c>
      <c r="BD37" s="2" t="s">
        <v>102</v>
      </c>
      <c r="BE37" s="2"/>
      <c r="BF37" s="2" t="s">
        <v>663</v>
      </c>
      <c r="BG37" s="2" t="s">
        <v>153</v>
      </c>
      <c r="BH37" s="2"/>
      <c r="BI37" s="2" t="s">
        <v>79</v>
      </c>
      <c r="BJ37" s="2" t="s">
        <v>107</v>
      </c>
      <c r="BK37" s="2" t="s">
        <v>664</v>
      </c>
      <c r="BL37" s="2" t="s">
        <v>79</v>
      </c>
      <c r="BM37" s="2" t="s">
        <v>109</v>
      </c>
    </row>
    <row r="38" spans="1:65" ht="409.5" x14ac:dyDescent="0.25">
      <c r="A38" s="2" t="s">
        <v>665</v>
      </c>
      <c r="B38" s="2">
        <v>2019</v>
      </c>
      <c r="C38" s="2" t="s">
        <v>111</v>
      </c>
      <c r="D38" s="2" t="s">
        <v>79</v>
      </c>
      <c r="E38" s="2" t="s">
        <v>79</v>
      </c>
      <c r="F38" s="2" t="s">
        <v>80</v>
      </c>
      <c r="G38" s="2" t="s">
        <v>80</v>
      </c>
      <c r="H38" s="2" t="s">
        <v>79</v>
      </c>
      <c r="I38" s="2" t="s">
        <v>79</v>
      </c>
      <c r="J38" s="2" t="s">
        <v>80</v>
      </c>
      <c r="K38" s="2" t="s">
        <v>80</v>
      </c>
      <c r="L38" s="2" t="s">
        <v>79</v>
      </c>
      <c r="M38" s="2" t="s">
        <v>79</v>
      </c>
      <c r="N38" s="2" t="s">
        <v>224</v>
      </c>
      <c r="O38" s="2">
        <v>8.5</v>
      </c>
      <c r="P38" s="2" t="s">
        <v>82</v>
      </c>
      <c r="Q38" s="2" t="s">
        <v>666</v>
      </c>
      <c r="R38" s="2" t="s">
        <v>84</v>
      </c>
      <c r="S38" s="2" t="s">
        <v>84</v>
      </c>
      <c r="T38" s="2" t="s">
        <v>84</v>
      </c>
      <c r="U38" s="2" t="s">
        <v>84</v>
      </c>
      <c r="V38" s="2" t="s">
        <v>84</v>
      </c>
      <c r="W38" s="2" t="s">
        <v>84</v>
      </c>
      <c r="X38" s="2" t="s">
        <v>86</v>
      </c>
      <c r="Y38" s="2" t="s">
        <v>84</v>
      </c>
      <c r="Z38" s="2" t="s">
        <v>85</v>
      </c>
      <c r="AA38" s="2" t="s">
        <v>84</v>
      </c>
      <c r="AB38" s="2" t="s">
        <v>667</v>
      </c>
      <c r="AC38" s="2" t="s">
        <v>79</v>
      </c>
      <c r="AD38" s="2" t="s">
        <v>668</v>
      </c>
      <c r="AE38" s="2" t="s">
        <v>89</v>
      </c>
      <c r="AF38" s="2" t="s">
        <v>79</v>
      </c>
      <c r="AG38" s="2" t="s">
        <v>116</v>
      </c>
      <c r="AH38" s="2" t="s">
        <v>92</v>
      </c>
      <c r="AI38" s="2" t="s">
        <v>669</v>
      </c>
      <c r="AJ38" s="2"/>
      <c r="AK38" s="2"/>
      <c r="AL38" s="2"/>
      <c r="AM38" s="2" t="s">
        <v>92</v>
      </c>
      <c r="AN38" s="2" t="s">
        <v>161</v>
      </c>
      <c r="AO38" s="2" t="s">
        <v>670</v>
      </c>
      <c r="AP38" s="2" t="s">
        <v>95</v>
      </c>
      <c r="AQ38" s="2" t="s">
        <v>671</v>
      </c>
      <c r="AR38" s="2" t="s">
        <v>672</v>
      </c>
      <c r="AS38" s="2"/>
      <c r="AT38" s="2"/>
      <c r="AU38" s="2" t="s">
        <v>673</v>
      </c>
      <c r="AV38" s="2" t="s">
        <v>674</v>
      </c>
      <c r="AW38" s="2"/>
      <c r="AX38" s="2"/>
      <c r="AY38" s="2"/>
      <c r="AZ38" s="2" t="s">
        <v>106</v>
      </c>
      <c r="BA38" s="2"/>
      <c r="BB38" s="2" t="s">
        <v>100</v>
      </c>
      <c r="BC38" s="2" t="s">
        <v>675</v>
      </c>
      <c r="BD38" s="2" t="s">
        <v>102</v>
      </c>
      <c r="BE38" s="2" t="s">
        <v>676</v>
      </c>
      <c r="BF38" s="2" t="s">
        <v>677</v>
      </c>
      <c r="BG38" s="2" t="s">
        <v>104</v>
      </c>
      <c r="BH38" s="2" t="s">
        <v>678</v>
      </c>
      <c r="BI38" s="2" t="s">
        <v>79</v>
      </c>
      <c r="BJ38" s="2" t="s">
        <v>107</v>
      </c>
      <c r="BK38" s="2" t="s">
        <v>679</v>
      </c>
      <c r="BL38" s="2" t="s">
        <v>79</v>
      </c>
      <c r="BM38" s="2" t="s">
        <v>172</v>
      </c>
    </row>
    <row r="39" spans="1:65" ht="409.5" x14ac:dyDescent="0.25">
      <c r="A39" s="2" t="s">
        <v>680</v>
      </c>
      <c r="B39" s="2">
        <v>2019</v>
      </c>
      <c r="C39" s="2" t="s">
        <v>111</v>
      </c>
      <c r="D39" s="2" t="s">
        <v>79</v>
      </c>
      <c r="E39" s="2" t="s">
        <v>79</v>
      </c>
      <c r="F39" s="2" t="s">
        <v>80</v>
      </c>
      <c r="G39" s="2" t="s">
        <v>80</v>
      </c>
      <c r="H39" s="2" t="s">
        <v>79</v>
      </c>
      <c r="I39" s="2" t="s">
        <v>79</v>
      </c>
      <c r="J39" s="2" t="s">
        <v>80</v>
      </c>
      <c r="K39" s="2" t="s">
        <v>80</v>
      </c>
      <c r="L39" s="2" t="s">
        <v>92</v>
      </c>
      <c r="M39" s="2" t="s">
        <v>80</v>
      </c>
      <c r="N39" s="2" t="s">
        <v>271</v>
      </c>
      <c r="O39" s="2">
        <v>8.5</v>
      </c>
      <c r="P39" s="2" t="s">
        <v>82</v>
      </c>
      <c r="Q39" s="2" t="s">
        <v>681</v>
      </c>
      <c r="R39" s="2" t="s">
        <v>84</v>
      </c>
      <c r="S39" s="2" t="s">
        <v>84</v>
      </c>
      <c r="T39" s="2" t="s">
        <v>84</v>
      </c>
      <c r="U39" s="2" t="s">
        <v>84</v>
      </c>
      <c r="V39" s="2" t="s">
        <v>84</v>
      </c>
      <c r="W39" s="2" t="s">
        <v>84</v>
      </c>
      <c r="X39" s="2" t="s">
        <v>86</v>
      </c>
      <c r="Y39" s="2" t="s">
        <v>84</v>
      </c>
      <c r="Z39" s="2" t="s">
        <v>85</v>
      </c>
      <c r="AA39" s="2" t="s">
        <v>84</v>
      </c>
      <c r="AB39" s="2" t="s">
        <v>682</v>
      </c>
      <c r="AC39" s="2" t="s">
        <v>79</v>
      </c>
      <c r="AD39" s="2" t="s">
        <v>683</v>
      </c>
      <c r="AE39" s="2" t="s">
        <v>89</v>
      </c>
      <c r="AF39" s="2" t="s">
        <v>106</v>
      </c>
      <c r="AG39" s="2" t="s">
        <v>116</v>
      </c>
      <c r="AH39" s="2" t="s">
        <v>92</v>
      </c>
      <c r="AI39" s="2" t="s">
        <v>684</v>
      </c>
      <c r="AJ39" s="2"/>
      <c r="AK39" s="2"/>
      <c r="AL39" s="2"/>
      <c r="AM39" s="2" t="s">
        <v>92</v>
      </c>
      <c r="AN39" s="2" t="s">
        <v>656</v>
      </c>
      <c r="AO39" s="2" t="s">
        <v>685</v>
      </c>
      <c r="AP39" s="2" t="s">
        <v>95</v>
      </c>
      <c r="AQ39" s="2" t="s">
        <v>686</v>
      </c>
      <c r="AR39" s="2" t="s">
        <v>687</v>
      </c>
      <c r="AS39" s="2"/>
      <c r="AT39" s="2"/>
      <c r="AU39" s="2" t="s">
        <v>688</v>
      </c>
      <c r="AV39" s="2" t="s">
        <v>689</v>
      </c>
      <c r="AW39" s="2"/>
      <c r="AX39" s="2"/>
      <c r="AY39" s="2"/>
      <c r="AZ39" s="2" t="s">
        <v>106</v>
      </c>
      <c r="BA39" s="2"/>
      <c r="BB39" s="2" t="s">
        <v>100</v>
      </c>
      <c r="BC39" s="2" t="s">
        <v>690</v>
      </c>
      <c r="BD39" s="2" t="s">
        <v>102</v>
      </c>
      <c r="BE39" s="2" t="s">
        <v>676</v>
      </c>
      <c r="BF39" s="2" t="s">
        <v>691</v>
      </c>
      <c r="BG39" s="2" t="s">
        <v>153</v>
      </c>
      <c r="BH39" s="2" t="s">
        <v>692</v>
      </c>
      <c r="BI39" s="2" t="s">
        <v>79</v>
      </c>
      <c r="BJ39" s="2" t="s">
        <v>429</v>
      </c>
      <c r="BK39" s="2" t="s">
        <v>693</v>
      </c>
      <c r="BL39" s="2" t="s">
        <v>79</v>
      </c>
      <c r="BM39" s="2" t="s">
        <v>109</v>
      </c>
    </row>
    <row r="40" spans="1:65" ht="409.5" x14ac:dyDescent="0.25">
      <c r="A40" s="2" t="s">
        <v>694</v>
      </c>
      <c r="B40" s="2">
        <v>2019</v>
      </c>
      <c r="C40" s="2" t="s">
        <v>111</v>
      </c>
      <c r="D40" s="2" t="s">
        <v>79</v>
      </c>
      <c r="E40" s="2" t="s">
        <v>79</v>
      </c>
      <c r="F40" s="2" t="s">
        <v>79</v>
      </c>
      <c r="G40" s="2" t="s">
        <v>80</v>
      </c>
      <c r="H40" s="2" t="s">
        <v>79</v>
      </c>
      <c r="I40" s="2" t="s">
        <v>79</v>
      </c>
      <c r="J40" s="2" t="s">
        <v>79</v>
      </c>
      <c r="K40" s="2" t="s">
        <v>79</v>
      </c>
      <c r="L40" s="2" t="s">
        <v>92</v>
      </c>
      <c r="M40" s="2" t="s">
        <v>92</v>
      </c>
      <c r="N40" s="2" t="s">
        <v>695</v>
      </c>
      <c r="O40" s="2">
        <v>8</v>
      </c>
      <c r="P40" s="2" t="s">
        <v>82</v>
      </c>
      <c r="Q40" s="2" t="s">
        <v>696</v>
      </c>
      <c r="R40" s="2" t="s">
        <v>84</v>
      </c>
      <c r="S40" s="2" t="s">
        <v>84</v>
      </c>
      <c r="T40" s="2" t="s">
        <v>84</v>
      </c>
      <c r="U40" s="2" t="s">
        <v>84</v>
      </c>
      <c r="V40" s="2" t="s">
        <v>84</v>
      </c>
      <c r="W40" s="2" t="s">
        <v>85</v>
      </c>
      <c r="X40" s="2" t="s">
        <v>86</v>
      </c>
      <c r="Y40" s="2" t="s">
        <v>84</v>
      </c>
      <c r="Z40" s="2" t="s">
        <v>85</v>
      </c>
      <c r="AA40" s="2" t="s">
        <v>84</v>
      </c>
      <c r="AB40" s="2" t="s">
        <v>697</v>
      </c>
      <c r="AC40" s="2" t="s">
        <v>79</v>
      </c>
      <c r="AD40" s="2" t="s">
        <v>698</v>
      </c>
      <c r="AE40" s="2" t="s">
        <v>89</v>
      </c>
      <c r="AF40" s="2" t="s">
        <v>79</v>
      </c>
      <c r="AG40" s="2" t="s">
        <v>194</v>
      </c>
      <c r="AH40" s="2" t="s">
        <v>79</v>
      </c>
      <c r="AI40" s="2" t="s">
        <v>699</v>
      </c>
      <c r="AJ40" s="2"/>
      <c r="AK40" s="2" t="s">
        <v>155</v>
      </c>
      <c r="AL40" s="2"/>
      <c r="AM40" s="2" t="s">
        <v>92</v>
      </c>
      <c r="AN40" s="2" t="s">
        <v>118</v>
      </c>
      <c r="AO40" s="2" t="s">
        <v>700</v>
      </c>
      <c r="AP40" s="2" t="s">
        <v>701</v>
      </c>
      <c r="AQ40" s="2" t="s">
        <v>702</v>
      </c>
      <c r="AR40" s="2" t="s">
        <v>703</v>
      </c>
      <c r="AS40" s="2" t="s">
        <v>704</v>
      </c>
      <c r="AT40" s="2" t="s">
        <v>705</v>
      </c>
      <c r="AU40" s="2"/>
      <c r="AV40" s="2"/>
      <c r="AW40" s="2" t="s">
        <v>79</v>
      </c>
      <c r="AX40" s="2" t="s">
        <v>706</v>
      </c>
      <c r="AY40" s="2" t="s">
        <v>79</v>
      </c>
      <c r="AZ40" s="2" t="s">
        <v>92</v>
      </c>
      <c r="BA40" s="2" t="s">
        <v>707</v>
      </c>
      <c r="BB40" s="2" t="s">
        <v>100</v>
      </c>
      <c r="BC40" s="2" t="s">
        <v>708</v>
      </c>
      <c r="BD40" s="2" t="s">
        <v>709</v>
      </c>
      <c r="BE40" s="2" t="s">
        <v>628</v>
      </c>
      <c r="BF40" s="2" t="s">
        <v>710</v>
      </c>
      <c r="BG40" s="2" t="s">
        <v>648</v>
      </c>
      <c r="BH40" s="2" t="s">
        <v>711</v>
      </c>
      <c r="BI40" s="2" t="s">
        <v>79</v>
      </c>
      <c r="BJ40" s="2" t="s">
        <v>266</v>
      </c>
      <c r="BK40" s="2" t="s">
        <v>712</v>
      </c>
      <c r="BL40" s="2" t="s">
        <v>79</v>
      </c>
      <c r="BM40" s="2" t="s">
        <v>109</v>
      </c>
    </row>
    <row r="41" spans="1:65" ht="409.5" x14ac:dyDescent="0.25">
      <c r="A41" s="2" t="s">
        <v>713</v>
      </c>
      <c r="B41" s="2">
        <v>2019</v>
      </c>
      <c r="C41" s="2" t="s">
        <v>566</v>
      </c>
      <c r="D41" s="2" t="s">
        <v>79</v>
      </c>
      <c r="E41" s="2" t="s">
        <v>79</v>
      </c>
      <c r="F41" s="2" t="s">
        <v>79</v>
      </c>
      <c r="G41" s="2" t="s">
        <v>80</v>
      </c>
      <c r="H41" s="2" t="s">
        <v>79</v>
      </c>
      <c r="I41" s="2" t="s">
        <v>79</v>
      </c>
      <c r="J41" s="2" t="s">
        <v>80</v>
      </c>
      <c r="K41" s="2" t="s">
        <v>80</v>
      </c>
      <c r="L41" s="2" t="s">
        <v>80</v>
      </c>
      <c r="M41" s="2" t="s">
        <v>80</v>
      </c>
      <c r="N41" s="2" t="s">
        <v>714</v>
      </c>
      <c r="O41" s="2">
        <v>8.5</v>
      </c>
      <c r="P41" s="2" t="s">
        <v>82</v>
      </c>
      <c r="Q41" s="2" t="s">
        <v>715</v>
      </c>
      <c r="R41" s="2" t="s">
        <v>84</v>
      </c>
      <c r="S41" s="2" t="s">
        <v>84</v>
      </c>
      <c r="T41" s="2" t="s">
        <v>84</v>
      </c>
      <c r="U41" s="2" t="s">
        <v>84</v>
      </c>
      <c r="V41" s="2" t="s">
        <v>84</v>
      </c>
      <c r="W41" s="2" t="s">
        <v>84</v>
      </c>
      <c r="X41" s="2" t="s">
        <v>86</v>
      </c>
      <c r="Y41" s="2" t="s">
        <v>84</v>
      </c>
      <c r="Z41" s="2" t="s">
        <v>85</v>
      </c>
      <c r="AA41" s="2" t="s">
        <v>84</v>
      </c>
      <c r="AB41" s="2" t="s">
        <v>716</v>
      </c>
      <c r="AC41" s="2" t="s">
        <v>92</v>
      </c>
      <c r="AD41" s="2" t="s">
        <v>717</v>
      </c>
      <c r="AE41" s="2" t="s">
        <v>143</v>
      </c>
      <c r="AF41" s="2" t="s">
        <v>106</v>
      </c>
      <c r="AG41" s="2" t="s">
        <v>90</v>
      </c>
      <c r="AH41" s="2" t="s">
        <v>92</v>
      </c>
      <c r="AI41" s="2" t="s">
        <v>718</v>
      </c>
      <c r="AJ41" s="2"/>
      <c r="AK41" s="2"/>
      <c r="AL41" s="2"/>
      <c r="AM41" s="2" t="s">
        <v>92</v>
      </c>
      <c r="AN41" s="2" t="s">
        <v>656</v>
      </c>
      <c r="AO41" s="2" t="s">
        <v>719</v>
      </c>
      <c r="AP41" s="2" t="s">
        <v>95</v>
      </c>
      <c r="AQ41" s="2" t="s">
        <v>720</v>
      </c>
      <c r="AR41" s="2" t="s">
        <v>721</v>
      </c>
      <c r="AS41" s="2"/>
      <c r="AT41" s="2"/>
      <c r="AU41" s="2"/>
      <c r="AV41" s="2" t="s">
        <v>722</v>
      </c>
      <c r="AW41" s="2" t="s">
        <v>106</v>
      </c>
      <c r="AX41" s="2"/>
      <c r="AY41" s="2" t="s">
        <v>106</v>
      </c>
      <c r="AZ41" s="2" t="s">
        <v>92</v>
      </c>
      <c r="BA41" s="2" t="s">
        <v>723</v>
      </c>
      <c r="BB41" s="2" t="s">
        <v>100</v>
      </c>
      <c r="BC41" s="2" t="s">
        <v>724</v>
      </c>
      <c r="BD41" s="2" t="s">
        <v>102</v>
      </c>
      <c r="BE41" s="2"/>
      <c r="BF41" s="2" t="s">
        <v>725</v>
      </c>
      <c r="BG41" s="2" t="s">
        <v>648</v>
      </c>
      <c r="BH41" s="2"/>
      <c r="BI41" s="2" t="s">
        <v>79</v>
      </c>
      <c r="BJ41" s="2" t="s">
        <v>367</v>
      </c>
      <c r="BK41" s="2" t="s">
        <v>726</v>
      </c>
      <c r="BL41" s="2" t="s">
        <v>79</v>
      </c>
      <c r="BM41" s="2" t="s">
        <v>268</v>
      </c>
    </row>
    <row r="42" spans="1:65" ht="409.5" x14ac:dyDescent="0.25">
      <c r="A42" s="2" t="s">
        <v>727</v>
      </c>
      <c r="B42" s="2">
        <v>2020</v>
      </c>
      <c r="C42" s="2" t="s">
        <v>111</v>
      </c>
      <c r="D42" s="2" t="s">
        <v>79</v>
      </c>
      <c r="E42" s="2" t="s">
        <v>79</v>
      </c>
      <c r="F42" s="2" t="s">
        <v>79</v>
      </c>
      <c r="G42" s="2" t="s">
        <v>80</v>
      </c>
      <c r="H42" s="2" t="s">
        <v>79</v>
      </c>
      <c r="I42" s="2" t="s">
        <v>79</v>
      </c>
      <c r="J42" s="2" t="s">
        <v>80</v>
      </c>
      <c r="K42" s="2" t="s">
        <v>80</v>
      </c>
      <c r="L42" s="2" t="s">
        <v>79</v>
      </c>
      <c r="M42" s="2" t="s">
        <v>92</v>
      </c>
      <c r="N42" s="2" t="s">
        <v>728</v>
      </c>
      <c r="O42" s="2">
        <v>9</v>
      </c>
      <c r="P42" s="2" t="s">
        <v>82</v>
      </c>
      <c r="Q42" s="2" t="s">
        <v>729</v>
      </c>
      <c r="R42" s="2" t="s">
        <v>84</v>
      </c>
      <c r="S42" s="2" t="s">
        <v>84</v>
      </c>
      <c r="T42" s="2" t="s">
        <v>84</v>
      </c>
      <c r="U42" s="2" t="s">
        <v>84</v>
      </c>
      <c r="V42" s="2" t="s">
        <v>84</v>
      </c>
      <c r="W42" s="2" t="s">
        <v>84</v>
      </c>
      <c r="X42" s="2" t="s">
        <v>84</v>
      </c>
      <c r="Y42" s="2" t="s">
        <v>85</v>
      </c>
      <c r="Z42" s="2" t="s">
        <v>85</v>
      </c>
      <c r="AA42" s="2" t="s">
        <v>84</v>
      </c>
      <c r="AB42" s="2" t="s">
        <v>730</v>
      </c>
      <c r="AC42" s="2" t="s">
        <v>92</v>
      </c>
      <c r="AD42" s="2" t="s">
        <v>731</v>
      </c>
      <c r="AE42" s="2" t="s">
        <v>732</v>
      </c>
      <c r="AF42" s="2" t="s">
        <v>106</v>
      </c>
      <c r="AG42" s="2" t="s">
        <v>90</v>
      </c>
      <c r="AH42" s="2" t="s">
        <v>92</v>
      </c>
      <c r="AI42" s="2" t="s">
        <v>733</v>
      </c>
      <c r="AJ42" s="2"/>
      <c r="AK42" s="2"/>
      <c r="AL42" s="2"/>
      <c r="AM42" s="2" t="s">
        <v>92</v>
      </c>
      <c r="AN42" s="2" t="s">
        <v>734</v>
      </c>
      <c r="AO42" s="2" t="s">
        <v>735</v>
      </c>
      <c r="AP42" s="2" t="s">
        <v>95</v>
      </c>
      <c r="AQ42" s="2" t="s">
        <v>736</v>
      </c>
      <c r="AR42" s="2" t="s">
        <v>737</v>
      </c>
      <c r="AS42" s="2"/>
      <c r="AT42" s="2"/>
      <c r="AU42" s="2" t="s">
        <v>738</v>
      </c>
      <c r="AV42" s="2" t="s">
        <v>739</v>
      </c>
      <c r="AW42" s="2" t="s">
        <v>106</v>
      </c>
      <c r="AX42" s="2"/>
      <c r="AY42" s="2" t="s">
        <v>106</v>
      </c>
      <c r="AZ42" s="2" t="s">
        <v>92</v>
      </c>
      <c r="BA42" s="2" t="s">
        <v>740</v>
      </c>
      <c r="BB42" s="2" t="s">
        <v>303</v>
      </c>
      <c r="BC42" s="2" t="s">
        <v>741</v>
      </c>
      <c r="BD42" s="2" t="s">
        <v>426</v>
      </c>
      <c r="BE42" s="2" t="s">
        <v>364</v>
      </c>
      <c r="BF42" s="2" t="s">
        <v>742</v>
      </c>
      <c r="BG42" s="2" t="s">
        <v>153</v>
      </c>
      <c r="BH42" s="2" t="s">
        <v>743</v>
      </c>
      <c r="BI42" s="2" t="s">
        <v>106</v>
      </c>
      <c r="BJ42" s="2" t="s">
        <v>155</v>
      </c>
      <c r="BK42" s="2"/>
      <c r="BL42" s="2" t="s">
        <v>80</v>
      </c>
      <c r="BM42" s="2" t="s">
        <v>143</v>
      </c>
    </row>
    <row r="43" spans="1:65" ht="409.5" x14ac:dyDescent="0.25">
      <c r="A43" s="2" t="s">
        <v>744</v>
      </c>
      <c r="B43" s="2">
        <v>2020</v>
      </c>
      <c r="C43" s="2" t="s">
        <v>143</v>
      </c>
      <c r="D43" s="2" t="s">
        <v>79</v>
      </c>
      <c r="E43" s="2" t="s">
        <v>79</v>
      </c>
      <c r="F43" s="2" t="s">
        <v>79</v>
      </c>
      <c r="G43" s="2" t="s">
        <v>80</v>
      </c>
      <c r="H43" s="2" t="s">
        <v>79</v>
      </c>
      <c r="I43" s="2" t="s">
        <v>79</v>
      </c>
      <c r="J43" s="2" t="s">
        <v>80</v>
      </c>
      <c r="K43" s="2" t="s">
        <v>80</v>
      </c>
      <c r="L43" s="2" t="s">
        <v>79</v>
      </c>
      <c r="M43" s="2" t="s">
        <v>79</v>
      </c>
      <c r="N43" s="2" t="s">
        <v>224</v>
      </c>
      <c r="O43" s="2">
        <v>8.5</v>
      </c>
      <c r="P43" s="2" t="s">
        <v>82</v>
      </c>
      <c r="Q43" s="2" t="s">
        <v>745</v>
      </c>
      <c r="R43" s="2" t="s">
        <v>84</v>
      </c>
      <c r="S43" s="2" t="s">
        <v>84</v>
      </c>
      <c r="T43" s="2" t="s">
        <v>84</v>
      </c>
      <c r="U43" s="2" t="s">
        <v>84</v>
      </c>
      <c r="V43" s="2" t="s">
        <v>84</v>
      </c>
      <c r="W43" s="2" t="s">
        <v>84</v>
      </c>
      <c r="X43" s="2" t="s">
        <v>86</v>
      </c>
      <c r="Y43" s="2" t="s">
        <v>84</v>
      </c>
      <c r="Z43" s="2" t="s">
        <v>85</v>
      </c>
      <c r="AA43" s="2" t="s">
        <v>84</v>
      </c>
      <c r="AB43" s="2" t="s">
        <v>746</v>
      </c>
      <c r="AC43" s="2" t="s">
        <v>79</v>
      </c>
      <c r="AD43" s="2" t="s">
        <v>747</v>
      </c>
      <c r="AE43" s="2" t="s">
        <v>89</v>
      </c>
      <c r="AF43" s="2" t="s">
        <v>79</v>
      </c>
      <c r="AG43" s="2" t="s">
        <v>116</v>
      </c>
      <c r="AH43" s="2" t="s">
        <v>92</v>
      </c>
      <c r="AI43" s="2" t="s">
        <v>748</v>
      </c>
      <c r="AJ43" s="2"/>
      <c r="AK43" s="2"/>
      <c r="AL43" s="2"/>
      <c r="AM43" s="2" t="s">
        <v>92</v>
      </c>
      <c r="AN43" s="2" t="s">
        <v>388</v>
      </c>
      <c r="AO43" s="2" t="s">
        <v>749</v>
      </c>
      <c r="AP43" s="2" t="s">
        <v>95</v>
      </c>
      <c r="AQ43" s="2" t="s">
        <v>750</v>
      </c>
      <c r="AR43" s="2" t="s">
        <v>751</v>
      </c>
      <c r="AS43" s="2"/>
      <c r="AT43" s="2"/>
      <c r="AU43" s="2" t="s">
        <v>752</v>
      </c>
      <c r="AV43" s="2" t="s">
        <v>753</v>
      </c>
      <c r="AW43" s="2" t="s">
        <v>80</v>
      </c>
      <c r="AX43" s="2"/>
      <c r="AY43" s="2" t="s">
        <v>80</v>
      </c>
      <c r="AZ43" s="2" t="s">
        <v>92</v>
      </c>
      <c r="BA43" s="2" t="s">
        <v>754</v>
      </c>
      <c r="BB43" s="2" t="s">
        <v>100</v>
      </c>
      <c r="BC43" s="2" t="s">
        <v>755</v>
      </c>
      <c r="BD43" s="2" t="s">
        <v>102</v>
      </c>
      <c r="BE43" s="2" t="s">
        <v>756</v>
      </c>
      <c r="BF43" s="2" t="s">
        <v>757</v>
      </c>
      <c r="BG43" s="2" t="s">
        <v>758</v>
      </c>
      <c r="BH43" s="2" t="s">
        <v>759</v>
      </c>
      <c r="BI43" s="2" t="s">
        <v>79</v>
      </c>
      <c r="BJ43" s="2" t="s">
        <v>107</v>
      </c>
      <c r="BK43" s="2" t="s">
        <v>760</v>
      </c>
      <c r="BL43" s="2" t="s">
        <v>79</v>
      </c>
      <c r="BM43" s="2" t="s">
        <v>109</v>
      </c>
    </row>
    <row r="44" spans="1:65" ht="409.5" x14ac:dyDescent="0.25">
      <c r="A44" s="2" t="s">
        <v>761</v>
      </c>
      <c r="B44" s="2">
        <v>2020</v>
      </c>
      <c r="C44" s="2" t="s">
        <v>111</v>
      </c>
      <c r="D44" s="2" t="s">
        <v>79</v>
      </c>
      <c r="E44" s="2" t="s">
        <v>79</v>
      </c>
      <c r="F44" s="2" t="s">
        <v>79</v>
      </c>
      <c r="G44" s="2" t="s">
        <v>80</v>
      </c>
      <c r="H44" s="2" t="s">
        <v>79</v>
      </c>
      <c r="I44" s="2" t="s">
        <v>79</v>
      </c>
      <c r="J44" s="2" t="s">
        <v>80</v>
      </c>
      <c r="K44" s="2" t="s">
        <v>80</v>
      </c>
      <c r="L44" s="2" t="s">
        <v>92</v>
      </c>
      <c r="M44" s="2" t="s">
        <v>80</v>
      </c>
      <c r="N44" s="2" t="s">
        <v>762</v>
      </c>
      <c r="O44" s="2">
        <v>9</v>
      </c>
      <c r="P44" s="2" t="s">
        <v>82</v>
      </c>
      <c r="Q44" s="2" t="s">
        <v>763</v>
      </c>
      <c r="R44" s="2" t="s">
        <v>84</v>
      </c>
      <c r="S44" s="2" t="s">
        <v>84</v>
      </c>
      <c r="T44" s="2" t="s">
        <v>84</v>
      </c>
      <c r="U44" s="2" t="s">
        <v>84</v>
      </c>
      <c r="V44" s="2" t="s">
        <v>84</v>
      </c>
      <c r="W44" s="2" t="s">
        <v>84</v>
      </c>
      <c r="X44" s="2" t="s">
        <v>86</v>
      </c>
      <c r="Y44" s="2" t="s">
        <v>84</v>
      </c>
      <c r="Z44" s="2" t="s">
        <v>84</v>
      </c>
      <c r="AA44" s="2" t="s">
        <v>84</v>
      </c>
      <c r="AB44" s="2" t="s">
        <v>764</v>
      </c>
      <c r="AC44" s="2" t="s">
        <v>92</v>
      </c>
      <c r="AD44" s="2" t="s">
        <v>765</v>
      </c>
      <c r="AE44" s="2" t="s">
        <v>143</v>
      </c>
      <c r="AF44" s="2" t="s">
        <v>79</v>
      </c>
      <c r="AG44" s="2" t="s">
        <v>90</v>
      </c>
      <c r="AH44" s="2" t="s">
        <v>92</v>
      </c>
      <c r="AI44" s="2" t="s">
        <v>766</v>
      </c>
      <c r="AJ44" s="2"/>
      <c r="AK44" s="2"/>
      <c r="AL44" s="2"/>
      <c r="AM44" s="2" t="s">
        <v>92</v>
      </c>
      <c r="AN44" s="2" t="s">
        <v>767</v>
      </c>
      <c r="AO44" s="2" t="s">
        <v>768</v>
      </c>
      <c r="AP44" s="2" t="s">
        <v>95</v>
      </c>
      <c r="AQ44" s="2" t="s">
        <v>769</v>
      </c>
      <c r="AR44" s="2" t="s">
        <v>770</v>
      </c>
      <c r="AS44" s="2"/>
      <c r="AT44" s="2"/>
      <c r="AU44" s="2" t="s">
        <v>771</v>
      </c>
      <c r="AV44" s="2" t="s">
        <v>772</v>
      </c>
      <c r="AW44" s="2" t="s">
        <v>80</v>
      </c>
      <c r="AX44" s="2"/>
      <c r="AY44" s="2" t="s">
        <v>80</v>
      </c>
      <c r="AZ44" s="2" t="s">
        <v>92</v>
      </c>
      <c r="BA44" s="2" t="s">
        <v>773</v>
      </c>
      <c r="BB44" s="2" t="s">
        <v>303</v>
      </c>
      <c r="BC44" s="2" t="s">
        <v>774</v>
      </c>
      <c r="BD44" s="2" t="s">
        <v>426</v>
      </c>
      <c r="BE44" s="2" t="s">
        <v>364</v>
      </c>
      <c r="BF44" s="2" t="s">
        <v>775</v>
      </c>
      <c r="BG44" s="2" t="s">
        <v>104</v>
      </c>
      <c r="BH44" s="2" t="s">
        <v>776</v>
      </c>
      <c r="BI44" s="2" t="s">
        <v>79</v>
      </c>
      <c r="BJ44" s="2" t="s">
        <v>367</v>
      </c>
      <c r="BK44" s="2" t="s">
        <v>777</v>
      </c>
      <c r="BL44" s="2" t="s">
        <v>79</v>
      </c>
      <c r="BM44" s="2" t="s">
        <v>109</v>
      </c>
    </row>
    <row r="45" spans="1:65" ht="409.5" x14ac:dyDescent="0.25">
      <c r="A45" s="2" t="s">
        <v>778</v>
      </c>
      <c r="B45" s="2">
        <v>2020</v>
      </c>
      <c r="C45" s="2" t="s">
        <v>111</v>
      </c>
      <c r="D45" s="2" t="s">
        <v>79</v>
      </c>
      <c r="E45" s="2" t="s">
        <v>79</v>
      </c>
      <c r="F45" s="2" t="s">
        <v>79</v>
      </c>
      <c r="G45" s="2" t="s">
        <v>80</v>
      </c>
      <c r="H45" s="2" t="s">
        <v>79</v>
      </c>
      <c r="I45" s="2" t="s">
        <v>79</v>
      </c>
      <c r="J45" s="2" t="s">
        <v>80</v>
      </c>
      <c r="K45" s="2" t="s">
        <v>80</v>
      </c>
      <c r="L45" s="2" t="s">
        <v>79</v>
      </c>
      <c r="M45" s="2" t="s">
        <v>92</v>
      </c>
      <c r="N45" s="2" t="s">
        <v>779</v>
      </c>
      <c r="O45" s="2">
        <v>9.5</v>
      </c>
      <c r="P45" s="2" t="s">
        <v>82</v>
      </c>
      <c r="Q45" s="2" t="s">
        <v>780</v>
      </c>
      <c r="R45" s="2" t="s">
        <v>84</v>
      </c>
      <c r="S45" s="2" t="s">
        <v>84</v>
      </c>
      <c r="T45" s="2" t="s">
        <v>84</v>
      </c>
      <c r="U45" s="2" t="s">
        <v>84</v>
      </c>
      <c r="V45" s="2" t="s">
        <v>84</v>
      </c>
      <c r="W45" s="2" t="s">
        <v>84</v>
      </c>
      <c r="X45" s="2" t="s">
        <v>84</v>
      </c>
      <c r="Y45" s="2" t="s">
        <v>84</v>
      </c>
      <c r="Z45" s="2" t="s">
        <v>85</v>
      </c>
      <c r="AA45" s="2" t="s">
        <v>84</v>
      </c>
      <c r="AB45" s="2" t="s">
        <v>781</v>
      </c>
      <c r="AC45" s="2" t="s">
        <v>79</v>
      </c>
      <c r="AD45" s="2" t="s">
        <v>782</v>
      </c>
      <c r="AE45" s="2" t="s">
        <v>143</v>
      </c>
      <c r="AF45" s="2" t="s">
        <v>79</v>
      </c>
      <c r="AG45" s="2" t="s">
        <v>90</v>
      </c>
      <c r="AH45" s="2" t="s">
        <v>92</v>
      </c>
      <c r="AI45" s="2" t="s">
        <v>783</v>
      </c>
      <c r="AJ45" s="2"/>
      <c r="AK45" s="2"/>
      <c r="AL45" s="2"/>
      <c r="AM45" s="2" t="s">
        <v>92</v>
      </c>
      <c r="AN45" s="2" t="s">
        <v>784</v>
      </c>
      <c r="AO45" s="2" t="s">
        <v>785</v>
      </c>
      <c r="AP45" s="2" t="s">
        <v>95</v>
      </c>
      <c r="AQ45" s="2" t="s">
        <v>786</v>
      </c>
      <c r="AR45" s="2" t="s">
        <v>787</v>
      </c>
      <c r="AS45" s="2"/>
      <c r="AT45" s="2"/>
      <c r="AU45" s="2" t="s">
        <v>788</v>
      </c>
      <c r="AV45" s="2" t="s">
        <v>789</v>
      </c>
      <c r="AW45" s="2" t="s">
        <v>80</v>
      </c>
      <c r="AX45" s="2"/>
      <c r="AY45" s="2" t="s">
        <v>80</v>
      </c>
      <c r="AZ45" s="2" t="s">
        <v>92</v>
      </c>
      <c r="BA45" s="2" t="s">
        <v>790</v>
      </c>
      <c r="BB45" s="2" t="s">
        <v>303</v>
      </c>
      <c r="BC45" s="2" t="s">
        <v>791</v>
      </c>
      <c r="BD45" s="2" t="s">
        <v>426</v>
      </c>
      <c r="BE45" s="2" t="s">
        <v>364</v>
      </c>
      <c r="BF45" s="2" t="s">
        <v>792</v>
      </c>
      <c r="BG45" s="2" t="s">
        <v>104</v>
      </c>
      <c r="BH45" s="2" t="s">
        <v>793</v>
      </c>
      <c r="BI45" s="2" t="s">
        <v>79</v>
      </c>
      <c r="BJ45" s="2" t="s">
        <v>429</v>
      </c>
      <c r="BK45" s="2" t="s">
        <v>794</v>
      </c>
      <c r="BL45" s="2" t="s">
        <v>79</v>
      </c>
      <c r="BM45" s="2" t="s">
        <v>109</v>
      </c>
    </row>
    <row r="46" spans="1:65" ht="409.5" x14ac:dyDescent="0.25">
      <c r="A46" s="2" t="s">
        <v>795</v>
      </c>
      <c r="B46" s="2">
        <v>2021</v>
      </c>
      <c r="C46" s="2" t="s">
        <v>111</v>
      </c>
      <c r="D46" s="2" t="s">
        <v>79</v>
      </c>
      <c r="E46" s="2" t="s">
        <v>79</v>
      </c>
      <c r="F46" s="2" t="s">
        <v>79</v>
      </c>
      <c r="G46" s="2" t="s">
        <v>79</v>
      </c>
      <c r="H46" s="2" t="s">
        <v>79</v>
      </c>
      <c r="I46" s="2" t="s">
        <v>79</v>
      </c>
      <c r="J46" s="2" t="s">
        <v>79</v>
      </c>
      <c r="K46" s="2" t="s">
        <v>79</v>
      </c>
      <c r="L46" s="2" t="s">
        <v>92</v>
      </c>
      <c r="M46" s="2" t="s">
        <v>92</v>
      </c>
      <c r="N46" s="2" t="s">
        <v>796</v>
      </c>
      <c r="O46" s="2">
        <v>10</v>
      </c>
      <c r="P46" s="2" t="s">
        <v>82</v>
      </c>
      <c r="Q46" s="2" t="s">
        <v>797</v>
      </c>
      <c r="R46" s="2" t="s">
        <v>84</v>
      </c>
      <c r="S46" s="2" t="s">
        <v>84</v>
      </c>
      <c r="T46" s="2" t="s">
        <v>84</v>
      </c>
      <c r="U46" s="2" t="s">
        <v>84</v>
      </c>
      <c r="V46" s="2" t="s">
        <v>84</v>
      </c>
      <c r="W46" s="2" t="s">
        <v>84</v>
      </c>
      <c r="X46" s="2" t="s">
        <v>84</v>
      </c>
      <c r="Y46" s="2" t="s">
        <v>84</v>
      </c>
      <c r="Z46" s="2" t="s">
        <v>84</v>
      </c>
      <c r="AA46" s="2" t="s">
        <v>84</v>
      </c>
      <c r="AB46" s="2" t="s">
        <v>798</v>
      </c>
      <c r="AC46" s="2" t="s">
        <v>79</v>
      </c>
      <c r="AD46" s="2" t="s">
        <v>799</v>
      </c>
      <c r="AE46" s="2" t="s">
        <v>89</v>
      </c>
      <c r="AF46" s="2" t="s">
        <v>79</v>
      </c>
      <c r="AG46" s="2" t="s">
        <v>90</v>
      </c>
      <c r="AH46" s="2" t="s">
        <v>92</v>
      </c>
      <c r="AI46" s="2" t="s">
        <v>800</v>
      </c>
      <c r="AJ46" s="2"/>
      <c r="AK46" s="2"/>
      <c r="AL46" s="2" t="s">
        <v>801</v>
      </c>
      <c r="AM46" s="2" t="s">
        <v>802</v>
      </c>
      <c r="AN46" s="2" t="s">
        <v>803</v>
      </c>
      <c r="AO46" s="2" t="s">
        <v>804</v>
      </c>
      <c r="AP46" s="2" t="s">
        <v>805</v>
      </c>
      <c r="AQ46" s="2" t="s">
        <v>806</v>
      </c>
      <c r="AR46" s="2" t="s">
        <v>807</v>
      </c>
      <c r="AS46" s="2" t="s">
        <v>808</v>
      </c>
      <c r="AT46" s="2" t="s">
        <v>809</v>
      </c>
      <c r="AU46" s="2" t="s">
        <v>810</v>
      </c>
      <c r="AV46" s="2" t="s">
        <v>811</v>
      </c>
      <c r="AW46" s="2" t="s">
        <v>106</v>
      </c>
      <c r="AX46" s="2" t="s">
        <v>812</v>
      </c>
      <c r="AY46" s="2" t="s">
        <v>106</v>
      </c>
      <c r="AZ46" s="2" t="s">
        <v>79</v>
      </c>
      <c r="BA46" s="2" t="s">
        <v>813</v>
      </c>
      <c r="BB46" s="2" t="s">
        <v>100</v>
      </c>
      <c r="BC46" s="2" t="s">
        <v>814</v>
      </c>
      <c r="BD46" s="2" t="s">
        <v>286</v>
      </c>
      <c r="BE46" s="2" t="s">
        <v>364</v>
      </c>
      <c r="BF46" s="2" t="s">
        <v>815</v>
      </c>
      <c r="BG46" s="2" t="s">
        <v>153</v>
      </c>
      <c r="BH46" s="2" t="s">
        <v>816</v>
      </c>
      <c r="BI46" s="2" t="s">
        <v>79</v>
      </c>
      <c r="BJ46" s="2" t="s">
        <v>143</v>
      </c>
      <c r="BK46" s="2" t="s">
        <v>817</v>
      </c>
      <c r="BL46" s="2" t="s">
        <v>79</v>
      </c>
      <c r="BM46" s="2" t="s">
        <v>172</v>
      </c>
    </row>
    <row r="47" spans="1:65" ht="409.5" x14ac:dyDescent="0.25">
      <c r="A47" s="2" t="s">
        <v>818</v>
      </c>
      <c r="B47" s="2">
        <v>2020</v>
      </c>
      <c r="C47" s="2" t="s">
        <v>143</v>
      </c>
      <c r="D47" s="2" t="s">
        <v>79</v>
      </c>
      <c r="E47" s="2" t="s">
        <v>79</v>
      </c>
      <c r="F47" s="2" t="s">
        <v>79</v>
      </c>
      <c r="G47" s="2" t="s">
        <v>79</v>
      </c>
      <c r="H47" s="2" t="s">
        <v>79</v>
      </c>
      <c r="I47" s="2" t="s">
        <v>79</v>
      </c>
      <c r="J47" s="2" t="s">
        <v>79</v>
      </c>
      <c r="K47" s="2" t="s">
        <v>79</v>
      </c>
      <c r="L47" s="2" t="s">
        <v>79</v>
      </c>
      <c r="M47" s="2" t="s">
        <v>92</v>
      </c>
      <c r="N47" s="2" t="s">
        <v>819</v>
      </c>
      <c r="O47" s="2">
        <v>10</v>
      </c>
      <c r="P47" s="2" t="s">
        <v>82</v>
      </c>
      <c r="Q47" s="2" t="s">
        <v>820</v>
      </c>
      <c r="R47" s="2" t="s">
        <v>84</v>
      </c>
      <c r="S47" s="2" t="s">
        <v>84</v>
      </c>
      <c r="T47" s="2" t="s">
        <v>84</v>
      </c>
      <c r="U47" s="2" t="s">
        <v>84</v>
      </c>
      <c r="V47" s="2" t="s">
        <v>84</v>
      </c>
      <c r="W47" s="2" t="s">
        <v>84</v>
      </c>
      <c r="X47" s="2" t="s">
        <v>84</v>
      </c>
      <c r="Y47" s="2" t="s">
        <v>84</v>
      </c>
      <c r="Z47" s="2" t="s">
        <v>84</v>
      </c>
      <c r="AA47" s="2" t="s">
        <v>84</v>
      </c>
      <c r="AB47" s="2" t="s">
        <v>821</v>
      </c>
      <c r="AC47" s="2" t="s">
        <v>79</v>
      </c>
      <c r="AD47" s="2" t="s">
        <v>822</v>
      </c>
      <c r="AE47" s="2" t="s">
        <v>89</v>
      </c>
      <c r="AF47" s="2" t="s">
        <v>79</v>
      </c>
      <c r="AG47" s="2" t="s">
        <v>194</v>
      </c>
      <c r="AH47" s="2" t="s">
        <v>79</v>
      </c>
      <c r="AI47" s="2" t="s">
        <v>823</v>
      </c>
      <c r="AJ47" s="2"/>
      <c r="AK47" s="2"/>
      <c r="AL47" s="2" t="s">
        <v>824</v>
      </c>
      <c r="AM47" s="2" t="s">
        <v>802</v>
      </c>
      <c r="AN47" s="2" t="s">
        <v>803</v>
      </c>
      <c r="AO47" s="2" t="s">
        <v>825</v>
      </c>
      <c r="AP47" s="2" t="s">
        <v>805</v>
      </c>
      <c r="AQ47" s="2" t="s">
        <v>826</v>
      </c>
      <c r="AR47" s="2" t="s">
        <v>827</v>
      </c>
      <c r="AS47" s="2" t="s">
        <v>828</v>
      </c>
      <c r="AT47" s="2" t="s">
        <v>829</v>
      </c>
      <c r="AU47" s="2"/>
      <c r="AV47" s="2" t="s">
        <v>830</v>
      </c>
      <c r="AW47" s="2" t="s">
        <v>106</v>
      </c>
      <c r="AX47" s="2" t="s">
        <v>831</v>
      </c>
      <c r="AY47" s="2" t="s">
        <v>106</v>
      </c>
      <c r="AZ47" s="2" t="s">
        <v>92</v>
      </c>
      <c r="BA47" s="2" t="s">
        <v>832</v>
      </c>
      <c r="BB47" s="2" t="s">
        <v>100</v>
      </c>
      <c r="BC47" s="2" t="s">
        <v>833</v>
      </c>
      <c r="BD47" s="2" t="s">
        <v>202</v>
      </c>
      <c r="BE47" s="2" t="s">
        <v>364</v>
      </c>
      <c r="BF47" s="2" t="s">
        <v>834</v>
      </c>
      <c r="BG47" s="2" t="s">
        <v>153</v>
      </c>
      <c r="BH47" s="2" t="s">
        <v>835</v>
      </c>
      <c r="BI47" s="2" t="s">
        <v>79</v>
      </c>
      <c r="BJ47" s="2" t="s">
        <v>107</v>
      </c>
      <c r="BK47" s="2" t="s">
        <v>836</v>
      </c>
      <c r="BL47" s="2" t="s">
        <v>79</v>
      </c>
      <c r="BM47" s="2" t="s">
        <v>109</v>
      </c>
    </row>
    <row r="48" spans="1:65" ht="409.5" x14ac:dyDescent="0.25">
      <c r="A48" s="2" t="s">
        <v>837</v>
      </c>
      <c r="B48" s="2">
        <v>2021</v>
      </c>
      <c r="C48" s="2" t="s">
        <v>143</v>
      </c>
      <c r="D48" s="2" t="s">
        <v>79</v>
      </c>
      <c r="E48" s="2" t="s">
        <v>79</v>
      </c>
      <c r="F48" s="2" t="s">
        <v>79</v>
      </c>
      <c r="G48" s="2" t="s">
        <v>79</v>
      </c>
      <c r="H48" s="2" t="s">
        <v>79</v>
      </c>
      <c r="I48" s="2" t="s">
        <v>79</v>
      </c>
      <c r="J48" s="2" t="s">
        <v>80</v>
      </c>
      <c r="K48" s="2" t="s">
        <v>80</v>
      </c>
      <c r="L48" s="2" t="s">
        <v>80</v>
      </c>
      <c r="M48" s="2" t="s">
        <v>80</v>
      </c>
      <c r="N48" s="2" t="s">
        <v>838</v>
      </c>
      <c r="O48" s="2">
        <v>10</v>
      </c>
      <c r="P48" s="2" t="s">
        <v>82</v>
      </c>
      <c r="Q48" s="2" t="s">
        <v>839</v>
      </c>
      <c r="R48" s="2" t="s">
        <v>84</v>
      </c>
      <c r="S48" s="2" t="s">
        <v>84</v>
      </c>
      <c r="T48" s="2" t="s">
        <v>84</v>
      </c>
      <c r="U48" s="2" t="s">
        <v>84</v>
      </c>
      <c r="V48" s="2" t="s">
        <v>84</v>
      </c>
      <c r="W48" s="2" t="s">
        <v>84</v>
      </c>
      <c r="X48" s="2" t="s">
        <v>84</v>
      </c>
      <c r="Y48" s="2" t="s">
        <v>84</v>
      </c>
      <c r="Z48" s="2" t="s">
        <v>84</v>
      </c>
      <c r="AA48" s="2" t="s">
        <v>84</v>
      </c>
      <c r="AB48" s="2" t="s">
        <v>840</v>
      </c>
      <c r="AC48" s="2" t="s">
        <v>79</v>
      </c>
      <c r="AD48" s="2" t="s">
        <v>841</v>
      </c>
      <c r="AE48" s="2" t="s">
        <v>842</v>
      </c>
      <c r="AF48" s="2" t="s">
        <v>80</v>
      </c>
      <c r="AG48" s="2" t="s">
        <v>116</v>
      </c>
      <c r="AH48" s="2" t="s">
        <v>79</v>
      </c>
      <c r="AI48" s="2" t="s">
        <v>843</v>
      </c>
      <c r="AJ48" s="2" t="s">
        <v>143</v>
      </c>
      <c r="AK48" s="2" t="s">
        <v>844</v>
      </c>
      <c r="AL48" s="2" t="s">
        <v>845</v>
      </c>
      <c r="AM48" s="2" t="s">
        <v>92</v>
      </c>
      <c r="AN48" s="2" t="s">
        <v>437</v>
      </c>
      <c r="AO48" s="2" t="s">
        <v>846</v>
      </c>
      <c r="AP48" s="2" t="s">
        <v>95</v>
      </c>
      <c r="AQ48" s="2" t="s">
        <v>847</v>
      </c>
      <c r="AR48" s="2" t="s">
        <v>848</v>
      </c>
      <c r="AS48" s="2"/>
      <c r="AT48" s="2"/>
      <c r="AU48" s="2" t="s">
        <v>849</v>
      </c>
      <c r="AV48" s="2" t="s">
        <v>850</v>
      </c>
      <c r="AW48" s="2" t="s">
        <v>80</v>
      </c>
      <c r="AX48" s="2"/>
      <c r="AY48" s="2" t="s">
        <v>80</v>
      </c>
      <c r="AZ48" s="2" t="s">
        <v>79</v>
      </c>
      <c r="BA48" s="2" t="s">
        <v>851</v>
      </c>
      <c r="BB48" s="2" t="s">
        <v>100</v>
      </c>
      <c r="BC48" s="2" t="s">
        <v>852</v>
      </c>
      <c r="BD48" s="2" t="s">
        <v>853</v>
      </c>
      <c r="BE48" s="2" t="s">
        <v>854</v>
      </c>
      <c r="BF48" s="2" t="s">
        <v>855</v>
      </c>
      <c r="BG48" s="2" t="s">
        <v>856</v>
      </c>
      <c r="BH48" s="2"/>
      <c r="BI48" s="2" t="s">
        <v>79</v>
      </c>
      <c r="BJ48" s="2" t="s">
        <v>107</v>
      </c>
      <c r="BK48" s="2" t="s">
        <v>857</v>
      </c>
      <c r="BL48" s="2" t="s">
        <v>79</v>
      </c>
      <c r="BM48" s="2" t="s">
        <v>109</v>
      </c>
    </row>
    <row r="49" spans="1:65" ht="409.5" x14ac:dyDescent="0.25">
      <c r="A49" s="2" t="s">
        <v>858</v>
      </c>
      <c r="B49" s="2">
        <v>2021</v>
      </c>
      <c r="C49" s="2" t="s">
        <v>111</v>
      </c>
      <c r="D49" s="2" t="s">
        <v>79</v>
      </c>
      <c r="E49" s="2" t="s">
        <v>79</v>
      </c>
      <c r="F49" s="2" t="s">
        <v>79</v>
      </c>
      <c r="G49" s="2" t="s">
        <v>80</v>
      </c>
      <c r="H49" s="2" t="s">
        <v>79</v>
      </c>
      <c r="I49" s="2" t="s">
        <v>79</v>
      </c>
      <c r="J49" s="2" t="s">
        <v>80</v>
      </c>
      <c r="K49" s="2" t="s">
        <v>80</v>
      </c>
      <c r="L49" s="2" t="s">
        <v>92</v>
      </c>
      <c r="M49" s="2" t="s">
        <v>92</v>
      </c>
      <c r="N49" s="2" t="s">
        <v>859</v>
      </c>
      <c r="O49" s="2">
        <v>8.5</v>
      </c>
      <c r="P49" s="2" t="s">
        <v>82</v>
      </c>
      <c r="Q49" s="2" t="s">
        <v>860</v>
      </c>
      <c r="R49" s="2" t="s">
        <v>84</v>
      </c>
      <c r="S49" s="2" t="s">
        <v>84</v>
      </c>
      <c r="T49" s="2" t="s">
        <v>84</v>
      </c>
      <c r="U49" s="2" t="s">
        <v>84</v>
      </c>
      <c r="V49" s="2" t="s">
        <v>84</v>
      </c>
      <c r="W49" s="2" t="s">
        <v>84</v>
      </c>
      <c r="X49" s="2" t="s">
        <v>86</v>
      </c>
      <c r="Y49" s="2" t="s">
        <v>84</v>
      </c>
      <c r="Z49" s="2" t="s">
        <v>85</v>
      </c>
      <c r="AA49" s="2" t="s">
        <v>84</v>
      </c>
      <c r="AB49" s="2" t="s">
        <v>861</v>
      </c>
      <c r="AC49" s="2" t="s">
        <v>79</v>
      </c>
      <c r="AD49" s="2" t="s">
        <v>862</v>
      </c>
      <c r="AE49" s="2" t="s">
        <v>89</v>
      </c>
      <c r="AF49" s="2" t="s">
        <v>79</v>
      </c>
      <c r="AG49" s="2" t="s">
        <v>116</v>
      </c>
      <c r="AH49" s="2" t="s">
        <v>79</v>
      </c>
      <c r="AI49" s="2" t="s">
        <v>863</v>
      </c>
      <c r="AJ49" s="2"/>
      <c r="AK49" s="2" t="s">
        <v>155</v>
      </c>
      <c r="AL49" s="2"/>
      <c r="AM49" s="2" t="s">
        <v>92</v>
      </c>
      <c r="AN49" s="2" t="s">
        <v>864</v>
      </c>
      <c r="AO49" s="2" t="s">
        <v>865</v>
      </c>
      <c r="AP49" s="2" t="s">
        <v>95</v>
      </c>
      <c r="AQ49" s="2" t="s">
        <v>866</v>
      </c>
      <c r="AR49" s="2" t="s">
        <v>867</v>
      </c>
      <c r="AS49" s="2"/>
      <c r="AT49" s="2"/>
      <c r="AU49" s="2"/>
      <c r="AV49" s="2" t="s">
        <v>868</v>
      </c>
      <c r="AW49" s="2" t="s">
        <v>80</v>
      </c>
      <c r="AX49" s="2"/>
      <c r="AY49" s="2" t="s">
        <v>80</v>
      </c>
      <c r="AZ49" s="2" t="s">
        <v>79</v>
      </c>
      <c r="BA49" s="2" t="s">
        <v>869</v>
      </c>
      <c r="BB49" s="2" t="s">
        <v>100</v>
      </c>
      <c r="BC49" s="2" t="s">
        <v>870</v>
      </c>
      <c r="BD49" s="2" t="s">
        <v>202</v>
      </c>
      <c r="BE49" s="2" t="s">
        <v>168</v>
      </c>
      <c r="BF49" s="2" t="s">
        <v>871</v>
      </c>
      <c r="BG49" s="2" t="s">
        <v>153</v>
      </c>
      <c r="BH49" s="2" t="s">
        <v>872</v>
      </c>
      <c r="BI49" s="2" t="s">
        <v>79</v>
      </c>
      <c r="BJ49" s="2" t="s">
        <v>107</v>
      </c>
      <c r="BK49" s="2" t="s">
        <v>873</v>
      </c>
      <c r="BL49" s="2" t="s">
        <v>79</v>
      </c>
      <c r="BM49" s="2" t="s">
        <v>109</v>
      </c>
    </row>
    <row r="50" spans="1:65" ht="409.5" x14ac:dyDescent="0.25">
      <c r="A50" s="2" t="s">
        <v>874</v>
      </c>
      <c r="B50" s="2">
        <v>2021</v>
      </c>
      <c r="C50" s="2" t="s">
        <v>143</v>
      </c>
      <c r="D50" s="2" t="s">
        <v>79</v>
      </c>
      <c r="E50" s="2" t="s">
        <v>79</v>
      </c>
      <c r="F50" s="2" t="s">
        <v>79</v>
      </c>
      <c r="G50" s="2" t="s">
        <v>80</v>
      </c>
      <c r="H50" s="2" t="s">
        <v>79</v>
      </c>
      <c r="I50" s="2" t="s">
        <v>79</v>
      </c>
      <c r="J50" s="2" t="s">
        <v>80</v>
      </c>
      <c r="K50" s="2" t="s">
        <v>80</v>
      </c>
      <c r="L50" s="2" t="s">
        <v>92</v>
      </c>
      <c r="M50" s="2" t="s">
        <v>80</v>
      </c>
      <c r="N50" s="2" t="s">
        <v>112</v>
      </c>
      <c r="O50" s="2">
        <v>8.5</v>
      </c>
      <c r="P50" s="2" t="s">
        <v>82</v>
      </c>
      <c r="Q50" s="2" t="s">
        <v>875</v>
      </c>
      <c r="R50" s="2" t="s">
        <v>84</v>
      </c>
      <c r="S50" s="2" t="s">
        <v>84</v>
      </c>
      <c r="T50" s="2" t="s">
        <v>84</v>
      </c>
      <c r="U50" s="2" t="s">
        <v>84</v>
      </c>
      <c r="V50" s="2" t="s">
        <v>84</v>
      </c>
      <c r="W50" s="2" t="s">
        <v>84</v>
      </c>
      <c r="X50" s="2" t="s">
        <v>86</v>
      </c>
      <c r="Y50" s="2" t="s">
        <v>84</v>
      </c>
      <c r="Z50" s="2" t="s">
        <v>85</v>
      </c>
      <c r="AA50" s="2" t="s">
        <v>84</v>
      </c>
      <c r="AB50" s="2" t="s">
        <v>876</v>
      </c>
      <c r="AC50" s="2" t="s">
        <v>79</v>
      </c>
      <c r="AD50" s="2" t="s">
        <v>877</v>
      </c>
      <c r="AE50" s="2" t="s">
        <v>143</v>
      </c>
      <c r="AF50" s="2" t="s">
        <v>106</v>
      </c>
      <c r="AG50" s="2" t="s">
        <v>116</v>
      </c>
      <c r="AH50" s="2" t="s">
        <v>79</v>
      </c>
      <c r="AI50" s="2" t="s">
        <v>878</v>
      </c>
      <c r="AJ50" s="2"/>
      <c r="AK50" s="2" t="s">
        <v>155</v>
      </c>
      <c r="AL50" s="2"/>
      <c r="AM50" s="2" t="s">
        <v>92</v>
      </c>
      <c r="AN50" s="2" t="s">
        <v>864</v>
      </c>
      <c r="AO50" s="2" t="s">
        <v>879</v>
      </c>
      <c r="AP50" s="2" t="s">
        <v>95</v>
      </c>
      <c r="AQ50" s="2" t="s">
        <v>880</v>
      </c>
      <c r="AR50" s="2" t="s">
        <v>881</v>
      </c>
      <c r="AS50" s="2"/>
      <c r="AT50" s="2"/>
      <c r="AU50" s="2"/>
      <c r="AV50" s="2" t="s">
        <v>882</v>
      </c>
      <c r="AW50" s="2" t="s">
        <v>80</v>
      </c>
      <c r="AX50" s="2"/>
      <c r="AY50" s="2" t="s">
        <v>80</v>
      </c>
      <c r="AZ50" s="2" t="s">
        <v>92</v>
      </c>
      <c r="BA50" s="2" t="s">
        <v>883</v>
      </c>
      <c r="BB50" s="2" t="s">
        <v>100</v>
      </c>
      <c r="BC50" s="2" t="s">
        <v>884</v>
      </c>
      <c r="BD50" s="2" t="s">
        <v>202</v>
      </c>
      <c r="BE50" s="2" t="s">
        <v>854</v>
      </c>
      <c r="BF50" s="2" t="s">
        <v>885</v>
      </c>
      <c r="BG50" s="2" t="s">
        <v>648</v>
      </c>
      <c r="BH50" s="2" t="s">
        <v>886</v>
      </c>
      <c r="BI50" s="2" t="s">
        <v>79</v>
      </c>
      <c r="BJ50" s="2" t="s">
        <v>107</v>
      </c>
      <c r="BK50" s="2" t="s">
        <v>887</v>
      </c>
      <c r="BL50" s="2" t="s">
        <v>79</v>
      </c>
      <c r="BM50" s="2" t="s">
        <v>109</v>
      </c>
    </row>
    <row r="51" spans="1:65" ht="409.5" x14ac:dyDescent="0.25">
      <c r="A51" s="2" t="s">
        <v>888</v>
      </c>
      <c r="B51" s="2">
        <v>2021</v>
      </c>
      <c r="C51" s="2" t="s">
        <v>111</v>
      </c>
      <c r="D51" s="2" t="s">
        <v>79</v>
      </c>
      <c r="E51" s="2" t="s">
        <v>79</v>
      </c>
      <c r="F51" s="2" t="s">
        <v>79</v>
      </c>
      <c r="G51" s="2" t="s">
        <v>80</v>
      </c>
      <c r="H51" s="2" t="s">
        <v>79</v>
      </c>
      <c r="I51" s="2" t="s">
        <v>79</v>
      </c>
      <c r="J51" s="2" t="s">
        <v>80</v>
      </c>
      <c r="K51" s="2" t="s">
        <v>80</v>
      </c>
      <c r="L51" s="2" t="s">
        <v>92</v>
      </c>
      <c r="M51" s="2" t="s">
        <v>92</v>
      </c>
      <c r="N51" s="2" t="s">
        <v>889</v>
      </c>
      <c r="O51" s="2">
        <v>8.5</v>
      </c>
      <c r="P51" s="2" t="s">
        <v>82</v>
      </c>
      <c r="Q51" s="2" t="s">
        <v>890</v>
      </c>
      <c r="R51" s="2" t="s">
        <v>84</v>
      </c>
      <c r="S51" s="2" t="s">
        <v>84</v>
      </c>
      <c r="T51" s="2" t="s">
        <v>84</v>
      </c>
      <c r="U51" s="2" t="s">
        <v>84</v>
      </c>
      <c r="V51" s="2" t="s">
        <v>84</v>
      </c>
      <c r="W51" s="2" t="s">
        <v>84</v>
      </c>
      <c r="X51" s="2" t="s">
        <v>86</v>
      </c>
      <c r="Y51" s="2" t="s">
        <v>85</v>
      </c>
      <c r="Z51" s="2" t="s">
        <v>84</v>
      </c>
      <c r="AA51" s="2" t="s">
        <v>84</v>
      </c>
      <c r="AB51" s="2" t="s">
        <v>891</v>
      </c>
      <c r="AC51" s="2" t="s">
        <v>79</v>
      </c>
      <c r="AD51" s="2" t="s">
        <v>892</v>
      </c>
      <c r="AE51" s="2" t="s">
        <v>89</v>
      </c>
      <c r="AF51" s="2" t="s">
        <v>79</v>
      </c>
      <c r="AG51" s="2" t="s">
        <v>90</v>
      </c>
      <c r="AH51" s="2" t="s">
        <v>79</v>
      </c>
      <c r="AI51" s="2" t="s">
        <v>893</v>
      </c>
      <c r="AJ51" s="2"/>
      <c r="AK51" s="2" t="s">
        <v>155</v>
      </c>
      <c r="AL51" s="2"/>
      <c r="AM51" s="2" t="s">
        <v>92</v>
      </c>
      <c r="AN51" s="2" t="s">
        <v>243</v>
      </c>
      <c r="AO51" s="2" t="s">
        <v>894</v>
      </c>
      <c r="AP51" s="2" t="s">
        <v>95</v>
      </c>
      <c r="AQ51" s="2" t="s">
        <v>895</v>
      </c>
      <c r="AR51" s="2" t="s">
        <v>896</v>
      </c>
      <c r="AS51" s="2"/>
      <c r="AT51" s="2"/>
      <c r="AU51" s="2"/>
      <c r="AV51" s="2" t="s">
        <v>897</v>
      </c>
      <c r="AW51" s="2" t="s">
        <v>80</v>
      </c>
      <c r="AX51" s="2"/>
      <c r="AY51" s="2" t="s">
        <v>80</v>
      </c>
      <c r="AZ51" s="2" t="s">
        <v>79</v>
      </c>
      <c r="BA51" s="2" t="s">
        <v>898</v>
      </c>
      <c r="BB51" s="2" t="s">
        <v>100</v>
      </c>
      <c r="BC51" s="2" t="s">
        <v>899</v>
      </c>
      <c r="BD51" s="2" t="s">
        <v>709</v>
      </c>
      <c r="BE51" s="2" t="s">
        <v>168</v>
      </c>
      <c r="BF51" s="2" t="s">
        <v>900</v>
      </c>
      <c r="BG51" s="2" t="s">
        <v>153</v>
      </c>
      <c r="BH51" s="2" t="s">
        <v>901</v>
      </c>
      <c r="BI51" s="2" t="s">
        <v>79</v>
      </c>
      <c r="BJ51" s="2" t="s">
        <v>143</v>
      </c>
      <c r="BK51" s="2" t="s">
        <v>902</v>
      </c>
      <c r="BL51" s="2" t="s">
        <v>79</v>
      </c>
      <c r="BM51" s="2" t="s">
        <v>109</v>
      </c>
    </row>
    <row r="52" spans="1:65" ht="409.5" x14ac:dyDescent="0.25">
      <c r="A52" s="2" t="s">
        <v>903</v>
      </c>
      <c r="B52" s="2">
        <v>2021</v>
      </c>
      <c r="C52" s="2" t="s">
        <v>189</v>
      </c>
      <c r="D52" s="2" t="s">
        <v>79</v>
      </c>
      <c r="E52" s="2" t="s">
        <v>79</v>
      </c>
      <c r="F52" s="2" t="s">
        <v>79</v>
      </c>
      <c r="G52" s="2" t="s">
        <v>80</v>
      </c>
      <c r="H52" s="2" t="s">
        <v>79</v>
      </c>
      <c r="I52" s="2" t="s">
        <v>79</v>
      </c>
      <c r="J52" s="2" t="s">
        <v>80</v>
      </c>
      <c r="K52" s="2" t="s">
        <v>80</v>
      </c>
      <c r="L52" s="2" t="s">
        <v>92</v>
      </c>
      <c r="M52" s="2" t="s">
        <v>92</v>
      </c>
      <c r="N52" s="2" t="s">
        <v>904</v>
      </c>
      <c r="O52" s="2">
        <v>8.5</v>
      </c>
      <c r="P52" s="2" t="s">
        <v>82</v>
      </c>
      <c r="Q52" s="2" t="s">
        <v>905</v>
      </c>
      <c r="R52" s="2" t="s">
        <v>84</v>
      </c>
      <c r="S52" s="2" t="s">
        <v>84</v>
      </c>
      <c r="T52" s="2" t="s">
        <v>84</v>
      </c>
      <c r="U52" s="2" t="s">
        <v>84</v>
      </c>
      <c r="V52" s="2" t="s">
        <v>84</v>
      </c>
      <c r="W52" s="2" t="s">
        <v>84</v>
      </c>
      <c r="X52" s="2" t="s">
        <v>86</v>
      </c>
      <c r="Y52" s="2" t="s">
        <v>84</v>
      </c>
      <c r="Z52" s="2" t="s">
        <v>85</v>
      </c>
      <c r="AA52" s="2" t="s">
        <v>84</v>
      </c>
      <c r="AB52" s="2" t="s">
        <v>906</v>
      </c>
      <c r="AC52" s="2" t="s">
        <v>79</v>
      </c>
      <c r="AD52" s="2" t="s">
        <v>907</v>
      </c>
      <c r="AE52" s="2" t="s">
        <v>842</v>
      </c>
      <c r="AF52" s="2" t="s">
        <v>79</v>
      </c>
      <c r="AG52" s="2" t="s">
        <v>116</v>
      </c>
      <c r="AH52" s="2" t="s">
        <v>79</v>
      </c>
      <c r="AI52" s="2" t="s">
        <v>908</v>
      </c>
      <c r="AJ52" s="2"/>
      <c r="AK52" s="2" t="s">
        <v>155</v>
      </c>
      <c r="AL52" s="2"/>
      <c r="AM52" s="2" t="s">
        <v>92</v>
      </c>
      <c r="AN52" s="2" t="s">
        <v>909</v>
      </c>
      <c r="AO52" s="2" t="s">
        <v>910</v>
      </c>
      <c r="AP52" s="2" t="s">
        <v>95</v>
      </c>
      <c r="AQ52" s="2" t="s">
        <v>911</v>
      </c>
      <c r="AR52" s="2" t="s">
        <v>912</v>
      </c>
      <c r="AS52" s="2"/>
      <c r="AT52" s="2"/>
      <c r="AU52" s="2"/>
      <c r="AV52" s="2" t="s">
        <v>913</v>
      </c>
      <c r="AW52" s="2" t="s">
        <v>80</v>
      </c>
      <c r="AX52" s="2"/>
      <c r="AY52" s="2" t="s">
        <v>80</v>
      </c>
      <c r="AZ52" s="2" t="s">
        <v>79</v>
      </c>
      <c r="BA52" s="2" t="s">
        <v>914</v>
      </c>
      <c r="BB52" s="2" t="s">
        <v>100</v>
      </c>
      <c r="BC52" s="2" t="s">
        <v>915</v>
      </c>
      <c r="BD52" s="2" t="s">
        <v>286</v>
      </c>
      <c r="BE52" s="2" t="s">
        <v>287</v>
      </c>
      <c r="BF52" s="2" t="s">
        <v>916</v>
      </c>
      <c r="BG52" s="2" t="s">
        <v>856</v>
      </c>
      <c r="BH52" s="2" t="s">
        <v>917</v>
      </c>
      <c r="BI52" s="2" t="s">
        <v>79</v>
      </c>
      <c r="BJ52" s="2" t="s">
        <v>107</v>
      </c>
      <c r="BK52" s="2" t="s">
        <v>918</v>
      </c>
      <c r="BL52" s="2" t="s">
        <v>79</v>
      </c>
      <c r="BM52" s="2" t="s">
        <v>109</v>
      </c>
    </row>
    <row r="53" spans="1:65" ht="409.5" x14ac:dyDescent="0.25">
      <c r="A53" s="2" t="s">
        <v>919</v>
      </c>
      <c r="B53" s="2">
        <v>2021</v>
      </c>
      <c r="C53" s="2" t="s">
        <v>111</v>
      </c>
      <c r="D53" s="2" t="s">
        <v>79</v>
      </c>
      <c r="E53" s="2" t="s">
        <v>79</v>
      </c>
      <c r="F53" s="2" t="s">
        <v>79</v>
      </c>
      <c r="G53" s="2" t="s">
        <v>79</v>
      </c>
      <c r="H53" s="2" t="s">
        <v>79</v>
      </c>
      <c r="I53" s="2" t="s">
        <v>79</v>
      </c>
      <c r="J53" s="2" t="s">
        <v>80</v>
      </c>
      <c r="K53" s="2" t="s">
        <v>79</v>
      </c>
      <c r="L53" s="2" t="s">
        <v>80</v>
      </c>
      <c r="M53" s="2" t="s">
        <v>92</v>
      </c>
      <c r="N53" s="2" t="s">
        <v>502</v>
      </c>
      <c r="O53" s="2">
        <v>9</v>
      </c>
      <c r="P53" s="2" t="s">
        <v>82</v>
      </c>
      <c r="Q53" s="2" t="s">
        <v>920</v>
      </c>
      <c r="R53" s="2" t="s">
        <v>84</v>
      </c>
      <c r="S53" s="2" t="s">
        <v>84</v>
      </c>
      <c r="T53" s="2" t="s">
        <v>84</v>
      </c>
      <c r="U53" s="2" t="s">
        <v>84</v>
      </c>
      <c r="V53" s="2" t="s">
        <v>84</v>
      </c>
      <c r="W53" s="2" t="s">
        <v>85</v>
      </c>
      <c r="X53" s="2" t="s">
        <v>84</v>
      </c>
      <c r="Y53" s="2" t="s">
        <v>84</v>
      </c>
      <c r="Z53" s="2" t="s">
        <v>85</v>
      </c>
      <c r="AA53" s="2" t="s">
        <v>84</v>
      </c>
      <c r="AB53" s="2" t="s">
        <v>921</v>
      </c>
      <c r="AC53" s="2" t="s">
        <v>79</v>
      </c>
      <c r="AD53" s="2" t="s">
        <v>922</v>
      </c>
      <c r="AE53" s="2" t="s">
        <v>842</v>
      </c>
      <c r="AF53" s="2" t="s">
        <v>79</v>
      </c>
      <c r="AG53" s="2" t="s">
        <v>116</v>
      </c>
      <c r="AH53" s="2" t="s">
        <v>79</v>
      </c>
      <c r="AI53" s="2" t="s">
        <v>923</v>
      </c>
      <c r="AJ53" s="2" t="s">
        <v>143</v>
      </c>
      <c r="AK53" s="2" t="s">
        <v>924</v>
      </c>
      <c r="AL53" s="2" t="s">
        <v>925</v>
      </c>
      <c r="AM53" s="2" t="s">
        <v>92</v>
      </c>
      <c r="AN53" s="2" t="s">
        <v>465</v>
      </c>
      <c r="AO53" s="2" t="s">
        <v>926</v>
      </c>
      <c r="AP53" s="2" t="s">
        <v>95</v>
      </c>
      <c r="AQ53" s="2" t="s">
        <v>927</v>
      </c>
      <c r="AR53" s="2" t="s">
        <v>928</v>
      </c>
      <c r="AS53" s="2"/>
      <c r="AT53" s="2"/>
      <c r="AU53" s="2"/>
      <c r="AV53" s="2" t="s">
        <v>929</v>
      </c>
      <c r="AW53" s="2" t="s">
        <v>79</v>
      </c>
      <c r="AX53" s="2" t="s">
        <v>930</v>
      </c>
      <c r="AY53" s="2" t="s">
        <v>106</v>
      </c>
      <c r="AZ53" s="2" t="s">
        <v>79</v>
      </c>
      <c r="BA53" s="2" t="s">
        <v>931</v>
      </c>
      <c r="BB53" s="2" t="s">
        <v>100</v>
      </c>
      <c r="BC53" s="2" t="s">
        <v>932</v>
      </c>
      <c r="BD53" s="2" t="s">
        <v>709</v>
      </c>
      <c r="BE53" s="2" t="s">
        <v>287</v>
      </c>
      <c r="BF53" s="2" t="s">
        <v>933</v>
      </c>
      <c r="BG53" s="2" t="s">
        <v>856</v>
      </c>
      <c r="BH53" s="2"/>
      <c r="BI53" s="2" t="s">
        <v>79</v>
      </c>
      <c r="BJ53" s="2" t="s">
        <v>206</v>
      </c>
      <c r="BK53" s="2" t="s">
        <v>934</v>
      </c>
      <c r="BL53" s="2" t="s">
        <v>79</v>
      </c>
      <c r="BM53" s="2" t="s">
        <v>109</v>
      </c>
    </row>
    <row r="54" spans="1:65" ht="409.5" x14ac:dyDescent="0.25">
      <c r="A54" s="2" t="s">
        <v>935</v>
      </c>
      <c r="B54" s="2">
        <v>2023</v>
      </c>
      <c r="C54" s="2" t="s">
        <v>111</v>
      </c>
      <c r="D54" s="2" t="s">
        <v>79</v>
      </c>
      <c r="E54" s="2" t="s">
        <v>79</v>
      </c>
      <c r="F54" s="2" t="s">
        <v>79</v>
      </c>
      <c r="G54" s="2" t="s">
        <v>80</v>
      </c>
      <c r="H54" s="2" t="s">
        <v>79</v>
      </c>
      <c r="I54" s="2" t="s">
        <v>79</v>
      </c>
      <c r="J54" s="2" t="s">
        <v>80</v>
      </c>
      <c r="K54" s="2" t="s">
        <v>80</v>
      </c>
      <c r="L54" s="2" t="s">
        <v>92</v>
      </c>
      <c r="M54" s="2" t="s">
        <v>92</v>
      </c>
      <c r="N54" s="2" t="s">
        <v>936</v>
      </c>
      <c r="O54" s="2">
        <v>8.5</v>
      </c>
      <c r="P54" s="2" t="s">
        <v>82</v>
      </c>
      <c r="Q54" s="2" t="s">
        <v>937</v>
      </c>
      <c r="R54" s="2" t="s">
        <v>84</v>
      </c>
      <c r="S54" s="2" t="s">
        <v>84</v>
      </c>
      <c r="T54" s="2" t="s">
        <v>84</v>
      </c>
      <c r="U54" s="2" t="s">
        <v>84</v>
      </c>
      <c r="V54" s="2" t="s">
        <v>84</v>
      </c>
      <c r="W54" s="2" t="s">
        <v>84</v>
      </c>
      <c r="X54" s="2" t="s">
        <v>86</v>
      </c>
      <c r="Y54" s="2" t="s">
        <v>84</v>
      </c>
      <c r="Z54" s="2" t="s">
        <v>85</v>
      </c>
      <c r="AA54" s="2" t="s">
        <v>84</v>
      </c>
      <c r="AB54" s="2" t="s">
        <v>938</v>
      </c>
      <c r="AC54" s="2" t="s">
        <v>79</v>
      </c>
      <c r="AD54" s="2" t="s">
        <v>939</v>
      </c>
      <c r="AE54" s="2" t="s">
        <v>89</v>
      </c>
      <c r="AF54" s="2" t="s">
        <v>79</v>
      </c>
      <c r="AG54" s="2" t="s">
        <v>116</v>
      </c>
      <c r="AH54" s="2" t="s">
        <v>92</v>
      </c>
      <c r="AI54" s="2" t="s">
        <v>940</v>
      </c>
      <c r="AJ54" s="2"/>
      <c r="AK54" s="2" t="s">
        <v>155</v>
      </c>
      <c r="AL54" s="2"/>
      <c r="AM54" s="2" t="s">
        <v>92</v>
      </c>
      <c r="AN54" s="2" t="s">
        <v>279</v>
      </c>
      <c r="AO54" s="2" t="s">
        <v>941</v>
      </c>
      <c r="AP54" s="2" t="s">
        <v>95</v>
      </c>
      <c r="AQ54" s="2" t="s">
        <v>942</v>
      </c>
      <c r="AR54" s="2" t="s">
        <v>943</v>
      </c>
      <c r="AS54" s="2"/>
      <c r="AT54" s="2"/>
      <c r="AU54" s="2"/>
      <c r="AV54" s="2" t="s">
        <v>944</v>
      </c>
      <c r="AW54" s="2" t="s">
        <v>106</v>
      </c>
      <c r="AX54" s="2"/>
      <c r="AY54" s="2" t="s">
        <v>80</v>
      </c>
      <c r="AZ54" s="2" t="s">
        <v>92</v>
      </c>
      <c r="BA54" s="2" t="s">
        <v>945</v>
      </c>
      <c r="BB54" s="2" t="s">
        <v>100</v>
      </c>
      <c r="BC54" s="2" t="s">
        <v>946</v>
      </c>
      <c r="BD54" s="2" t="s">
        <v>286</v>
      </c>
      <c r="BE54" s="2" t="s">
        <v>854</v>
      </c>
      <c r="BF54" s="2" t="s">
        <v>947</v>
      </c>
      <c r="BG54" s="2" t="s">
        <v>153</v>
      </c>
      <c r="BH54" s="2" t="s">
        <v>948</v>
      </c>
      <c r="BI54" s="2" t="s">
        <v>79</v>
      </c>
      <c r="BJ54" s="2" t="s">
        <v>107</v>
      </c>
      <c r="BK54" s="2" t="s">
        <v>949</v>
      </c>
      <c r="BL54" s="2" t="s">
        <v>79</v>
      </c>
      <c r="BM54" s="2" t="s">
        <v>109</v>
      </c>
    </row>
    <row r="55" spans="1:65" ht="409.5" x14ac:dyDescent="0.25">
      <c r="A55" s="2" t="s">
        <v>950</v>
      </c>
      <c r="B55" s="2">
        <v>2022</v>
      </c>
      <c r="C55" s="2" t="s">
        <v>111</v>
      </c>
      <c r="D55" s="2" t="s">
        <v>79</v>
      </c>
      <c r="E55" s="2" t="s">
        <v>79</v>
      </c>
      <c r="F55" s="2" t="s">
        <v>79</v>
      </c>
      <c r="G55" s="2" t="s">
        <v>80</v>
      </c>
      <c r="H55" s="2" t="s">
        <v>79</v>
      </c>
      <c r="I55" s="2" t="s">
        <v>79</v>
      </c>
      <c r="J55" s="2" t="s">
        <v>80</v>
      </c>
      <c r="K55" s="2" t="s">
        <v>80</v>
      </c>
      <c r="L55" s="2" t="s">
        <v>79</v>
      </c>
      <c r="M55" s="2" t="s">
        <v>79</v>
      </c>
      <c r="N55" s="2" t="s">
        <v>951</v>
      </c>
      <c r="O55" s="2">
        <v>8.5</v>
      </c>
      <c r="P55" s="2" t="s">
        <v>82</v>
      </c>
      <c r="Q55" s="2" t="s">
        <v>952</v>
      </c>
      <c r="R55" s="2" t="s">
        <v>84</v>
      </c>
      <c r="S55" s="2" t="s">
        <v>84</v>
      </c>
      <c r="T55" s="2" t="s">
        <v>84</v>
      </c>
      <c r="U55" s="2" t="s">
        <v>84</v>
      </c>
      <c r="V55" s="2" t="s">
        <v>84</v>
      </c>
      <c r="W55" s="2" t="s">
        <v>84</v>
      </c>
      <c r="X55" s="2" t="s">
        <v>86</v>
      </c>
      <c r="Y55" s="2" t="s">
        <v>84</v>
      </c>
      <c r="Z55" s="2" t="s">
        <v>85</v>
      </c>
      <c r="AA55" s="2" t="s">
        <v>84</v>
      </c>
      <c r="AB55" s="2" t="s">
        <v>953</v>
      </c>
      <c r="AC55" s="2" t="s">
        <v>79</v>
      </c>
      <c r="AD55" s="2" t="s">
        <v>954</v>
      </c>
      <c r="AE55" s="2" t="s">
        <v>143</v>
      </c>
      <c r="AF55" s="2" t="s">
        <v>79</v>
      </c>
      <c r="AG55" s="2" t="s">
        <v>90</v>
      </c>
      <c r="AH55" s="2" t="s">
        <v>92</v>
      </c>
      <c r="AI55" s="2" t="s">
        <v>955</v>
      </c>
      <c r="AJ55" s="2"/>
      <c r="AK55" s="2" t="s">
        <v>155</v>
      </c>
      <c r="AL55" s="2"/>
      <c r="AM55" s="2" t="s">
        <v>92</v>
      </c>
      <c r="AN55" s="2" t="s">
        <v>956</v>
      </c>
      <c r="AO55" s="2" t="s">
        <v>957</v>
      </c>
      <c r="AP55" s="2" t="s">
        <v>95</v>
      </c>
      <c r="AQ55" s="2" t="s">
        <v>958</v>
      </c>
      <c r="AR55" s="2" t="s">
        <v>959</v>
      </c>
      <c r="AS55" s="2"/>
      <c r="AT55" s="2"/>
      <c r="AU55" s="2"/>
      <c r="AV55" s="2" t="s">
        <v>960</v>
      </c>
      <c r="AW55" s="2" t="s">
        <v>106</v>
      </c>
      <c r="AX55" s="2"/>
      <c r="AY55" s="2" t="s">
        <v>80</v>
      </c>
      <c r="AZ55" s="2" t="s">
        <v>92</v>
      </c>
      <c r="BA55" s="2" t="s">
        <v>961</v>
      </c>
      <c r="BB55" s="2" t="s">
        <v>100</v>
      </c>
      <c r="BC55" s="2" t="s">
        <v>962</v>
      </c>
      <c r="BD55" s="2" t="s">
        <v>963</v>
      </c>
      <c r="BE55" s="2" t="s">
        <v>964</v>
      </c>
      <c r="BF55" s="2" t="s">
        <v>965</v>
      </c>
      <c r="BG55" s="2" t="s">
        <v>758</v>
      </c>
      <c r="BH55" s="2" t="s">
        <v>966</v>
      </c>
      <c r="BI55" s="2" t="s">
        <v>79</v>
      </c>
      <c r="BJ55" s="2" t="s">
        <v>429</v>
      </c>
      <c r="BK55" s="2" t="s">
        <v>967</v>
      </c>
      <c r="BL55" s="2" t="s">
        <v>79</v>
      </c>
      <c r="BM55" s="2" t="s">
        <v>109</v>
      </c>
    </row>
    <row r="56" spans="1:65" ht="409.5" x14ac:dyDescent="0.25">
      <c r="A56" s="2" t="s">
        <v>968</v>
      </c>
      <c r="B56" s="2">
        <v>2022</v>
      </c>
      <c r="C56" s="2" t="s">
        <v>143</v>
      </c>
      <c r="D56" s="2" t="s">
        <v>79</v>
      </c>
      <c r="E56" s="2" t="s">
        <v>79</v>
      </c>
      <c r="F56" s="2" t="s">
        <v>79</v>
      </c>
      <c r="G56" s="2" t="s">
        <v>79</v>
      </c>
      <c r="H56" s="2" t="s">
        <v>79</v>
      </c>
      <c r="I56" s="2" t="s">
        <v>79</v>
      </c>
      <c r="J56" s="2" t="s">
        <v>80</v>
      </c>
      <c r="K56" s="2" t="s">
        <v>80</v>
      </c>
      <c r="L56" s="2" t="s">
        <v>80</v>
      </c>
      <c r="M56" s="2" t="s">
        <v>80</v>
      </c>
      <c r="N56" s="2" t="s">
        <v>951</v>
      </c>
      <c r="O56" s="2">
        <v>8.5</v>
      </c>
      <c r="P56" s="2" t="s">
        <v>82</v>
      </c>
      <c r="Q56" s="2" t="s">
        <v>969</v>
      </c>
      <c r="R56" s="2" t="s">
        <v>84</v>
      </c>
      <c r="S56" s="2" t="s">
        <v>84</v>
      </c>
      <c r="T56" s="2" t="s">
        <v>86</v>
      </c>
      <c r="U56" s="2" t="s">
        <v>84</v>
      </c>
      <c r="V56" s="2" t="s">
        <v>84</v>
      </c>
      <c r="W56" s="2" t="s">
        <v>84</v>
      </c>
      <c r="X56" s="2" t="s">
        <v>84</v>
      </c>
      <c r="Y56" s="2" t="s">
        <v>85</v>
      </c>
      <c r="Z56" s="2" t="s">
        <v>84</v>
      </c>
      <c r="AA56" s="2" t="s">
        <v>84</v>
      </c>
      <c r="AB56" s="2" t="s">
        <v>970</v>
      </c>
      <c r="AC56" s="2" t="s">
        <v>79</v>
      </c>
      <c r="AD56" s="2" t="s">
        <v>971</v>
      </c>
      <c r="AE56" s="2" t="s">
        <v>143</v>
      </c>
      <c r="AF56" s="2" t="s">
        <v>80</v>
      </c>
      <c r="AG56" s="2" t="s">
        <v>90</v>
      </c>
      <c r="AH56" s="2" t="s">
        <v>92</v>
      </c>
      <c r="AI56" s="2" t="s">
        <v>972</v>
      </c>
      <c r="AJ56" s="2" t="s">
        <v>276</v>
      </c>
      <c r="AK56" s="2" t="s">
        <v>973</v>
      </c>
      <c r="AL56" s="2" t="s">
        <v>974</v>
      </c>
      <c r="AM56" s="2" t="s">
        <v>92</v>
      </c>
      <c r="AN56" s="2" t="s">
        <v>734</v>
      </c>
      <c r="AO56" s="2" t="s">
        <v>975</v>
      </c>
      <c r="AP56" s="2" t="s">
        <v>95</v>
      </c>
      <c r="AQ56" s="2" t="s">
        <v>976</v>
      </c>
      <c r="AR56" s="2" t="s">
        <v>977</v>
      </c>
      <c r="AS56" s="2"/>
      <c r="AT56" s="2"/>
      <c r="AU56" s="2"/>
      <c r="AV56" s="2" t="s">
        <v>978</v>
      </c>
      <c r="AW56" s="2" t="s">
        <v>106</v>
      </c>
      <c r="AX56" s="2"/>
      <c r="AY56" s="2" t="s">
        <v>80</v>
      </c>
      <c r="AZ56" s="2" t="s">
        <v>79</v>
      </c>
      <c r="BA56" s="2" t="s">
        <v>979</v>
      </c>
      <c r="BB56" s="2" t="s">
        <v>303</v>
      </c>
      <c r="BC56" s="2" t="s">
        <v>980</v>
      </c>
      <c r="BD56" s="2" t="s">
        <v>514</v>
      </c>
      <c r="BE56" s="2" t="s">
        <v>981</v>
      </c>
      <c r="BF56" s="2" t="s">
        <v>982</v>
      </c>
      <c r="BG56" s="2" t="s">
        <v>648</v>
      </c>
      <c r="BH56" s="2"/>
      <c r="BI56" s="2" t="s">
        <v>79</v>
      </c>
      <c r="BJ56" s="2" t="s">
        <v>143</v>
      </c>
      <c r="BK56" s="2" t="s">
        <v>983</v>
      </c>
      <c r="BL56" s="2" t="s">
        <v>79</v>
      </c>
      <c r="BM56" s="2" t="s">
        <v>172</v>
      </c>
    </row>
    <row r="57" spans="1:65" ht="409.5" x14ac:dyDescent="0.25">
      <c r="A57" s="2" t="s">
        <v>984</v>
      </c>
      <c r="B57" s="2">
        <v>2022</v>
      </c>
      <c r="C57" s="2" t="s">
        <v>111</v>
      </c>
      <c r="D57" s="2" t="s">
        <v>79</v>
      </c>
      <c r="E57" s="2" t="s">
        <v>79</v>
      </c>
      <c r="F57" s="2" t="s">
        <v>79</v>
      </c>
      <c r="G57" s="2" t="s">
        <v>80</v>
      </c>
      <c r="H57" s="2" t="s">
        <v>79</v>
      </c>
      <c r="I57" s="2" t="s">
        <v>79</v>
      </c>
      <c r="J57" s="2" t="s">
        <v>80</v>
      </c>
      <c r="K57" s="2" t="s">
        <v>80</v>
      </c>
      <c r="L57" s="2" t="s">
        <v>92</v>
      </c>
      <c r="M57" s="2" t="s">
        <v>92</v>
      </c>
      <c r="N57" s="2" t="s">
        <v>985</v>
      </c>
      <c r="O57" s="2">
        <v>8.5</v>
      </c>
      <c r="P57" s="2" t="s">
        <v>82</v>
      </c>
      <c r="Q57" s="2" t="s">
        <v>986</v>
      </c>
      <c r="R57" s="2" t="s">
        <v>84</v>
      </c>
      <c r="S57" s="2" t="s">
        <v>84</v>
      </c>
      <c r="T57" s="2" t="s">
        <v>84</v>
      </c>
      <c r="U57" s="2" t="s">
        <v>84</v>
      </c>
      <c r="V57" s="2" t="s">
        <v>84</v>
      </c>
      <c r="W57" s="2" t="s">
        <v>84</v>
      </c>
      <c r="X57" s="2" t="s">
        <v>86</v>
      </c>
      <c r="Y57" s="2" t="s">
        <v>84</v>
      </c>
      <c r="Z57" s="2" t="s">
        <v>85</v>
      </c>
      <c r="AA57" s="2" t="s">
        <v>84</v>
      </c>
      <c r="AB57" s="2" t="s">
        <v>987</v>
      </c>
      <c r="AC57" s="2" t="s">
        <v>79</v>
      </c>
      <c r="AD57" s="2" t="s">
        <v>988</v>
      </c>
      <c r="AE57" s="2" t="s">
        <v>89</v>
      </c>
      <c r="AF57" s="2" t="s">
        <v>79</v>
      </c>
      <c r="AG57" s="2" t="s">
        <v>116</v>
      </c>
      <c r="AH57" s="2" t="s">
        <v>92</v>
      </c>
      <c r="AI57" s="2" t="s">
        <v>989</v>
      </c>
      <c r="AJ57" s="2"/>
      <c r="AK57" s="2" t="s">
        <v>155</v>
      </c>
      <c r="AL57" s="2"/>
      <c r="AM57" s="2" t="s">
        <v>92</v>
      </c>
      <c r="AN57" s="2" t="s">
        <v>465</v>
      </c>
      <c r="AO57" s="2" t="s">
        <v>990</v>
      </c>
      <c r="AP57" s="2" t="s">
        <v>95</v>
      </c>
      <c r="AQ57" s="2" t="s">
        <v>991</v>
      </c>
      <c r="AR57" s="2" t="s">
        <v>992</v>
      </c>
      <c r="AS57" s="2"/>
      <c r="AT57" s="2"/>
      <c r="AU57" s="2"/>
      <c r="AV57" s="2" t="s">
        <v>993</v>
      </c>
      <c r="AW57" s="2" t="s">
        <v>106</v>
      </c>
      <c r="AX57" s="2"/>
      <c r="AY57" s="2" t="s">
        <v>80</v>
      </c>
      <c r="AZ57" s="2" t="s">
        <v>92</v>
      </c>
      <c r="BA57" s="2" t="s">
        <v>994</v>
      </c>
      <c r="BB57" s="2" t="s">
        <v>100</v>
      </c>
      <c r="BC57" s="2" t="s">
        <v>995</v>
      </c>
      <c r="BD57" s="2" t="s">
        <v>286</v>
      </c>
      <c r="BE57" s="2" t="s">
        <v>203</v>
      </c>
      <c r="BF57" s="2" t="s">
        <v>996</v>
      </c>
      <c r="BG57" s="2" t="s">
        <v>153</v>
      </c>
      <c r="BH57" s="2" t="s">
        <v>997</v>
      </c>
      <c r="BI57" s="2" t="s">
        <v>79</v>
      </c>
      <c r="BJ57" s="2" t="s">
        <v>107</v>
      </c>
      <c r="BK57" s="2" t="s">
        <v>998</v>
      </c>
      <c r="BL57" s="2" t="s">
        <v>79</v>
      </c>
      <c r="BM57" s="2" t="s">
        <v>109</v>
      </c>
    </row>
    <row r="58" spans="1:65" ht="409.5" x14ac:dyDescent="0.25">
      <c r="A58" s="2" t="s">
        <v>999</v>
      </c>
      <c r="B58" s="2">
        <v>2022</v>
      </c>
      <c r="C58" s="2" t="s">
        <v>111</v>
      </c>
      <c r="D58" s="2" t="s">
        <v>79</v>
      </c>
      <c r="E58" s="2" t="s">
        <v>79</v>
      </c>
      <c r="F58" s="2" t="s">
        <v>79</v>
      </c>
      <c r="G58" s="2" t="s">
        <v>79</v>
      </c>
      <c r="H58" s="2" t="s">
        <v>79</v>
      </c>
      <c r="I58" s="2" t="s">
        <v>79</v>
      </c>
      <c r="J58" s="2" t="s">
        <v>80</v>
      </c>
      <c r="K58" s="2" t="s">
        <v>79</v>
      </c>
      <c r="L58" s="2" t="s">
        <v>92</v>
      </c>
      <c r="M58" s="2" t="s">
        <v>92</v>
      </c>
      <c r="N58" s="2" t="s">
        <v>1000</v>
      </c>
      <c r="O58" s="2">
        <v>8.5</v>
      </c>
      <c r="P58" s="2" t="s">
        <v>82</v>
      </c>
      <c r="Q58" s="2" t="s">
        <v>1001</v>
      </c>
      <c r="R58" s="2" t="s">
        <v>84</v>
      </c>
      <c r="S58" s="2" t="s">
        <v>84</v>
      </c>
      <c r="T58" s="2" t="s">
        <v>86</v>
      </c>
      <c r="U58" s="2" t="s">
        <v>84</v>
      </c>
      <c r="V58" s="2" t="s">
        <v>84</v>
      </c>
      <c r="W58" s="2" t="s">
        <v>84</v>
      </c>
      <c r="X58" s="2" t="s">
        <v>84</v>
      </c>
      <c r="Y58" s="2" t="s">
        <v>85</v>
      </c>
      <c r="Z58" s="2" t="s">
        <v>84</v>
      </c>
      <c r="AA58" s="2" t="s">
        <v>84</v>
      </c>
      <c r="AB58" s="2" t="s">
        <v>1002</v>
      </c>
      <c r="AC58" s="2" t="s">
        <v>79</v>
      </c>
      <c r="AD58" s="2" t="s">
        <v>1003</v>
      </c>
      <c r="AE58" s="2" t="s">
        <v>143</v>
      </c>
      <c r="AF58" s="2" t="s">
        <v>106</v>
      </c>
      <c r="AG58" s="2" t="s">
        <v>90</v>
      </c>
      <c r="AH58" s="2" t="s">
        <v>92</v>
      </c>
      <c r="AI58" s="2" t="s">
        <v>1004</v>
      </c>
      <c r="AJ58" s="2" t="s">
        <v>1005</v>
      </c>
      <c r="AK58" s="2" t="s">
        <v>1006</v>
      </c>
      <c r="AL58" s="2" t="s">
        <v>1007</v>
      </c>
      <c r="AM58" s="2" t="s">
        <v>92</v>
      </c>
      <c r="AN58" s="2" t="s">
        <v>1008</v>
      </c>
      <c r="AO58" s="2" t="s">
        <v>1009</v>
      </c>
      <c r="AP58" s="2" t="s">
        <v>95</v>
      </c>
      <c r="AQ58" s="2" t="s">
        <v>1010</v>
      </c>
      <c r="AR58" s="2" t="s">
        <v>1011</v>
      </c>
      <c r="AS58" s="2"/>
      <c r="AT58" s="2"/>
      <c r="AU58" s="2"/>
      <c r="AV58" s="2" t="s">
        <v>1012</v>
      </c>
      <c r="AW58" s="2" t="s">
        <v>106</v>
      </c>
      <c r="AX58" s="2" t="s">
        <v>1013</v>
      </c>
      <c r="AY58" s="2" t="s">
        <v>106</v>
      </c>
      <c r="AZ58" s="2" t="s">
        <v>79</v>
      </c>
      <c r="BA58" s="2" t="s">
        <v>1014</v>
      </c>
      <c r="BB58" s="2" t="s">
        <v>303</v>
      </c>
      <c r="BC58" s="2" t="s">
        <v>1015</v>
      </c>
      <c r="BD58" s="2" t="s">
        <v>709</v>
      </c>
      <c r="BE58" s="2" t="s">
        <v>1016</v>
      </c>
      <c r="BF58" s="2" t="s">
        <v>1017</v>
      </c>
      <c r="BG58" s="2" t="s">
        <v>153</v>
      </c>
      <c r="BH58" s="2" t="s">
        <v>1018</v>
      </c>
      <c r="BI58" s="2" t="s">
        <v>79</v>
      </c>
      <c r="BJ58" s="2" t="s">
        <v>143</v>
      </c>
      <c r="BK58" s="2" t="s">
        <v>1019</v>
      </c>
      <c r="BL58" s="2" t="s">
        <v>79</v>
      </c>
      <c r="BM58" s="2" t="s">
        <v>109</v>
      </c>
    </row>
    <row r="59" spans="1:65" ht="409.5" x14ac:dyDescent="0.25">
      <c r="A59" s="2" t="s">
        <v>1020</v>
      </c>
      <c r="B59" s="2">
        <v>2022</v>
      </c>
      <c r="C59" s="2" t="s">
        <v>143</v>
      </c>
      <c r="D59" s="2" t="s">
        <v>79</v>
      </c>
      <c r="E59" s="2" t="s">
        <v>79</v>
      </c>
      <c r="F59" s="2" t="s">
        <v>79</v>
      </c>
      <c r="G59" s="2" t="s">
        <v>80</v>
      </c>
      <c r="H59" s="2" t="s">
        <v>79</v>
      </c>
      <c r="I59" s="2" t="s">
        <v>79</v>
      </c>
      <c r="J59" s="2" t="s">
        <v>80</v>
      </c>
      <c r="K59" s="2" t="s">
        <v>79</v>
      </c>
      <c r="L59" s="2" t="s">
        <v>80</v>
      </c>
      <c r="M59" s="2" t="s">
        <v>80</v>
      </c>
      <c r="N59" s="2" t="s">
        <v>1021</v>
      </c>
      <c r="O59" s="2">
        <v>8.5</v>
      </c>
      <c r="P59" s="2" t="s">
        <v>82</v>
      </c>
      <c r="Q59" s="2" t="s">
        <v>1022</v>
      </c>
      <c r="R59" s="2" t="s">
        <v>84</v>
      </c>
      <c r="S59" s="2" t="s">
        <v>84</v>
      </c>
      <c r="T59" s="2" t="s">
        <v>84</v>
      </c>
      <c r="U59" s="2" t="s">
        <v>84</v>
      </c>
      <c r="V59" s="2" t="s">
        <v>84</v>
      </c>
      <c r="W59" s="2" t="s">
        <v>85</v>
      </c>
      <c r="X59" s="2" t="s">
        <v>86</v>
      </c>
      <c r="Y59" s="2" t="s">
        <v>84</v>
      </c>
      <c r="Z59" s="2" t="s">
        <v>84</v>
      </c>
      <c r="AA59" s="2" t="s">
        <v>84</v>
      </c>
      <c r="AB59" s="2" t="s">
        <v>1023</v>
      </c>
      <c r="AC59" s="2" t="s">
        <v>79</v>
      </c>
      <c r="AD59" s="2" t="s">
        <v>1024</v>
      </c>
      <c r="AE59" s="2" t="s">
        <v>478</v>
      </c>
      <c r="AF59" s="2" t="s">
        <v>80</v>
      </c>
      <c r="AG59" s="2" t="s">
        <v>116</v>
      </c>
      <c r="AH59" s="2" t="s">
        <v>92</v>
      </c>
      <c r="AI59" s="2" t="s">
        <v>1025</v>
      </c>
      <c r="AJ59" s="2"/>
      <c r="AK59" s="2" t="s">
        <v>155</v>
      </c>
      <c r="AL59" s="2"/>
      <c r="AM59" s="2" t="s">
        <v>92</v>
      </c>
      <c r="AN59" s="2" t="s">
        <v>328</v>
      </c>
      <c r="AO59" s="2" t="s">
        <v>1026</v>
      </c>
      <c r="AP59" s="2" t="s">
        <v>95</v>
      </c>
      <c r="AQ59" s="2" t="s">
        <v>1027</v>
      </c>
      <c r="AR59" s="2" t="s">
        <v>1028</v>
      </c>
      <c r="AS59" s="2"/>
      <c r="AT59" s="2"/>
      <c r="AU59" s="2"/>
      <c r="AV59" s="2" t="s">
        <v>1029</v>
      </c>
      <c r="AW59" s="2" t="s">
        <v>106</v>
      </c>
      <c r="AX59" s="2" t="s">
        <v>1030</v>
      </c>
      <c r="AY59" s="2" t="s">
        <v>80</v>
      </c>
      <c r="AZ59" s="2" t="s">
        <v>79</v>
      </c>
      <c r="BA59" s="2" t="s">
        <v>1031</v>
      </c>
      <c r="BB59" s="2" t="s">
        <v>100</v>
      </c>
      <c r="BC59" s="2" t="s">
        <v>1032</v>
      </c>
      <c r="BD59" s="2" t="s">
        <v>286</v>
      </c>
      <c r="BE59" s="2" t="s">
        <v>287</v>
      </c>
      <c r="BF59" s="2" t="s">
        <v>1033</v>
      </c>
      <c r="BG59" s="2" t="s">
        <v>153</v>
      </c>
      <c r="BH59" s="2"/>
      <c r="BI59" s="2" t="s">
        <v>79</v>
      </c>
      <c r="BJ59" s="2" t="s">
        <v>206</v>
      </c>
      <c r="BK59" s="2" t="s">
        <v>1034</v>
      </c>
      <c r="BL59" s="2" t="s">
        <v>79</v>
      </c>
      <c r="BM59" s="2" t="s">
        <v>109</v>
      </c>
    </row>
    <row r="60" spans="1:65" ht="409.5" x14ac:dyDescent="0.25">
      <c r="A60" s="2" t="s">
        <v>1035</v>
      </c>
      <c r="B60" s="2">
        <v>2025</v>
      </c>
      <c r="C60" s="2" t="s">
        <v>143</v>
      </c>
      <c r="D60" s="2" t="s">
        <v>79</v>
      </c>
      <c r="E60" s="2" t="s">
        <v>79</v>
      </c>
      <c r="F60" s="2" t="s">
        <v>79</v>
      </c>
      <c r="G60" s="2" t="s">
        <v>80</v>
      </c>
      <c r="H60" s="2" t="s">
        <v>79</v>
      </c>
      <c r="I60" s="2" t="s">
        <v>79</v>
      </c>
      <c r="J60" s="2" t="s">
        <v>80</v>
      </c>
      <c r="K60" s="2" t="s">
        <v>79</v>
      </c>
      <c r="L60" s="2" t="s">
        <v>92</v>
      </c>
      <c r="M60" s="2" t="s">
        <v>92</v>
      </c>
      <c r="N60" s="2" t="s">
        <v>1036</v>
      </c>
      <c r="O60" s="2">
        <v>9</v>
      </c>
      <c r="P60" s="2" t="s">
        <v>82</v>
      </c>
      <c r="Q60" s="2" t="s">
        <v>1037</v>
      </c>
      <c r="R60" s="2" t="s">
        <v>84</v>
      </c>
      <c r="S60" s="2" t="s">
        <v>84</v>
      </c>
      <c r="T60" s="2" t="s">
        <v>84</v>
      </c>
      <c r="U60" s="2" t="s">
        <v>84</v>
      </c>
      <c r="V60" s="2" t="s">
        <v>84</v>
      </c>
      <c r="W60" s="2" t="s">
        <v>84</v>
      </c>
      <c r="X60" s="2" t="s">
        <v>86</v>
      </c>
      <c r="Y60" s="2" t="s">
        <v>84</v>
      </c>
      <c r="Z60" s="2" t="s">
        <v>84</v>
      </c>
      <c r="AA60" s="2" t="s">
        <v>84</v>
      </c>
      <c r="AB60" s="2" t="s">
        <v>1038</v>
      </c>
      <c r="AC60" s="2" t="s">
        <v>79</v>
      </c>
      <c r="AD60" s="2" t="s">
        <v>1039</v>
      </c>
      <c r="AE60" s="2" t="s">
        <v>89</v>
      </c>
      <c r="AF60" s="2" t="s">
        <v>79</v>
      </c>
      <c r="AG60" s="2" t="s">
        <v>116</v>
      </c>
      <c r="AH60" s="2" t="s">
        <v>92</v>
      </c>
      <c r="AI60" s="2" t="s">
        <v>1040</v>
      </c>
      <c r="AJ60" s="2"/>
      <c r="AK60" s="2" t="s">
        <v>155</v>
      </c>
      <c r="AL60" s="2"/>
      <c r="AM60" s="2" t="s">
        <v>92</v>
      </c>
      <c r="AN60" s="2" t="s">
        <v>279</v>
      </c>
      <c r="AO60" s="2" t="s">
        <v>1041</v>
      </c>
      <c r="AP60" s="2" t="s">
        <v>95</v>
      </c>
      <c r="AQ60" s="2" t="s">
        <v>1042</v>
      </c>
      <c r="AR60" s="2" t="s">
        <v>1043</v>
      </c>
      <c r="AS60" s="2"/>
      <c r="AT60" s="2"/>
      <c r="AU60" s="2"/>
      <c r="AV60" s="2" t="s">
        <v>1044</v>
      </c>
      <c r="AW60" s="2" t="s">
        <v>106</v>
      </c>
      <c r="AX60" s="2" t="s">
        <v>1045</v>
      </c>
      <c r="AY60" s="2" t="s">
        <v>106</v>
      </c>
      <c r="AZ60" s="2" t="s">
        <v>79</v>
      </c>
      <c r="BA60" s="2" t="s">
        <v>1046</v>
      </c>
      <c r="BB60" s="2" t="s">
        <v>100</v>
      </c>
      <c r="BC60" s="2" t="s">
        <v>1047</v>
      </c>
      <c r="BD60" s="2" t="s">
        <v>709</v>
      </c>
      <c r="BE60" s="2" t="s">
        <v>1016</v>
      </c>
      <c r="BF60" s="2" t="s">
        <v>1048</v>
      </c>
      <c r="BG60" s="2" t="s">
        <v>153</v>
      </c>
      <c r="BH60" s="2" t="s">
        <v>1049</v>
      </c>
      <c r="BI60" s="2" t="s">
        <v>79</v>
      </c>
      <c r="BJ60" s="2" t="s">
        <v>206</v>
      </c>
      <c r="BK60" s="2" t="s">
        <v>1050</v>
      </c>
      <c r="BL60" s="2" t="s">
        <v>79</v>
      </c>
      <c r="BM60" s="2" t="s">
        <v>172</v>
      </c>
    </row>
    <row r="61" spans="1:65" ht="409.5" x14ac:dyDescent="0.25">
      <c r="A61" s="2" t="s">
        <v>1051</v>
      </c>
      <c r="B61" s="2">
        <v>2022</v>
      </c>
      <c r="C61" s="2" t="s">
        <v>111</v>
      </c>
      <c r="D61" s="2" t="s">
        <v>79</v>
      </c>
      <c r="E61" s="2" t="s">
        <v>79</v>
      </c>
      <c r="F61" s="2" t="s">
        <v>79</v>
      </c>
      <c r="G61" s="2" t="s">
        <v>80</v>
      </c>
      <c r="H61" s="2" t="s">
        <v>79</v>
      </c>
      <c r="I61" s="2" t="s">
        <v>79</v>
      </c>
      <c r="J61" s="2" t="s">
        <v>80</v>
      </c>
      <c r="K61" s="2" t="s">
        <v>80</v>
      </c>
      <c r="L61" s="2" t="s">
        <v>80</v>
      </c>
      <c r="M61" s="2" t="s">
        <v>80</v>
      </c>
      <c r="N61" s="2" t="s">
        <v>1052</v>
      </c>
      <c r="O61" s="2">
        <v>9</v>
      </c>
      <c r="P61" s="2" t="s">
        <v>82</v>
      </c>
      <c r="Q61" s="2" t="s">
        <v>1053</v>
      </c>
      <c r="R61" s="2" t="s">
        <v>84</v>
      </c>
      <c r="S61" s="2" t="s">
        <v>84</v>
      </c>
      <c r="T61" s="2" t="s">
        <v>84</v>
      </c>
      <c r="U61" s="2" t="s">
        <v>84</v>
      </c>
      <c r="V61" s="2" t="s">
        <v>84</v>
      </c>
      <c r="W61" s="2" t="s">
        <v>84</v>
      </c>
      <c r="X61" s="2" t="s">
        <v>86</v>
      </c>
      <c r="Y61" s="2" t="s">
        <v>84</v>
      </c>
      <c r="Z61" s="2" t="s">
        <v>84</v>
      </c>
      <c r="AA61" s="2" t="s">
        <v>84</v>
      </c>
      <c r="AB61" s="2" t="s">
        <v>1054</v>
      </c>
      <c r="AC61" s="2" t="s">
        <v>79</v>
      </c>
      <c r="AD61" s="2" t="s">
        <v>1055</v>
      </c>
      <c r="AE61" s="2" t="s">
        <v>842</v>
      </c>
      <c r="AF61" s="2" t="s">
        <v>106</v>
      </c>
      <c r="AG61" s="2" t="s">
        <v>116</v>
      </c>
      <c r="AH61" s="2" t="s">
        <v>92</v>
      </c>
      <c r="AI61" s="2" t="s">
        <v>1056</v>
      </c>
      <c r="AJ61" s="2"/>
      <c r="AK61" s="2" t="s">
        <v>155</v>
      </c>
      <c r="AL61" s="2"/>
      <c r="AM61" s="2" t="s">
        <v>92</v>
      </c>
      <c r="AN61" s="2" t="s">
        <v>118</v>
      </c>
      <c r="AO61" s="2" t="s">
        <v>1057</v>
      </c>
      <c r="AP61" s="2" t="s">
        <v>95</v>
      </c>
      <c r="AQ61" s="2" t="s">
        <v>1058</v>
      </c>
      <c r="AR61" s="2" t="s">
        <v>1059</v>
      </c>
      <c r="AS61" s="2"/>
      <c r="AT61" s="2"/>
      <c r="AU61" s="2"/>
      <c r="AV61" s="2" t="s">
        <v>1060</v>
      </c>
      <c r="AW61" s="2" t="s">
        <v>106</v>
      </c>
      <c r="AX61" s="2"/>
      <c r="AY61" s="2" t="s">
        <v>106</v>
      </c>
      <c r="AZ61" s="2" t="s">
        <v>92</v>
      </c>
      <c r="BA61" s="2" t="s">
        <v>1061</v>
      </c>
      <c r="BB61" s="2" t="s">
        <v>100</v>
      </c>
      <c r="BC61" s="2" t="s">
        <v>1062</v>
      </c>
      <c r="BD61" s="2" t="s">
        <v>143</v>
      </c>
      <c r="BE61" s="2" t="s">
        <v>1063</v>
      </c>
      <c r="BF61" s="2" t="s">
        <v>1064</v>
      </c>
      <c r="BG61" s="2" t="s">
        <v>856</v>
      </c>
      <c r="BH61" s="2"/>
      <c r="BI61" s="2" t="s">
        <v>79</v>
      </c>
      <c r="BJ61" s="2" t="s">
        <v>206</v>
      </c>
      <c r="BK61" s="2" t="s">
        <v>1065</v>
      </c>
      <c r="BL61" s="2" t="s">
        <v>79</v>
      </c>
      <c r="BM61" s="2" t="s">
        <v>172</v>
      </c>
    </row>
    <row r="62" spans="1:65" ht="409.5" x14ac:dyDescent="0.25">
      <c r="A62" s="2" t="s">
        <v>1066</v>
      </c>
      <c r="B62" s="2">
        <v>2023</v>
      </c>
      <c r="C62" s="2" t="s">
        <v>111</v>
      </c>
      <c r="D62" s="2" t="s">
        <v>79</v>
      </c>
      <c r="E62" s="2" t="s">
        <v>79</v>
      </c>
      <c r="F62" s="2" t="s">
        <v>79</v>
      </c>
      <c r="G62" s="2" t="s">
        <v>79</v>
      </c>
      <c r="H62" s="2" t="s">
        <v>79</v>
      </c>
      <c r="I62" s="2" t="s">
        <v>79</v>
      </c>
      <c r="J62" s="2" t="s">
        <v>80</v>
      </c>
      <c r="K62" s="2" t="s">
        <v>80</v>
      </c>
      <c r="L62" s="2" t="s">
        <v>80</v>
      </c>
      <c r="M62" s="2" t="s">
        <v>80</v>
      </c>
      <c r="N62" s="2" t="s">
        <v>838</v>
      </c>
      <c r="O62" s="2">
        <v>10</v>
      </c>
      <c r="P62" s="2" t="s">
        <v>82</v>
      </c>
      <c r="Q62" s="2" t="s">
        <v>1067</v>
      </c>
      <c r="R62" s="2" t="s">
        <v>84</v>
      </c>
      <c r="S62" s="2" t="s">
        <v>84</v>
      </c>
      <c r="T62" s="2" t="s">
        <v>84</v>
      </c>
      <c r="U62" s="2" t="s">
        <v>84</v>
      </c>
      <c r="V62" s="2" t="s">
        <v>84</v>
      </c>
      <c r="W62" s="2" t="s">
        <v>84</v>
      </c>
      <c r="X62" s="2" t="s">
        <v>84</v>
      </c>
      <c r="Y62" s="2" t="s">
        <v>84</v>
      </c>
      <c r="Z62" s="2" t="s">
        <v>84</v>
      </c>
      <c r="AA62" s="2" t="s">
        <v>84</v>
      </c>
      <c r="AB62" s="2" t="s">
        <v>1068</v>
      </c>
      <c r="AC62" s="2" t="s">
        <v>79</v>
      </c>
      <c r="AD62" s="2" t="s">
        <v>1069</v>
      </c>
      <c r="AE62" s="2" t="s">
        <v>89</v>
      </c>
      <c r="AF62" s="2" t="s">
        <v>79</v>
      </c>
      <c r="AG62" s="2" t="s">
        <v>116</v>
      </c>
      <c r="AH62" s="2" t="s">
        <v>92</v>
      </c>
      <c r="AI62" s="2" t="s">
        <v>1070</v>
      </c>
      <c r="AJ62" s="2" t="s">
        <v>1071</v>
      </c>
      <c r="AK62" s="2" t="s">
        <v>1072</v>
      </c>
      <c r="AL62" s="2" t="s">
        <v>1073</v>
      </c>
      <c r="AM62" s="2" t="s">
        <v>92</v>
      </c>
      <c r="AN62" s="2" t="s">
        <v>803</v>
      </c>
      <c r="AO62" s="2" t="s">
        <v>1074</v>
      </c>
      <c r="AP62" s="2" t="s">
        <v>95</v>
      </c>
      <c r="AQ62" s="2" t="s">
        <v>1075</v>
      </c>
      <c r="AR62" s="2" t="s">
        <v>1076</v>
      </c>
      <c r="AS62" s="2"/>
      <c r="AT62" s="2"/>
      <c r="AU62" s="2"/>
      <c r="AV62" s="2" t="s">
        <v>1077</v>
      </c>
      <c r="AW62" s="2" t="s">
        <v>106</v>
      </c>
      <c r="AX62" s="2"/>
      <c r="AY62" s="2" t="s">
        <v>106</v>
      </c>
      <c r="AZ62" s="2" t="s">
        <v>92</v>
      </c>
      <c r="BA62" s="2" t="s">
        <v>1078</v>
      </c>
      <c r="BB62" s="2" t="s">
        <v>100</v>
      </c>
      <c r="BC62" s="2" t="s">
        <v>1079</v>
      </c>
      <c r="BD62" s="2" t="s">
        <v>286</v>
      </c>
      <c r="BE62" s="2" t="s">
        <v>1080</v>
      </c>
      <c r="BF62" s="2" t="s">
        <v>1081</v>
      </c>
      <c r="BG62" s="2" t="s">
        <v>104</v>
      </c>
      <c r="BH62" s="2"/>
      <c r="BI62" s="2" t="s">
        <v>79</v>
      </c>
      <c r="BJ62" s="2" t="s">
        <v>289</v>
      </c>
      <c r="BK62" s="2" t="s">
        <v>1082</v>
      </c>
      <c r="BL62" s="2" t="s">
        <v>79</v>
      </c>
      <c r="BM62" s="2" t="s">
        <v>172</v>
      </c>
    </row>
    <row r="63" spans="1:65" ht="409.5" x14ac:dyDescent="0.25">
      <c r="A63" s="2" t="s">
        <v>1083</v>
      </c>
      <c r="B63" s="2">
        <v>2026</v>
      </c>
      <c r="C63" s="2" t="s">
        <v>111</v>
      </c>
      <c r="D63" s="2" t="s">
        <v>79</v>
      </c>
      <c r="E63" s="2" t="s">
        <v>79</v>
      </c>
      <c r="F63" s="2" t="s">
        <v>79</v>
      </c>
      <c r="G63" s="2" t="s">
        <v>80</v>
      </c>
      <c r="H63" s="2" t="s">
        <v>79</v>
      </c>
      <c r="I63" s="2" t="s">
        <v>79</v>
      </c>
      <c r="J63" s="2" t="s">
        <v>80</v>
      </c>
      <c r="K63" s="2" t="s">
        <v>80</v>
      </c>
      <c r="L63" s="2" t="s">
        <v>80</v>
      </c>
      <c r="M63" s="2" t="s">
        <v>80</v>
      </c>
      <c r="N63" s="2" t="s">
        <v>889</v>
      </c>
      <c r="O63" s="2">
        <v>8.5</v>
      </c>
      <c r="P63" s="2" t="s">
        <v>82</v>
      </c>
      <c r="Q63" s="2" t="s">
        <v>1084</v>
      </c>
      <c r="R63" s="2" t="s">
        <v>84</v>
      </c>
      <c r="S63" s="2" t="s">
        <v>84</v>
      </c>
      <c r="T63" s="2" t="s">
        <v>84</v>
      </c>
      <c r="U63" s="2" t="s">
        <v>84</v>
      </c>
      <c r="V63" s="2" t="s">
        <v>84</v>
      </c>
      <c r="W63" s="2" t="s">
        <v>84</v>
      </c>
      <c r="X63" s="2" t="s">
        <v>86</v>
      </c>
      <c r="Y63" s="2" t="s">
        <v>84</v>
      </c>
      <c r="Z63" s="2" t="s">
        <v>85</v>
      </c>
      <c r="AA63" s="2" t="s">
        <v>84</v>
      </c>
      <c r="AB63" s="2" t="s">
        <v>1085</v>
      </c>
      <c r="AC63" s="2" t="s">
        <v>79</v>
      </c>
      <c r="AD63" s="2" t="s">
        <v>1086</v>
      </c>
      <c r="AE63" s="2" t="s">
        <v>89</v>
      </c>
      <c r="AF63" s="2" t="s">
        <v>106</v>
      </c>
      <c r="AG63" s="2" t="s">
        <v>116</v>
      </c>
      <c r="AH63" s="2" t="s">
        <v>92</v>
      </c>
      <c r="AI63" s="2" t="s">
        <v>1087</v>
      </c>
      <c r="AJ63" s="2"/>
      <c r="AK63" s="2" t="s">
        <v>155</v>
      </c>
      <c r="AL63" s="2"/>
      <c r="AM63" s="2" t="s">
        <v>92</v>
      </c>
      <c r="AN63" s="2" t="s">
        <v>864</v>
      </c>
      <c r="AO63" s="2" t="s">
        <v>1088</v>
      </c>
      <c r="AP63" s="2" t="s">
        <v>95</v>
      </c>
      <c r="AQ63" s="2" t="s">
        <v>1089</v>
      </c>
      <c r="AR63" s="2" t="s">
        <v>1090</v>
      </c>
      <c r="AS63" s="2"/>
      <c r="AT63" s="2"/>
      <c r="AU63" s="2"/>
      <c r="AV63" s="2" t="s">
        <v>1091</v>
      </c>
      <c r="AW63" s="2" t="s">
        <v>106</v>
      </c>
      <c r="AX63" s="2"/>
      <c r="AY63" s="2" t="s">
        <v>106</v>
      </c>
      <c r="AZ63" s="2" t="s">
        <v>92</v>
      </c>
      <c r="BA63" s="2" t="s">
        <v>1092</v>
      </c>
      <c r="BB63" s="2" t="s">
        <v>100</v>
      </c>
      <c r="BC63" s="2" t="s">
        <v>1093</v>
      </c>
      <c r="BD63" s="2" t="s">
        <v>286</v>
      </c>
      <c r="BE63" s="2" t="s">
        <v>1063</v>
      </c>
      <c r="BF63" s="2" t="s">
        <v>1094</v>
      </c>
      <c r="BG63" s="2" t="s">
        <v>153</v>
      </c>
      <c r="BH63" s="2"/>
      <c r="BI63" s="2" t="s">
        <v>79</v>
      </c>
      <c r="BJ63" s="2" t="s">
        <v>206</v>
      </c>
      <c r="BK63" s="2" t="s">
        <v>1095</v>
      </c>
      <c r="BL63" s="2" t="s">
        <v>79</v>
      </c>
      <c r="BM63" s="2" t="s">
        <v>172</v>
      </c>
    </row>
    <row r="64" spans="1:65" ht="409.5" x14ac:dyDescent="0.25">
      <c r="A64" s="2" t="s">
        <v>1096</v>
      </c>
      <c r="B64" s="2">
        <v>2019</v>
      </c>
      <c r="C64" s="2" t="s">
        <v>111</v>
      </c>
      <c r="D64" s="2" t="s">
        <v>79</v>
      </c>
      <c r="E64" s="2" t="s">
        <v>79</v>
      </c>
      <c r="F64" s="2" t="s">
        <v>79</v>
      </c>
      <c r="G64" s="2" t="s">
        <v>80</v>
      </c>
      <c r="H64" s="2" t="s">
        <v>79</v>
      </c>
      <c r="I64" s="2" t="s">
        <v>79</v>
      </c>
      <c r="J64" s="2" t="s">
        <v>80</v>
      </c>
      <c r="K64" s="2" t="s">
        <v>80</v>
      </c>
      <c r="L64" s="2" t="s">
        <v>80</v>
      </c>
      <c r="M64" s="2" t="s">
        <v>80</v>
      </c>
      <c r="N64" s="2" t="s">
        <v>889</v>
      </c>
      <c r="O64" s="2">
        <v>8.5</v>
      </c>
      <c r="P64" s="2" t="s">
        <v>82</v>
      </c>
      <c r="Q64" s="2" t="s">
        <v>1097</v>
      </c>
      <c r="R64" s="2" t="s">
        <v>84</v>
      </c>
      <c r="S64" s="2" t="s">
        <v>84</v>
      </c>
      <c r="T64" s="2" t="s">
        <v>84</v>
      </c>
      <c r="U64" s="2" t="s">
        <v>84</v>
      </c>
      <c r="V64" s="2" t="s">
        <v>84</v>
      </c>
      <c r="W64" s="2" t="s">
        <v>84</v>
      </c>
      <c r="X64" s="2" t="s">
        <v>86</v>
      </c>
      <c r="Y64" s="2" t="s">
        <v>84</v>
      </c>
      <c r="Z64" s="2" t="s">
        <v>85</v>
      </c>
      <c r="AA64" s="2" t="s">
        <v>84</v>
      </c>
      <c r="AB64" s="2" t="s">
        <v>1098</v>
      </c>
      <c r="AC64" s="2" t="s">
        <v>79</v>
      </c>
      <c r="AD64" s="2" t="s">
        <v>1099</v>
      </c>
      <c r="AE64" s="2" t="s">
        <v>143</v>
      </c>
      <c r="AF64" s="2" t="s">
        <v>106</v>
      </c>
      <c r="AG64" s="2" t="s">
        <v>194</v>
      </c>
      <c r="AH64" s="2" t="s">
        <v>92</v>
      </c>
      <c r="AI64" s="2" t="s">
        <v>1100</v>
      </c>
      <c r="AJ64" s="2"/>
      <c r="AK64" s="2" t="s">
        <v>155</v>
      </c>
      <c r="AL64" s="2"/>
      <c r="AM64" s="2" t="s">
        <v>92</v>
      </c>
      <c r="AN64" s="2" t="s">
        <v>465</v>
      </c>
      <c r="AO64" s="2" t="s">
        <v>1101</v>
      </c>
      <c r="AP64" s="2" t="s">
        <v>95</v>
      </c>
      <c r="AQ64" s="2" t="s">
        <v>1102</v>
      </c>
      <c r="AR64" s="2" t="s">
        <v>1103</v>
      </c>
      <c r="AS64" s="2"/>
      <c r="AT64" s="2"/>
      <c r="AU64" s="2"/>
      <c r="AV64" s="2" t="s">
        <v>1104</v>
      </c>
      <c r="AW64" s="2" t="s">
        <v>106</v>
      </c>
      <c r="AX64" s="2"/>
      <c r="AY64" s="2" t="s">
        <v>106</v>
      </c>
      <c r="AZ64" s="2" t="s">
        <v>92</v>
      </c>
      <c r="BA64" s="2" t="s">
        <v>1105</v>
      </c>
      <c r="BB64" s="2" t="s">
        <v>100</v>
      </c>
      <c r="BC64" s="2" t="s">
        <v>1106</v>
      </c>
      <c r="BD64" s="2" t="s">
        <v>286</v>
      </c>
      <c r="BE64" s="2" t="s">
        <v>756</v>
      </c>
      <c r="BF64" s="2" t="s">
        <v>1107</v>
      </c>
      <c r="BG64" s="2" t="s">
        <v>1108</v>
      </c>
      <c r="BH64" s="2"/>
      <c r="BI64" s="2" t="s">
        <v>79</v>
      </c>
      <c r="BJ64" s="2" t="s">
        <v>206</v>
      </c>
      <c r="BK64" s="2" t="s">
        <v>1109</v>
      </c>
      <c r="BL64" s="2" t="s">
        <v>79</v>
      </c>
      <c r="BM64" s="2" t="s">
        <v>109</v>
      </c>
    </row>
    <row r="65" spans="1:65" ht="409.5" x14ac:dyDescent="0.25">
      <c r="A65" s="2" t="s">
        <v>1110</v>
      </c>
      <c r="B65" s="2">
        <v>2023</v>
      </c>
      <c r="C65" s="2" t="s">
        <v>111</v>
      </c>
      <c r="D65" s="2" t="s">
        <v>79</v>
      </c>
      <c r="E65" s="2" t="s">
        <v>79</v>
      </c>
      <c r="F65" s="2" t="s">
        <v>79</v>
      </c>
      <c r="G65" s="2" t="s">
        <v>80</v>
      </c>
      <c r="H65" s="2" t="s">
        <v>79</v>
      </c>
      <c r="I65" s="2" t="s">
        <v>79</v>
      </c>
      <c r="J65" s="2" t="s">
        <v>80</v>
      </c>
      <c r="K65" s="2" t="s">
        <v>80</v>
      </c>
      <c r="L65" s="2" t="s">
        <v>92</v>
      </c>
      <c r="M65" s="2" t="s">
        <v>80</v>
      </c>
      <c r="N65" s="2" t="s">
        <v>1000</v>
      </c>
      <c r="O65" s="2">
        <v>8.5</v>
      </c>
      <c r="P65" s="2" t="s">
        <v>82</v>
      </c>
      <c r="Q65" s="2" t="s">
        <v>1111</v>
      </c>
      <c r="R65" s="2" t="s">
        <v>84</v>
      </c>
      <c r="S65" s="2" t="s">
        <v>84</v>
      </c>
      <c r="T65" s="2" t="s">
        <v>84</v>
      </c>
      <c r="U65" s="2" t="s">
        <v>84</v>
      </c>
      <c r="V65" s="2" t="s">
        <v>84</v>
      </c>
      <c r="W65" s="2" t="s">
        <v>84</v>
      </c>
      <c r="X65" s="2" t="s">
        <v>86</v>
      </c>
      <c r="Y65" s="2" t="s">
        <v>84</v>
      </c>
      <c r="Z65" s="2" t="s">
        <v>85</v>
      </c>
      <c r="AA65" s="2" t="s">
        <v>84</v>
      </c>
      <c r="AB65" s="2" t="s">
        <v>1112</v>
      </c>
      <c r="AC65" s="2" t="s">
        <v>79</v>
      </c>
      <c r="AD65" s="2" t="s">
        <v>1113</v>
      </c>
      <c r="AE65" s="2" t="s">
        <v>143</v>
      </c>
      <c r="AF65" s="2" t="s">
        <v>79</v>
      </c>
      <c r="AG65" s="2" t="s">
        <v>116</v>
      </c>
      <c r="AH65" s="2" t="s">
        <v>92</v>
      </c>
      <c r="AI65" s="2" t="s">
        <v>1114</v>
      </c>
      <c r="AJ65" s="2"/>
      <c r="AK65" s="2" t="s">
        <v>155</v>
      </c>
      <c r="AL65" s="2"/>
      <c r="AM65" s="2" t="s">
        <v>92</v>
      </c>
      <c r="AN65" s="2" t="s">
        <v>465</v>
      </c>
      <c r="AO65" s="2" t="s">
        <v>1115</v>
      </c>
      <c r="AP65" s="2" t="s">
        <v>95</v>
      </c>
      <c r="AQ65" s="2" t="s">
        <v>1116</v>
      </c>
      <c r="AR65" s="2" t="s">
        <v>1117</v>
      </c>
      <c r="AS65" s="2"/>
      <c r="AT65" s="2"/>
      <c r="AU65" s="2"/>
      <c r="AV65" s="2" t="s">
        <v>1118</v>
      </c>
      <c r="AW65" s="2" t="s">
        <v>106</v>
      </c>
      <c r="AX65" s="2"/>
      <c r="AY65" s="2" t="s">
        <v>106</v>
      </c>
      <c r="AZ65" s="2" t="s">
        <v>92</v>
      </c>
      <c r="BA65" s="2" t="s">
        <v>1119</v>
      </c>
      <c r="BB65" s="2" t="s">
        <v>100</v>
      </c>
      <c r="BC65" s="2" t="s">
        <v>1120</v>
      </c>
      <c r="BD65" s="2" t="s">
        <v>286</v>
      </c>
      <c r="BE65" s="2" t="s">
        <v>168</v>
      </c>
      <c r="BF65" s="2" t="s">
        <v>1121</v>
      </c>
      <c r="BG65" s="2" t="s">
        <v>153</v>
      </c>
      <c r="BH65" s="2" t="s">
        <v>1122</v>
      </c>
      <c r="BI65" s="2" t="s">
        <v>79</v>
      </c>
      <c r="BJ65" s="2" t="s">
        <v>107</v>
      </c>
      <c r="BK65" s="2" t="s">
        <v>1123</v>
      </c>
      <c r="BL65" s="2" t="s">
        <v>79</v>
      </c>
      <c r="BM65" s="2" t="s">
        <v>109</v>
      </c>
    </row>
    <row r="66" spans="1:65" ht="409.5" x14ac:dyDescent="0.25">
      <c r="A66" s="2" t="s">
        <v>1124</v>
      </c>
      <c r="B66" s="2">
        <v>2023</v>
      </c>
      <c r="C66" s="2" t="s">
        <v>111</v>
      </c>
      <c r="D66" s="2" t="s">
        <v>80</v>
      </c>
      <c r="E66" s="2" t="s">
        <v>79</v>
      </c>
      <c r="F66" s="2" t="s">
        <v>80</v>
      </c>
      <c r="G66" s="2" t="s">
        <v>80</v>
      </c>
      <c r="H66" s="2" t="s">
        <v>79</v>
      </c>
      <c r="I66" s="2" t="s">
        <v>79</v>
      </c>
      <c r="J66" s="2" t="s">
        <v>80</v>
      </c>
      <c r="K66" s="2" t="s">
        <v>80</v>
      </c>
      <c r="L66" s="2" t="s">
        <v>80</v>
      </c>
      <c r="M66" s="2" t="s">
        <v>80</v>
      </c>
      <c r="N66" s="2" t="s">
        <v>714</v>
      </c>
      <c r="O66" s="2">
        <v>6.5</v>
      </c>
      <c r="P66" s="2" t="s">
        <v>82</v>
      </c>
      <c r="Q66" s="2" t="s">
        <v>1125</v>
      </c>
      <c r="R66" s="2" t="s">
        <v>84</v>
      </c>
      <c r="S66" s="2" t="s">
        <v>84</v>
      </c>
      <c r="T66" s="2" t="s">
        <v>84</v>
      </c>
      <c r="U66" s="2" t="s">
        <v>84</v>
      </c>
      <c r="V66" s="2" t="s">
        <v>84</v>
      </c>
      <c r="W66" s="2" t="s">
        <v>85</v>
      </c>
      <c r="X66" s="2" t="s">
        <v>86</v>
      </c>
      <c r="Y66" s="2" t="s">
        <v>84</v>
      </c>
      <c r="Z66" s="2" t="s">
        <v>86</v>
      </c>
      <c r="AA66" s="2" t="s">
        <v>86</v>
      </c>
      <c r="AB66" s="2" t="s">
        <v>1126</v>
      </c>
      <c r="AC66" s="2" t="s">
        <v>92</v>
      </c>
      <c r="AD66" s="2" t="s">
        <v>1127</v>
      </c>
      <c r="AE66" s="2" t="s">
        <v>143</v>
      </c>
      <c r="AF66" s="2" t="s">
        <v>80</v>
      </c>
      <c r="AG66" s="2" t="s">
        <v>90</v>
      </c>
      <c r="AH66" s="2" t="s">
        <v>80</v>
      </c>
      <c r="AI66" s="2"/>
      <c r="AJ66" s="2"/>
      <c r="AK66" s="2"/>
      <c r="AL66" s="2"/>
      <c r="AM66" s="2" t="s">
        <v>92</v>
      </c>
      <c r="AN66" s="2" t="s">
        <v>465</v>
      </c>
      <c r="AO66" s="2" t="s">
        <v>1128</v>
      </c>
      <c r="AP66" s="2" t="s">
        <v>95</v>
      </c>
      <c r="AQ66" s="2" t="s">
        <v>1129</v>
      </c>
      <c r="AR66" s="2" t="s">
        <v>1130</v>
      </c>
      <c r="AS66" s="2"/>
      <c r="AT66" s="2"/>
      <c r="AU66" s="2"/>
      <c r="AV66" s="2" t="s">
        <v>1131</v>
      </c>
      <c r="AW66" s="2"/>
      <c r="AX66" s="2"/>
      <c r="AY66" s="2"/>
      <c r="AZ66" s="2" t="s">
        <v>80</v>
      </c>
      <c r="BA66" s="2"/>
      <c r="BB66" s="2" t="s">
        <v>100</v>
      </c>
      <c r="BC66" s="2" t="s">
        <v>1132</v>
      </c>
      <c r="BD66" s="2" t="s">
        <v>102</v>
      </c>
      <c r="BE66" s="2"/>
      <c r="BF66" s="2" t="s">
        <v>1133</v>
      </c>
      <c r="BG66" s="2" t="s">
        <v>153</v>
      </c>
      <c r="BH66" s="2"/>
      <c r="BI66" s="2" t="s">
        <v>79</v>
      </c>
      <c r="BJ66" s="2" t="s">
        <v>107</v>
      </c>
      <c r="BK66" s="2" t="s">
        <v>1134</v>
      </c>
      <c r="BL66" s="2" t="s">
        <v>79</v>
      </c>
      <c r="BM66" s="2" t="s">
        <v>109</v>
      </c>
    </row>
    <row r="67" spans="1:65" ht="409.5" x14ac:dyDescent="0.25">
      <c r="A67" s="2" t="s">
        <v>1135</v>
      </c>
      <c r="B67" s="2">
        <v>2023</v>
      </c>
      <c r="C67" s="2" t="s">
        <v>111</v>
      </c>
      <c r="D67" s="2" t="s">
        <v>80</v>
      </c>
      <c r="E67" s="2" t="s">
        <v>79</v>
      </c>
      <c r="F67" s="2" t="s">
        <v>80</v>
      </c>
      <c r="G67" s="2" t="s">
        <v>80</v>
      </c>
      <c r="H67" s="2" t="s">
        <v>79</v>
      </c>
      <c r="I67" s="2" t="s">
        <v>79</v>
      </c>
      <c r="J67" s="2" t="s">
        <v>80</v>
      </c>
      <c r="K67" s="2" t="s">
        <v>80</v>
      </c>
      <c r="L67" s="2" t="s">
        <v>106</v>
      </c>
      <c r="M67" s="2" t="s">
        <v>80</v>
      </c>
      <c r="N67" s="2" t="s">
        <v>271</v>
      </c>
      <c r="O67" s="2">
        <v>4.5</v>
      </c>
      <c r="P67" s="2" t="s">
        <v>82</v>
      </c>
      <c r="Q67" s="2" t="s">
        <v>1136</v>
      </c>
      <c r="R67" s="2" t="s">
        <v>84</v>
      </c>
      <c r="S67" s="2" t="s">
        <v>85</v>
      </c>
      <c r="T67" s="2" t="s">
        <v>86</v>
      </c>
      <c r="U67" s="2" t="s">
        <v>84</v>
      </c>
      <c r="V67" s="2" t="s">
        <v>84</v>
      </c>
      <c r="W67" s="2" t="s">
        <v>86</v>
      </c>
      <c r="X67" s="2" t="s">
        <v>86</v>
      </c>
      <c r="Y67" s="2" t="s">
        <v>84</v>
      </c>
      <c r="Z67" s="2" t="s">
        <v>86</v>
      </c>
      <c r="AA67" s="2" t="s">
        <v>86</v>
      </c>
      <c r="AB67" s="2" t="s">
        <v>1137</v>
      </c>
      <c r="AC67" s="2" t="s">
        <v>92</v>
      </c>
      <c r="AD67" s="2" t="s">
        <v>1138</v>
      </c>
      <c r="AE67" s="2" t="s">
        <v>143</v>
      </c>
      <c r="AF67" s="2" t="s">
        <v>106</v>
      </c>
      <c r="AG67" s="2" t="s">
        <v>90</v>
      </c>
      <c r="AH67" s="2" t="s">
        <v>80</v>
      </c>
      <c r="AI67" s="2"/>
      <c r="AJ67" s="2"/>
      <c r="AK67" s="2"/>
      <c r="AL67" s="2"/>
      <c r="AM67" s="2" t="s">
        <v>92</v>
      </c>
      <c r="AN67" s="2" t="s">
        <v>656</v>
      </c>
      <c r="AO67" s="2" t="s">
        <v>1139</v>
      </c>
      <c r="AP67" s="2" t="s">
        <v>95</v>
      </c>
      <c r="AQ67" s="2" t="s">
        <v>1140</v>
      </c>
      <c r="AR67" s="2" t="s">
        <v>1141</v>
      </c>
      <c r="AS67" s="2"/>
      <c r="AT67" s="2"/>
      <c r="AU67" s="2"/>
      <c r="AV67" s="2" t="s">
        <v>1142</v>
      </c>
      <c r="AW67" s="2"/>
      <c r="AX67" s="2"/>
      <c r="AY67" s="2"/>
      <c r="AZ67" s="2" t="s">
        <v>80</v>
      </c>
      <c r="BA67" s="2"/>
      <c r="BB67" s="2" t="s">
        <v>1143</v>
      </c>
      <c r="BC67" s="2" t="s">
        <v>1144</v>
      </c>
      <c r="BD67" s="2" t="s">
        <v>514</v>
      </c>
      <c r="BE67" s="2"/>
      <c r="BF67" s="2" t="s">
        <v>1145</v>
      </c>
      <c r="BG67" s="2" t="s">
        <v>153</v>
      </c>
      <c r="BH67" s="2"/>
      <c r="BI67" s="2" t="s">
        <v>106</v>
      </c>
      <c r="BJ67" s="2" t="s">
        <v>107</v>
      </c>
      <c r="BK67" s="2" t="s">
        <v>1146</v>
      </c>
      <c r="BL67" s="2" t="s">
        <v>79</v>
      </c>
      <c r="BM67" s="2" t="s">
        <v>172</v>
      </c>
    </row>
    <row r="68" spans="1:65" ht="409.5" x14ac:dyDescent="0.25">
      <c r="A68" s="2" t="s">
        <v>1147</v>
      </c>
      <c r="B68" s="2">
        <v>2023</v>
      </c>
      <c r="C68" s="2" t="s">
        <v>111</v>
      </c>
      <c r="D68" s="2" t="s">
        <v>79</v>
      </c>
      <c r="E68" s="2" t="s">
        <v>79</v>
      </c>
      <c r="F68" s="2" t="s">
        <v>79</v>
      </c>
      <c r="G68" s="2" t="s">
        <v>80</v>
      </c>
      <c r="H68" s="2" t="s">
        <v>79</v>
      </c>
      <c r="I68" s="2" t="s">
        <v>79</v>
      </c>
      <c r="J68" s="2" t="s">
        <v>80</v>
      </c>
      <c r="K68" s="2" t="s">
        <v>80</v>
      </c>
      <c r="L68" s="2" t="s">
        <v>80</v>
      </c>
      <c r="M68" s="2" t="s">
        <v>80</v>
      </c>
      <c r="N68" s="2" t="s">
        <v>613</v>
      </c>
      <c r="O68" s="2">
        <v>9.5</v>
      </c>
      <c r="P68" s="2" t="s">
        <v>82</v>
      </c>
      <c r="Q68" s="2" t="s">
        <v>1148</v>
      </c>
      <c r="R68" s="2" t="s">
        <v>84</v>
      </c>
      <c r="S68" s="2" t="s">
        <v>84</v>
      </c>
      <c r="T68" s="2" t="s">
        <v>84</v>
      </c>
      <c r="U68" s="2" t="s">
        <v>84</v>
      </c>
      <c r="V68" s="2" t="s">
        <v>84</v>
      </c>
      <c r="W68" s="2" t="s">
        <v>84</v>
      </c>
      <c r="X68" s="2" t="s">
        <v>84</v>
      </c>
      <c r="Y68" s="2" t="s">
        <v>84</v>
      </c>
      <c r="Z68" s="2" t="s">
        <v>85</v>
      </c>
      <c r="AA68" s="2" t="s">
        <v>84</v>
      </c>
      <c r="AB68" s="2" t="s">
        <v>1149</v>
      </c>
      <c r="AC68" s="2" t="s">
        <v>79</v>
      </c>
      <c r="AD68" s="2" t="s">
        <v>1150</v>
      </c>
      <c r="AE68" s="2" t="s">
        <v>143</v>
      </c>
      <c r="AF68" s="2" t="s">
        <v>106</v>
      </c>
      <c r="AG68" s="2" t="s">
        <v>90</v>
      </c>
      <c r="AH68" s="2" t="s">
        <v>92</v>
      </c>
      <c r="AI68" s="2" t="s">
        <v>1151</v>
      </c>
      <c r="AJ68" s="2"/>
      <c r="AK68" s="2" t="s">
        <v>155</v>
      </c>
      <c r="AL68" s="2"/>
      <c r="AM68" s="2" t="s">
        <v>92</v>
      </c>
      <c r="AN68" s="2" t="s">
        <v>243</v>
      </c>
      <c r="AO68" s="2" t="s">
        <v>1152</v>
      </c>
      <c r="AP68" s="2" t="s">
        <v>95</v>
      </c>
      <c r="AQ68" s="2" t="s">
        <v>1153</v>
      </c>
      <c r="AR68" s="2" t="s">
        <v>1154</v>
      </c>
      <c r="AS68" s="2"/>
      <c r="AT68" s="2"/>
      <c r="AU68" s="2"/>
      <c r="AV68" s="2" t="s">
        <v>1155</v>
      </c>
      <c r="AW68" s="2" t="s">
        <v>106</v>
      </c>
      <c r="AX68" s="2"/>
      <c r="AY68" s="2" t="s">
        <v>106</v>
      </c>
      <c r="AZ68" s="2" t="s">
        <v>92</v>
      </c>
      <c r="BA68" s="2" t="s">
        <v>1156</v>
      </c>
      <c r="BB68" s="2" t="s">
        <v>303</v>
      </c>
      <c r="BC68" s="2" t="s">
        <v>1157</v>
      </c>
      <c r="BD68" s="2" t="s">
        <v>143</v>
      </c>
      <c r="BE68" s="2" t="s">
        <v>364</v>
      </c>
      <c r="BF68" s="2" t="s">
        <v>1158</v>
      </c>
      <c r="BG68" s="2" t="s">
        <v>104</v>
      </c>
      <c r="BH68" s="2"/>
      <c r="BI68" s="2" t="s">
        <v>79</v>
      </c>
      <c r="BJ68" s="2" t="s">
        <v>429</v>
      </c>
      <c r="BK68" s="2" t="s">
        <v>1159</v>
      </c>
      <c r="BL68" s="2" t="s">
        <v>79</v>
      </c>
      <c r="BM68" s="2" t="s">
        <v>172</v>
      </c>
    </row>
    <row r="69" spans="1:65" ht="409.5" x14ac:dyDescent="0.25">
      <c r="A69" s="2" t="s">
        <v>1160</v>
      </c>
      <c r="B69" s="2">
        <v>2024</v>
      </c>
      <c r="C69" s="2" t="s">
        <v>111</v>
      </c>
      <c r="D69" s="2" t="s">
        <v>79</v>
      </c>
      <c r="E69" s="2" t="s">
        <v>79</v>
      </c>
      <c r="F69" s="2" t="s">
        <v>79</v>
      </c>
      <c r="G69" s="2" t="s">
        <v>79</v>
      </c>
      <c r="H69" s="2" t="s">
        <v>79</v>
      </c>
      <c r="I69" s="2" t="s">
        <v>79</v>
      </c>
      <c r="J69" s="2" t="s">
        <v>80</v>
      </c>
      <c r="K69" s="2" t="s">
        <v>80</v>
      </c>
      <c r="L69" s="2" t="s">
        <v>80</v>
      </c>
      <c r="M69" s="2" t="s">
        <v>80</v>
      </c>
      <c r="N69" s="2" t="s">
        <v>936</v>
      </c>
      <c r="O69" s="2">
        <v>10</v>
      </c>
      <c r="P69" s="2" t="s">
        <v>82</v>
      </c>
      <c r="Q69" s="2" t="s">
        <v>1161</v>
      </c>
      <c r="R69" s="2" t="s">
        <v>84</v>
      </c>
      <c r="S69" s="2" t="s">
        <v>84</v>
      </c>
      <c r="T69" s="2" t="s">
        <v>84</v>
      </c>
      <c r="U69" s="2" t="s">
        <v>84</v>
      </c>
      <c r="V69" s="2" t="s">
        <v>84</v>
      </c>
      <c r="W69" s="2" t="s">
        <v>84</v>
      </c>
      <c r="X69" s="2" t="s">
        <v>84</v>
      </c>
      <c r="Y69" s="2" t="s">
        <v>84</v>
      </c>
      <c r="Z69" s="2" t="s">
        <v>84</v>
      </c>
      <c r="AA69" s="2" t="s">
        <v>84</v>
      </c>
      <c r="AB69" s="2" t="s">
        <v>1162</v>
      </c>
      <c r="AC69" s="2" t="s">
        <v>79</v>
      </c>
      <c r="AD69" s="2" t="s">
        <v>1163</v>
      </c>
      <c r="AE69" s="2" t="s">
        <v>842</v>
      </c>
      <c r="AF69" s="2" t="s">
        <v>80</v>
      </c>
      <c r="AG69" s="2" t="s">
        <v>116</v>
      </c>
      <c r="AH69" s="2" t="s">
        <v>92</v>
      </c>
      <c r="AI69" s="2" t="s">
        <v>1164</v>
      </c>
      <c r="AJ69" s="2" t="s">
        <v>143</v>
      </c>
      <c r="AK69" s="2" t="s">
        <v>1165</v>
      </c>
      <c r="AL69" s="2" t="s">
        <v>1166</v>
      </c>
      <c r="AM69" s="2" t="s">
        <v>92</v>
      </c>
      <c r="AN69" s="2" t="s">
        <v>909</v>
      </c>
      <c r="AO69" s="2" t="s">
        <v>1167</v>
      </c>
      <c r="AP69" s="2" t="s">
        <v>95</v>
      </c>
      <c r="AQ69" s="2" t="s">
        <v>1168</v>
      </c>
      <c r="AR69" s="2" t="s">
        <v>1169</v>
      </c>
      <c r="AS69" s="2"/>
      <c r="AT69" s="2"/>
      <c r="AU69" s="2"/>
      <c r="AV69" s="2" t="s">
        <v>1170</v>
      </c>
      <c r="AW69" s="2" t="s">
        <v>106</v>
      </c>
      <c r="AX69" s="2"/>
      <c r="AY69" s="2" t="s">
        <v>106</v>
      </c>
      <c r="AZ69" s="2" t="s">
        <v>80</v>
      </c>
      <c r="BA69" s="2" t="s">
        <v>1171</v>
      </c>
      <c r="BB69" s="2" t="s">
        <v>100</v>
      </c>
      <c r="BC69" s="2" t="s">
        <v>1172</v>
      </c>
      <c r="BD69" s="2" t="s">
        <v>102</v>
      </c>
      <c r="BE69" s="2"/>
      <c r="BF69" s="2" t="s">
        <v>1173</v>
      </c>
      <c r="BG69" s="2" t="s">
        <v>856</v>
      </c>
      <c r="BH69" s="2"/>
      <c r="BI69" s="2" t="s">
        <v>79</v>
      </c>
      <c r="BJ69" s="2" t="s">
        <v>107</v>
      </c>
      <c r="BK69" s="2" t="s">
        <v>1174</v>
      </c>
      <c r="BL69" s="2" t="s">
        <v>79</v>
      </c>
      <c r="BM69" s="2" t="s">
        <v>109</v>
      </c>
    </row>
    <row r="70" spans="1:65" ht="409.5" x14ac:dyDescent="0.25">
      <c r="A70" s="2" t="s">
        <v>1175</v>
      </c>
      <c r="B70" s="2">
        <v>2024</v>
      </c>
      <c r="C70" s="2" t="s">
        <v>566</v>
      </c>
      <c r="D70" s="2" t="s">
        <v>79</v>
      </c>
      <c r="E70" s="2" t="s">
        <v>79</v>
      </c>
      <c r="F70" s="2" t="s">
        <v>79</v>
      </c>
      <c r="G70" s="2" t="s">
        <v>79</v>
      </c>
      <c r="H70" s="2" t="s">
        <v>79</v>
      </c>
      <c r="I70" s="2" t="s">
        <v>79</v>
      </c>
      <c r="J70" s="2" t="s">
        <v>80</v>
      </c>
      <c r="K70" s="2" t="s">
        <v>80</v>
      </c>
      <c r="L70" s="2" t="s">
        <v>80</v>
      </c>
      <c r="M70" s="2" t="s">
        <v>80</v>
      </c>
      <c r="N70" s="2" t="s">
        <v>714</v>
      </c>
      <c r="O70" s="2">
        <v>9</v>
      </c>
      <c r="P70" s="2" t="s">
        <v>82</v>
      </c>
      <c r="Q70" s="2" t="s">
        <v>1176</v>
      </c>
      <c r="R70" s="2" t="s">
        <v>84</v>
      </c>
      <c r="S70" s="2" t="s">
        <v>84</v>
      </c>
      <c r="T70" s="2" t="s">
        <v>84</v>
      </c>
      <c r="U70" s="2" t="s">
        <v>86</v>
      </c>
      <c r="V70" s="2" t="s">
        <v>84</v>
      </c>
      <c r="W70" s="2" t="s">
        <v>84</v>
      </c>
      <c r="X70" s="2" t="s">
        <v>84</v>
      </c>
      <c r="Y70" s="2" t="s">
        <v>84</v>
      </c>
      <c r="Z70" s="2" t="s">
        <v>84</v>
      </c>
      <c r="AA70" s="2" t="s">
        <v>84</v>
      </c>
      <c r="AB70" s="2" t="s">
        <v>1177</v>
      </c>
      <c r="AC70" s="2" t="s">
        <v>79</v>
      </c>
      <c r="AD70" s="2" t="s">
        <v>1178</v>
      </c>
      <c r="AE70" s="2" t="s">
        <v>478</v>
      </c>
      <c r="AF70" s="2" t="s">
        <v>80</v>
      </c>
      <c r="AG70" s="2" t="s">
        <v>116</v>
      </c>
      <c r="AH70" s="2" t="s">
        <v>92</v>
      </c>
      <c r="AI70" s="2" t="s">
        <v>1179</v>
      </c>
      <c r="AJ70" s="2" t="s">
        <v>143</v>
      </c>
      <c r="AK70" s="2" t="s">
        <v>844</v>
      </c>
      <c r="AL70" s="2" t="s">
        <v>1180</v>
      </c>
      <c r="AM70" s="2" t="s">
        <v>92</v>
      </c>
      <c r="AN70" s="2" t="s">
        <v>465</v>
      </c>
      <c r="AO70" s="2" t="s">
        <v>1181</v>
      </c>
      <c r="AP70" s="2" t="s">
        <v>95</v>
      </c>
      <c r="AQ70" s="2" t="s">
        <v>1182</v>
      </c>
      <c r="AR70" s="2" t="s">
        <v>1183</v>
      </c>
      <c r="AS70" s="2"/>
      <c r="AT70" s="2"/>
      <c r="AU70" s="2"/>
      <c r="AV70" s="2" t="s">
        <v>1184</v>
      </c>
      <c r="AW70" s="2" t="s">
        <v>106</v>
      </c>
      <c r="AX70" s="2"/>
      <c r="AY70" s="2" t="s">
        <v>106</v>
      </c>
      <c r="AZ70" s="2" t="s">
        <v>92</v>
      </c>
      <c r="BA70" s="2" t="s">
        <v>1185</v>
      </c>
      <c r="BB70" s="2" t="s">
        <v>100</v>
      </c>
      <c r="BC70" s="2" t="s">
        <v>1186</v>
      </c>
      <c r="BD70" s="2" t="s">
        <v>102</v>
      </c>
      <c r="BE70" s="2"/>
      <c r="BF70" s="2" t="s">
        <v>1187</v>
      </c>
      <c r="BG70" s="2" t="s">
        <v>648</v>
      </c>
      <c r="BH70" s="2"/>
      <c r="BI70" s="2" t="s">
        <v>79</v>
      </c>
      <c r="BJ70" s="2" t="s">
        <v>107</v>
      </c>
      <c r="BK70" s="2" t="s">
        <v>1188</v>
      </c>
      <c r="BL70" s="2" t="s">
        <v>79</v>
      </c>
      <c r="BM70" s="2" t="s">
        <v>109</v>
      </c>
    </row>
    <row r="71" spans="1:65" ht="409.5" x14ac:dyDescent="0.25">
      <c r="A71" s="2" t="s">
        <v>1189</v>
      </c>
      <c r="B71" s="2">
        <v>2024</v>
      </c>
      <c r="C71" s="2" t="s">
        <v>78</v>
      </c>
      <c r="D71" s="2" t="s">
        <v>79</v>
      </c>
      <c r="E71" s="2" t="s">
        <v>79</v>
      </c>
      <c r="F71" s="2" t="s">
        <v>79</v>
      </c>
      <c r="G71" s="2" t="s">
        <v>80</v>
      </c>
      <c r="H71" s="2" t="s">
        <v>79</v>
      </c>
      <c r="I71" s="2" t="s">
        <v>79</v>
      </c>
      <c r="J71" s="2" t="s">
        <v>80</v>
      </c>
      <c r="K71" s="2" t="s">
        <v>80</v>
      </c>
      <c r="L71" s="2" t="s">
        <v>79</v>
      </c>
      <c r="M71" s="2" t="s">
        <v>79</v>
      </c>
      <c r="N71" s="2" t="s">
        <v>1190</v>
      </c>
      <c r="O71" s="2">
        <v>8.5</v>
      </c>
      <c r="P71" s="2" t="s">
        <v>82</v>
      </c>
      <c r="Q71" s="2" t="s">
        <v>1191</v>
      </c>
      <c r="R71" s="2" t="s">
        <v>84</v>
      </c>
      <c r="S71" s="2" t="s">
        <v>84</v>
      </c>
      <c r="T71" s="2" t="s">
        <v>84</v>
      </c>
      <c r="U71" s="2" t="s">
        <v>84</v>
      </c>
      <c r="V71" s="2" t="s">
        <v>84</v>
      </c>
      <c r="W71" s="2" t="s">
        <v>84</v>
      </c>
      <c r="X71" s="2" t="s">
        <v>86</v>
      </c>
      <c r="Y71" s="2" t="s">
        <v>84</v>
      </c>
      <c r="Z71" s="2" t="s">
        <v>85</v>
      </c>
      <c r="AA71" s="2" t="s">
        <v>84</v>
      </c>
      <c r="AB71" s="2" t="s">
        <v>1192</v>
      </c>
      <c r="AC71" s="2" t="s">
        <v>79</v>
      </c>
      <c r="AD71" s="2" t="s">
        <v>1193</v>
      </c>
      <c r="AE71" s="2" t="s">
        <v>89</v>
      </c>
      <c r="AF71" s="2" t="s">
        <v>79</v>
      </c>
      <c r="AG71" s="2" t="s">
        <v>90</v>
      </c>
      <c r="AH71" s="2" t="s">
        <v>92</v>
      </c>
      <c r="AI71" s="2" t="s">
        <v>1194</v>
      </c>
      <c r="AJ71" s="2"/>
      <c r="AK71" s="2" t="s">
        <v>155</v>
      </c>
      <c r="AL71" s="2"/>
      <c r="AM71" s="2" t="s">
        <v>92</v>
      </c>
      <c r="AN71" s="2" t="s">
        <v>465</v>
      </c>
      <c r="AO71" s="2" t="s">
        <v>1195</v>
      </c>
      <c r="AP71" s="2" t="s">
        <v>95</v>
      </c>
      <c r="AQ71" s="2" t="s">
        <v>1196</v>
      </c>
      <c r="AR71" s="2" t="s">
        <v>1197</v>
      </c>
      <c r="AS71" s="2"/>
      <c r="AT71" s="2"/>
      <c r="AU71" s="2"/>
      <c r="AV71" s="2" t="s">
        <v>1198</v>
      </c>
      <c r="AW71" s="2" t="s">
        <v>106</v>
      </c>
      <c r="AX71" s="2"/>
      <c r="AY71" s="2" t="s">
        <v>106</v>
      </c>
      <c r="AZ71" s="2" t="s">
        <v>92</v>
      </c>
      <c r="BA71" s="2" t="s">
        <v>1199</v>
      </c>
      <c r="BB71" s="2" t="s">
        <v>100</v>
      </c>
      <c r="BC71" s="2" t="s">
        <v>1200</v>
      </c>
      <c r="BD71" s="2" t="s">
        <v>202</v>
      </c>
      <c r="BE71" s="2"/>
      <c r="BF71" s="2" t="s">
        <v>1201</v>
      </c>
      <c r="BG71" s="2" t="s">
        <v>104</v>
      </c>
      <c r="BH71" s="2" t="s">
        <v>1202</v>
      </c>
      <c r="BI71" s="2" t="s">
        <v>79</v>
      </c>
      <c r="BJ71" s="2" t="s">
        <v>367</v>
      </c>
      <c r="BK71" s="2" t="s">
        <v>1203</v>
      </c>
      <c r="BL71" s="2" t="s">
        <v>79</v>
      </c>
      <c r="BM71" s="2" t="s">
        <v>109</v>
      </c>
    </row>
    <row r="72" spans="1:65" ht="409.5" x14ac:dyDescent="0.25">
      <c r="A72" s="2" t="s">
        <v>1204</v>
      </c>
      <c r="B72" s="2">
        <v>2024</v>
      </c>
      <c r="C72" s="2" t="s">
        <v>111</v>
      </c>
      <c r="D72" s="2" t="s">
        <v>79</v>
      </c>
      <c r="E72" s="2" t="s">
        <v>79</v>
      </c>
      <c r="F72" s="2" t="s">
        <v>79</v>
      </c>
      <c r="G72" s="2" t="s">
        <v>79</v>
      </c>
      <c r="H72" s="2" t="s">
        <v>79</v>
      </c>
      <c r="I72" s="2" t="s">
        <v>79</v>
      </c>
      <c r="J72" s="2" t="s">
        <v>80</v>
      </c>
      <c r="K72" s="2" t="s">
        <v>80</v>
      </c>
      <c r="L72" s="2" t="s">
        <v>79</v>
      </c>
      <c r="M72" s="2" t="s">
        <v>79</v>
      </c>
      <c r="N72" s="2" t="s">
        <v>1190</v>
      </c>
      <c r="O72" s="2">
        <v>10</v>
      </c>
      <c r="P72" s="2" t="s">
        <v>82</v>
      </c>
      <c r="Q72" s="2" t="s">
        <v>1205</v>
      </c>
      <c r="R72" s="2" t="s">
        <v>84</v>
      </c>
      <c r="S72" s="2" t="s">
        <v>84</v>
      </c>
      <c r="T72" s="2" t="s">
        <v>84</v>
      </c>
      <c r="U72" s="2" t="s">
        <v>84</v>
      </c>
      <c r="V72" s="2" t="s">
        <v>84</v>
      </c>
      <c r="W72" s="2" t="s">
        <v>84</v>
      </c>
      <c r="X72" s="2" t="s">
        <v>84</v>
      </c>
      <c r="Y72" s="2" t="s">
        <v>84</v>
      </c>
      <c r="Z72" s="2" t="s">
        <v>84</v>
      </c>
      <c r="AA72" s="2" t="s">
        <v>84</v>
      </c>
      <c r="AB72" s="2" t="s">
        <v>1206</v>
      </c>
      <c r="AC72" s="2" t="s">
        <v>79</v>
      </c>
      <c r="AD72" s="2" t="s">
        <v>1207</v>
      </c>
      <c r="AE72" s="2" t="s">
        <v>89</v>
      </c>
      <c r="AF72" s="2" t="s">
        <v>79</v>
      </c>
      <c r="AG72" s="2" t="s">
        <v>116</v>
      </c>
      <c r="AH72" s="2" t="s">
        <v>92</v>
      </c>
      <c r="AI72" s="2" t="s">
        <v>1208</v>
      </c>
      <c r="AJ72" s="2" t="s">
        <v>143</v>
      </c>
      <c r="AK72" s="2" t="s">
        <v>1072</v>
      </c>
      <c r="AL72" s="2" t="s">
        <v>1209</v>
      </c>
      <c r="AM72" s="2" t="s">
        <v>92</v>
      </c>
      <c r="AN72" s="2" t="s">
        <v>465</v>
      </c>
      <c r="AO72" s="2" t="s">
        <v>1210</v>
      </c>
      <c r="AP72" s="2" t="s">
        <v>95</v>
      </c>
      <c r="AQ72" s="2" t="s">
        <v>1211</v>
      </c>
      <c r="AR72" s="2" t="s">
        <v>1212</v>
      </c>
      <c r="AS72" s="2"/>
      <c r="AT72" s="2"/>
      <c r="AU72" s="2"/>
      <c r="AV72" s="2" t="s">
        <v>1213</v>
      </c>
      <c r="AW72" s="2" t="s">
        <v>106</v>
      </c>
      <c r="AX72" s="2"/>
      <c r="AY72" s="2" t="s">
        <v>106</v>
      </c>
      <c r="AZ72" s="2" t="s">
        <v>92</v>
      </c>
      <c r="BA72" s="2" t="s">
        <v>1214</v>
      </c>
      <c r="BB72" s="2" t="s">
        <v>100</v>
      </c>
      <c r="BC72" s="2" t="s">
        <v>1215</v>
      </c>
      <c r="BD72" s="2" t="s">
        <v>202</v>
      </c>
      <c r="BE72" s="2"/>
      <c r="BF72" s="2" t="s">
        <v>1216</v>
      </c>
      <c r="BG72" s="2" t="s">
        <v>153</v>
      </c>
      <c r="BH72" s="2" t="s">
        <v>1217</v>
      </c>
      <c r="BI72" s="2" t="s">
        <v>79</v>
      </c>
      <c r="BJ72" s="2" t="s">
        <v>107</v>
      </c>
      <c r="BK72" s="2" t="s">
        <v>1218</v>
      </c>
      <c r="BL72" s="2" t="s">
        <v>79</v>
      </c>
      <c r="BM72" s="2" t="s">
        <v>109</v>
      </c>
    </row>
    <row r="73" spans="1:65" ht="409.5" x14ac:dyDescent="0.25">
      <c r="A73" s="2" t="s">
        <v>1219</v>
      </c>
      <c r="B73" s="2">
        <v>2024</v>
      </c>
      <c r="C73" s="2" t="s">
        <v>111</v>
      </c>
      <c r="D73" s="2" t="s">
        <v>79</v>
      </c>
      <c r="E73" s="2" t="s">
        <v>79</v>
      </c>
      <c r="F73" s="2" t="s">
        <v>79</v>
      </c>
      <c r="G73" s="2" t="s">
        <v>80</v>
      </c>
      <c r="H73" s="2" t="s">
        <v>79</v>
      </c>
      <c r="I73" s="2" t="s">
        <v>79</v>
      </c>
      <c r="J73" s="2" t="s">
        <v>80</v>
      </c>
      <c r="K73" s="2" t="s">
        <v>80</v>
      </c>
      <c r="L73" s="2" t="s">
        <v>92</v>
      </c>
      <c r="M73" s="2" t="s">
        <v>80</v>
      </c>
      <c r="N73" s="2" t="s">
        <v>714</v>
      </c>
      <c r="O73" s="2">
        <v>8.5</v>
      </c>
      <c r="P73" s="2" t="s">
        <v>82</v>
      </c>
      <c r="Q73" s="2" t="s">
        <v>1220</v>
      </c>
      <c r="R73" s="2" t="s">
        <v>84</v>
      </c>
      <c r="S73" s="2" t="s">
        <v>84</v>
      </c>
      <c r="T73" s="2" t="s">
        <v>84</v>
      </c>
      <c r="U73" s="2" t="s">
        <v>84</v>
      </c>
      <c r="V73" s="2" t="s">
        <v>84</v>
      </c>
      <c r="W73" s="2" t="s">
        <v>84</v>
      </c>
      <c r="X73" s="2" t="s">
        <v>86</v>
      </c>
      <c r="Y73" s="2" t="s">
        <v>84</v>
      </c>
      <c r="Z73" s="2" t="s">
        <v>85</v>
      </c>
      <c r="AA73" s="2" t="s">
        <v>84</v>
      </c>
      <c r="AB73" s="2" t="s">
        <v>1221</v>
      </c>
      <c r="AC73" s="2" t="s">
        <v>79</v>
      </c>
      <c r="AD73" s="2" t="s">
        <v>1222</v>
      </c>
      <c r="AE73" s="2" t="s">
        <v>143</v>
      </c>
      <c r="AF73" s="2" t="s">
        <v>106</v>
      </c>
      <c r="AG73" s="2" t="s">
        <v>116</v>
      </c>
      <c r="AH73" s="2" t="s">
        <v>92</v>
      </c>
      <c r="AI73" s="2" t="s">
        <v>1223</v>
      </c>
      <c r="AJ73" s="2"/>
      <c r="AK73" s="2" t="s">
        <v>155</v>
      </c>
      <c r="AL73" s="2"/>
      <c r="AM73" s="2" t="s">
        <v>92</v>
      </c>
      <c r="AN73" s="2" t="s">
        <v>118</v>
      </c>
      <c r="AO73" s="2" t="s">
        <v>1224</v>
      </c>
      <c r="AP73" s="2" t="s">
        <v>95</v>
      </c>
      <c r="AQ73" s="2" t="s">
        <v>1225</v>
      </c>
      <c r="AR73" s="2" t="s">
        <v>1226</v>
      </c>
      <c r="AS73" s="2"/>
      <c r="AT73" s="2"/>
      <c r="AU73" s="2"/>
      <c r="AV73" s="2" t="s">
        <v>1227</v>
      </c>
      <c r="AW73" s="2" t="s">
        <v>106</v>
      </c>
      <c r="AX73" s="2"/>
      <c r="AY73" s="2" t="s">
        <v>106</v>
      </c>
      <c r="AZ73" s="2" t="s">
        <v>92</v>
      </c>
      <c r="BA73" s="2" t="s">
        <v>1228</v>
      </c>
      <c r="BB73" s="2" t="s">
        <v>100</v>
      </c>
      <c r="BC73" s="2" t="s">
        <v>1229</v>
      </c>
      <c r="BD73" s="2" t="s">
        <v>426</v>
      </c>
      <c r="BE73" s="2"/>
      <c r="BF73" s="2" t="s">
        <v>1230</v>
      </c>
      <c r="BG73" s="2" t="s">
        <v>153</v>
      </c>
      <c r="BH73" s="2" t="s">
        <v>1231</v>
      </c>
      <c r="BI73" s="2" t="s">
        <v>79</v>
      </c>
      <c r="BJ73" s="2" t="s">
        <v>107</v>
      </c>
      <c r="BK73" s="2" t="s">
        <v>1232</v>
      </c>
      <c r="BL73" s="2" t="s">
        <v>79</v>
      </c>
      <c r="BM73" s="2" t="s">
        <v>172</v>
      </c>
    </row>
    <row r="74" spans="1:65" ht="409.5" x14ac:dyDescent="0.25">
      <c r="A74" s="2" t="s">
        <v>1233</v>
      </c>
      <c r="B74" s="2">
        <v>2025</v>
      </c>
      <c r="C74" s="2" t="s">
        <v>111</v>
      </c>
      <c r="D74" s="2" t="s">
        <v>79</v>
      </c>
      <c r="E74" s="2" t="s">
        <v>79</v>
      </c>
      <c r="F74" s="2" t="s">
        <v>79</v>
      </c>
      <c r="G74" s="2" t="s">
        <v>80</v>
      </c>
      <c r="H74" s="2" t="s">
        <v>79</v>
      </c>
      <c r="I74" s="2" t="s">
        <v>79</v>
      </c>
      <c r="J74" s="2" t="s">
        <v>80</v>
      </c>
      <c r="K74" s="2" t="s">
        <v>80</v>
      </c>
      <c r="L74" s="2" t="s">
        <v>92</v>
      </c>
      <c r="M74" s="2" t="s">
        <v>80</v>
      </c>
      <c r="N74" s="2" t="s">
        <v>714</v>
      </c>
      <c r="O74" s="2">
        <v>8.5</v>
      </c>
      <c r="P74" s="2" t="s">
        <v>82</v>
      </c>
      <c r="Q74" s="2" t="s">
        <v>1234</v>
      </c>
      <c r="R74" s="2" t="s">
        <v>84</v>
      </c>
      <c r="S74" s="2" t="s">
        <v>84</v>
      </c>
      <c r="T74" s="2" t="s">
        <v>84</v>
      </c>
      <c r="U74" s="2" t="s">
        <v>84</v>
      </c>
      <c r="V74" s="2" t="s">
        <v>84</v>
      </c>
      <c r="W74" s="2" t="s">
        <v>84</v>
      </c>
      <c r="X74" s="2" t="s">
        <v>86</v>
      </c>
      <c r="Y74" s="2" t="s">
        <v>84</v>
      </c>
      <c r="Z74" s="2" t="s">
        <v>85</v>
      </c>
      <c r="AA74" s="2" t="s">
        <v>84</v>
      </c>
      <c r="AB74" s="2" t="s">
        <v>1235</v>
      </c>
      <c r="AC74" s="2" t="s">
        <v>79</v>
      </c>
      <c r="AD74" s="2" t="s">
        <v>1236</v>
      </c>
      <c r="AE74" s="2" t="s">
        <v>143</v>
      </c>
      <c r="AF74" s="2" t="s">
        <v>106</v>
      </c>
      <c r="AG74" s="2" t="s">
        <v>116</v>
      </c>
      <c r="AH74" s="2" t="s">
        <v>92</v>
      </c>
      <c r="AI74" s="2" t="s">
        <v>1237</v>
      </c>
      <c r="AJ74" s="2"/>
      <c r="AK74" s="2" t="s">
        <v>155</v>
      </c>
      <c r="AL74" s="2"/>
      <c r="AM74" s="2" t="s">
        <v>92</v>
      </c>
      <c r="AN74" s="2" t="s">
        <v>118</v>
      </c>
      <c r="AO74" s="2" t="s">
        <v>1238</v>
      </c>
      <c r="AP74" s="2" t="s">
        <v>95</v>
      </c>
      <c r="AQ74" s="2" t="s">
        <v>1239</v>
      </c>
      <c r="AR74" s="2" t="s">
        <v>1240</v>
      </c>
      <c r="AS74" s="2"/>
      <c r="AT74" s="2"/>
      <c r="AU74" s="2"/>
      <c r="AV74" s="2" t="s">
        <v>1241</v>
      </c>
      <c r="AW74" s="2" t="s">
        <v>106</v>
      </c>
      <c r="AX74" s="2"/>
      <c r="AY74" s="2" t="s">
        <v>106</v>
      </c>
      <c r="AZ74" s="2" t="s">
        <v>92</v>
      </c>
      <c r="BA74" s="2" t="s">
        <v>1242</v>
      </c>
      <c r="BB74" s="2" t="s">
        <v>100</v>
      </c>
      <c r="BC74" s="2" t="s">
        <v>1243</v>
      </c>
      <c r="BD74" s="2" t="s">
        <v>426</v>
      </c>
      <c r="BE74" s="2" t="s">
        <v>1244</v>
      </c>
      <c r="BF74" s="2" t="s">
        <v>1245</v>
      </c>
      <c r="BG74" s="2" t="s">
        <v>153</v>
      </c>
      <c r="BH74" s="2" t="s">
        <v>1246</v>
      </c>
      <c r="BI74" s="2" t="s">
        <v>79</v>
      </c>
      <c r="BJ74" s="2" t="s">
        <v>107</v>
      </c>
      <c r="BK74" s="2" t="s">
        <v>1247</v>
      </c>
      <c r="BL74" s="2" t="s">
        <v>79</v>
      </c>
      <c r="BM74" s="2" t="s">
        <v>172</v>
      </c>
    </row>
    <row r="75" spans="1:65" ht="409.5" x14ac:dyDescent="0.25">
      <c r="A75" s="2" t="s">
        <v>1248</v>
      </c>
      <c r="B75" s="2">
        <v>2025</v>
      </c>
      <c r="C75" s="2" t="s">
        <v>143</v>
      </c>
      <c r="D75" s="2" t="s">
        <v>79</v>
      </c>
      <c r="E75" s="2" t="s">
        <v>79</v>
      </c>
      <c r="F75" s="2" t="s">
        <v>80</v>
      </c>
      <c r="G75" s="2" t="s">
        <v>80</v>
      </c>
      <c r="H75" s="2" t="s">
        <v>79</v>
      </c>
      <c r="I75" s="2" t="s">
        <v>79</v>
      </c>
      <c r="J75" s="2" t="s">
        <v>80</v>
      </c>
      <c r="K75" s="2" t="s">
        <v>80</v>
      </c>
      <c r="L75" s="2" t="s">
        <v>80</v>
      </c>
      <c r="M75" s="2" t="s">
        <v>80</v>
      </c>
      <c r="N75" s="2" t="s">
        <v>714</v>
      </c>
      <c r="O75" s="2">
        <v>8</v>
      </c>
      <c r="P75" s="2" t="s">
        <v>82</v>
      </c>
      <c r="Q75" s="2" t="s">
        <v>1249</v>
      </c>
      <c r="R75" s="2" t="s">
        <v>84</v>
      </c>
      <c r="S75" s="2" t="s">
        <v>85</v>
      </c>
      <c r="T75" s="2" t="s">
        <v>84</v>
      </c>
      <c r="U75" s="2" t="s">
        <v>84</v>
      </c>
      <c r="V75" s="2" t="s">
        <v>84</v>
      </c>
      <c r="W75" s="2" t="s">
        <v>84</v>
      </c>
      <c r="X75" s="2" t="s">
        <v>86</v>
      </c>
      <c r="Y75" s="2" t="s">
        <v>84</v>
      </c>
      <c r="Z75" s="2" t="s">
        <v>85</v>
      </c>
      <c r="AA75" s="2" t="s">
        <v>84</v>
      </c>
      <c r="AB75" s="2" t="s">
        <v>1250</v>
      </c>
      <c r="AC75" s="2" t="s">
        <v>92</v>
      </c>
      <c r="AD75" s="2" t="s">
        <v>1251</v>
      </c>
      <c r="AE75" s="2" t="s">
        <v>89</v>
      </c>
      <c r="AF75" s="2" t="s">
        <v>80</v>
      </c>
      <c r="AG75" s="2" t="s">
        <v>116</v>
      </c>
      <c r="AH75" s="2" t="s">
        <v>92</v>
      </c>
      <c r="AI75" s="2" t="s">
        <v>1252</v>
      </c>
      <c r="AJ75" s="2"/>
      <c r="AK75" s="2" t="s">
        <v>155</v>
      </c>
      <c r="AL75" s="2"/>
      <c r="AM75" s="2" t="s">
        <v>92</v>
      </c>
      <c r="AN75" s="2" t="s">
        <v>1253</v>
      </c>
      <c r="AO75" s="2" t="s">
        <v>1254</v>
      </c>
      <c r="AP75" s="2" t="s">
        <v>95</v>
      </c>
      <c r="AQ75" s="2" t="s">
        <v>1255</v>
      </c>
      <c r="AR75" s="2" t="s">
        <v>1256</v>
      </c>
      <c r="AS75" s="2"/>
      <c r="AT75" s="2"/>
      <c r="AU75" s="2"/>
      <c r="AV75" s="2" t="s">
        <v>1257</v>
      </c>
      <c r="AW75" s="2" t="s">
        <v>106</v>
      </c>
      <c r="AX75" s="2"/>
      <c r="AY75" s="2" t="s">
        <v>106</v>
      </c>
      <c r="AZ75" s="2" t="s">
        <v>80</v>
      </c>
      <c r="BA75" s="2"/>
      <c r="BB75" s="2" t="s">
        <v>303</v>
      </c>
      <c r="BC75" s="2" t="s">
        <v>1258</v>
      </c>
      <c r="BD75" s="2" t="s">
        <v>1259</v>
      </c>
      <c r="BE75" s="2" t="s">
        <v>1244</v>
      </c>
      <c r="BF75" s="2" t="s">
        <v>1260</v>
      </c>
      <c r="BG75" s="2" t="s">
        <v>153</v>
      </c>
      <c r="BH75" s="2"/>
      <c r="BI75" s="2" t="s">
        <v>79</v>
      </c>
      <c r="BJ75" s="2" t="s">
        <v>107</v>
      </c>
      <c r="BK75" s="2" t="s">
        <v>1261</v>
      </c>
      <c r="BL75" s="2" t="s">
        <v>79</v>
      </c>
      <c r="BM75" s="2" t="s">
        <v>172</v>
      </c>
    </row>
    <row r="76" spans="1:65" ht="409.5" x14ac:dyDescent="0.25">
      <c r="A76" s="2" t="s">
        <v>1262</v>
      </c>
      <c r="B76" s="2">
        <v>2025</v>
      </c>
      <c r="C76" s="2" t="s">
        <v>78</v>
      </c>
      <c r="D76" s="2" t="s">
        <v>79</v>
      </c>
      <c r="E76" s="2" t="s">
        <v>79</v>
      </c>
      <c r="F76" s="2" t="s">
        <v>79</v>
      </c>
      <c r="G76" s="2" t="s">
        <v>79</v>
      </c>
      <c r="H76" s="2" t="s">
        <v>79</v>
      </c>
      <c r="I76" s="2" t="s">
        <v>79</v>
      </c>
      <c r="J76" s="2" t="s">
        <v>80</v>
      </c>
      <c r="K76" s="2" t="s">
        <v>80</v>
      </c>
      <c r="L76" s="2" t="s">
        <v>80</v>
      </c>
      <c r="M76" s="2" t="s">
        <v>80</v>
      </c>
      <c r="N76" s="2" t="s">
        <v>1263</v>
      </c>
      <c r="O76" s="2">
        <v>8</v>
      </c>
      <c r="P76" s="2" t="s">
        <v>82</v>
      </c>
      <c r="Q76" s="2" t="s">
        <v>1264</v>
      </c>
      <c r="R76" s="2" t="s">
        <v>84</v>
      </c>
      <c r="S76" s="2" t="s">
        <v>85</v>
      </c>
      <c r="T76" s="2" t="s">
        <v>84</v>
      </c>
      <c r="U76" s="2" t="s">
        <v>86</v>
      </c>
      <c r="V76" s="2" t="s">
        <v>84</v>
      </c>
      <c r="W76" s="2" t="s">
        <v>85</v>
      </c>
      <c r="X76" s="2" t="s">
        <v>84</v>
      </c>
      <c r="Y76" s="2" t="s">
        <v>84</v>
      </c>
      <c r="Z76" s="2" t="s">
        <v>84</v>
      </c>
      <c r="AA76" s="2" t="s">
        <v>84</v>
      </c>
      <c r="AB76" s="2" t="s">
        <v>1265</v>
      </c>
      <c r="AC76" s="2" t="s">
        <v>92</v>
      </c>
      <c r="AD76" s="2" t="s">
        <v>1266</v>
      </c>
      <c r="AE76" s="2" t="s">
        <v>89</v>
      </c>
      <c r="AF76" s="2" t="s">
        <v>80</v>
      </c>
      <c r="AG76" s="2" t="s">
        <v>116</v>
      </c>
      <c r="AH76" s="2" t="s">
        <v>92</v>
      </c>
      <c r="AI76" s="2" t="s">
        <v>1267</v>
      </c>
      <c r="AJ76" s="2" t="s">
        <v>143</v>
      </c>
      <c r="AK76" s="2" t="s">
        <v>1268</v>
      </c>
      <c r="AL76" s="2" t="s">
        <v>1269</v>
      </c>
      <c r="AM76" s="2" t="s">
        <v>92</v>
      </c>
      <c r="AN76" s="2" t="s">
        <v>279</v>
      </c>
      <c r="AO76" s="2" t="s">
        <v>1270</v>
      </c>
      <c r="AP76" s="2" t="s">
        <v>95</v>
      </c>
      <c r="AQ76" s="2" t="s">
        <v>1271</v>
      </c>
      <c r="AR76" s="2" t="s">
        <v>1272</v>
      </c>
      <c r="AS76" s="2"/>
      <c r="AT76" s="2"/>
      <c r="AU76" s="2"/>
      <c r="AV76" s="2" t="s">
        <v>1273</v>
      </c>
      <c r="AW76" s="2" t="s">
        <v>106</v>
      </c>
      <c r="AX76" s="2"/>
      <c r="AY76" s="2" t="s">
        <v>106</v>
      </c>
      <c r="AZ76" s="2" t="s">
        <v>79</v>
      </c>
      <c r="BA76" s="2" t="s">
        <v>1274</v>
      </c>
      <c r="BB76" s="2" t="s">
        <v>303</v>
      </c>
      <c r="BC76" s="2" t="s">
        <v>1275</v>
      </c>
      <c r="BD76" s="2" t="s">
        <v>1259</v>
      </c>
      <c r="BE76" s="2" t="s">
        <v>1276</v>
      </c>
      <c r="BF76" s="2" t="s">
        <v>1277</v>
      </c>
      <c r="BG76" s="2" t="s">
        <v>153</v>
      </c>
      <c r="BH76" s="2"/>
      <c r="BI76" s="2" t="s">
        <v>79</v>
      </c>
      <c r="BJ76" s="2" t="s">
        <v>289</v>
      </c>
      <c r="BK76" s="2" t="s">
        <v>1278</v>
      </c>
      <c r="BL76" s="2" t="s">
        <v>79</v>
      </c>
      <c r="BM76" s="2" t="s">
        <v>172</v>
      </c>
    </row>
    <row r="77" spans="1:65" ht="409.5" x14ac:dyDescent="0.25">
      <c r="A77" s="2" t="s">
        <v>1279</v>
      </c>
      <c r="B77" s="2">
        <v>2019</v>
      </c>
      <c r="C77" s="2" t="s">
        <v>111</v>
      </c>
      <c r="D77" s="2" t="s">
        <v>79</v>
      </c>
      <c r="E77" s="2" t="s">
        <v>79</v>
      </c>
      <c r="F77" s="2" t="s">
        <v>79</v>
      </c>
      <c r="G77" s="2" t="s">
        <v>79</v>
      </c>
      <c r="H77" s="2" t="s">
        <v>79</v>
      </c>
      <c r="I77" s="2" t="s">
        <v>79</v>
      </c>
      <c r="J77" s="2" t="s">
        <v>79</v>
      </c>
      <c r="K77" s="2" t="s">
        <v>80</v>
      </c>
      <c r="L77" s="2" t="s">
        <v>80</v>
      </c>
      <c r="M77" s="2" t="s">
        <v>80</v>
      </c>
      <c r="N77" s="2" t="s">
        <v>1280</v>
      </c>
      <c r="O77" s="2">
        <v>8.5</v>
      </c>
      <c r="P77" s="2" t="s">
        <v>82</v>
      </c>
      <c r="Q77" s="2" t="s">
        <v>1281</v>
      </c>
      <c r="R77" s="2" t="s">
        <v>84</v>
      </c>
      <c r="S77" s="2" t="s">
        <v>84</v>
      </c>
      <c r="T77" s="2" t="s">
        <v>86</v>
      </c>
      <c r="U77" s="2" t="s">
        <v>84</v>
      </c>
      <c r="V77" s="2" t="s">
        <v>84</v>
      </c>
      <c r="W77" s="2" t="s">
        <v>84</v>
      </c>
      <c r="X77" s="2" t="s">
        <v>84</v>
      </c>
      <c r="Y77" s="2" t="s">
        <v>84</v>
      </c>
      <c r="Z77" s="2" t="s">
        <v>85</v>
      </c>
      <c r="AA77" s="2" t="s">
        <v>84</v>
      </c>
      <c r="AB77" s="2" t="s">
        <v>1282</v>
      </c>
      <c r="AC77" s="2" t="s">
        <v>92</v>
      </c>
      <c r="AD77" s="2" t="s">
        <v>1283</v>
      </c>
      <c r="AE77" s="2" t="s">
        <v>143</v>
      </c>
      <c r="AF77" s="2" t="s">
        <v>80</v>
      </c>
      <c r="AG77" s="2" t="s">
        <v>194</v>
      </c>
      <c r="AH77" s="2" t="s">
        <v>92</v>
      </c>
      <c r="AI77" s="2" t="s">
        <v>1284</v>
      </c>
      <c r="AJ77" s="2" t="s">
        <v>1285</v>
      </c>
      <c r="AK77" s="2" t="s">
        <v>1286</v>
      </c>
      <c r="AL77" s="2" t="s">
        <v>1287</v>
      </c>
      <c r="AM77" s="2" t="s">
        <v>92</v>
      </c>
      <c r="AN77" s="2" t="s">
        <v>1288</v>
      </c>
      <c r="AO77" s="2" t="s">
        <v>1289</v>
      </c>
      <c r="AP77" s="2" t="s">
        <v>95</v>
      </c>
      <c r="AQ77" s="2" t="s">
        <v>1290</v>
      </c>
      <c r="AR77" s="2" t="s">
        <v>1291</v>
      </c>
      <c r="AS77" s="2" t="s">
        <v>1292</v>
      </c>
      <c r="AT77" s="2" t="s">
        <v>1293</v>
      </c>
      <c r="AU77" s="2"/>
      <c r="AV77" s="2" t="s">
        <v>1294</v>
      </c>
      <c r="AW77" s="2" t="s">
        <v>80</v>
      </c>
      <c r="AX77" s="2"/>
      <c r="AY77" s="2" t="s">
        <v>80</v>
      </c>
      <c r="AZ77" s="2" t="s">
        <v>92</v>
      </c>
      <c r="BA77" s="2" t="s">
        <v>1295</v>
      </c>
      <c r="BB77" s="2" t="s">
        <v>1143</v>
      </c>
      <c r="BC77" s="2" t="s">
        <v>1296</v>
      </c>
      <c r="BD77" s="2" t="s">
        <v>514</v>
      </c>
      <c r="BE77" s="2" t="s">
        <v>756</v>
      </c>
      <c r="BF77" s="2" t="s">
        <v>1297</v>
      </c>
      <c r="BG77" s="2" t="s">
        <v>648</v>
      </c>
      <c r="BH77" s="2"/>
      <c r="BI77" s="2" t="s">
        <v>79</v>
      </c>
      <c r="BJ77" s="2" t="s">
        <v>1298</v>
      </c>
      <c r="BK77" s="2" t="s">
        <v>1299</v>
      </c>
      <c r="BL77" s="2" t="s">
        <v>79</v>
      </c>
      <c r="BM77" s="2" t="s">
        <v>109</v>
      </c>
    </row>
    <row r="78" spans="1:65" ht="409.5" x14ac:dyDescent="0.25">
      <c r="A78" s="2" t="s">
        <v>1300</v>
      </c>
      <c r="B78" s="2">
        <v>2020</v>
      </c>
      <c r="C78" s="2" t="s">
        <v>111</v>
      </c>
      <c r="D78" s="2" t="s">
        <v>79</v>
      </c>
      <c r="E78" s="2" t="s">
        <v>79</v>
      </c>
      <c r="F78" s="2" t="s">
        <v>79</v>
      </c>
      <c r="G78" s="2" t="s">
        <v>79</v>
      </c>
      <c r="H78" s="2" t="s">
        <v>79</v>
      </c>
      <c r="I78" s="2" t="s">
        <v>80</v>
      </c>
      <c r="J78" s="2" t="s">
        <v>79</v>
      </c>
      <c r="K78" s="2" t="s">
        <v>80</v>
      </c>
      <c r="L78" s="2" t="s">
        <v>80</v>
      </c>
      <c r="M78" s="2" t="s">
        <v>80</v>
      </c>
      <c r="N78" s="2" t="s">
        <v>1301</v>
      </c>
      <c r="O78" s="2">
        <v>8.5</v>
      </c>
      <c r="P78" s="2" t="s">
        <v>82</v>
      </c>
      <c r="Q78" s="2" t="s">
        <v>1302</v>
      </c>
      <c r="R78" s="2" t="s">
        <v>84</v>
      </c>
      <c r="S78" s="2" t="s">
        <v>84</v>
      </c>
      <c r="T78" s="2" t="s">
        <v>86</v>
      </c>
      <c r="U78" s="2" t="s">
        <v>84</v>
      </c>
      <c r="V78" s="2" t="s">
        <v>84</v>
      </c>
      <c r="W78" s="2" t="s">
        <v>84</v>
      </c>
      <c r="X78" s="2" t="s">
        <v>84</v>
      </c>
      <c r="Y78" s="2" t="s">
        <v>84</v>
      </c>
      <c r="Z78" s="2" t="s">
        <v>85</v>
      </c>
      <c r="AA78" s="2" t="s">
        <v>84</v>
      </c>
      <c r="AB78" s="2" t="s">
        <v>1303</v>
      </c>
      <c r="AC78" s="2" t="s">
        <v>92</v>
      </c>
      <c r="AD78" s="2" t="s">
        <v>1304</v>
      </c>
      <c r="AE78" s="2" t="s">
        <v>143</v>
      </c>
      <c r="AF78" s="2" t="s">
        <v>80</v>
      </c>
      <c r="AG78" s="2" t="s">
        <v>194</v>
      </c>
      <c r="AH78" s="2" t="s">
        <v>92</v>
      </c>
      <c r="AI78" s="2" t="s">
        <v>1305</v>
      </c>
      <c r="AJ78" s="2" t="s">
        <v>1306</v>
      </c>
      <c r="AK78" s="2" t="s">
        <v>1307</v>
      </c>
      <c r="AL78" s="2" t="s">
        <v>1308</v>
      </c>
      <c r="AM78" s="2" t="s">
        <v>92</v>
      </c>
      <c r="AN78" s="2" t="s">
        <v>553</v>
      </c>
      <c r="AO78" s="2" t="s">
        <v>1309</v>
      </c>
      <c r="AP78" s="2" t="s">
        <v>95</v>
      </c>
      <c r="AQ78" s="2"/>
      <c r="AR78" s="2"/>
      <c r="AS78" s="2" t="s">
        <v>1310</v>
      </c>
      <c r="AT78" s="2" t="s">
        <v>1311</v>
      </c>
      <c r="AU78" s="2"/>
      <c r="AV78" s="2" t="s">
        <v>1312</v>
      </c>
      <c r="AW78" s="2" t="s">
        <v>80</v>
      </c>
      <c r="AX78" s="2"/>
      <c r="AY78" s="2" t="s">
        <v>80</v>
      </c>
      <c r="AZ78" s="2" t="s">
        <v>79</v>
      </c>
      <c r="BA78" s="2" t="s">
        <v>1313</v>
      </c>
      <c r="BB78" s="2" t="s">
        <v>303</v>
      </c>
      <c r="BC78" s="2" t="s">
        <v>1314</v>
      </c>
      <c r="BD78" s="2" t="s">
        <v>1315</v>
      </c>
      <c r="BE78" s="2" t="s">
        <v>756</v>
      </c>
      <c r="BF78" s="2" t="s">
        <v>1316</v>
      </c>
      <c r="BG78" s="2" t="s">
        <v>648</v>
      </c>
      <c r="BH78" s="2"/>
      <c r="BI78" s="2" t="s">
        <v>79</v>
      </c>
      <c r="BJ78" s="2" t="s">
        <v>1298</v>
      </c>
      <c r="BK78" s="2" t="s">
        <v>1317</v>
      </c>
      <c r="BL78" s="2" t="s">
        <v>79</v>
      </c>
      <c r="BM78" s="2" t="s">
        <v>109</v>
      </c>
    </row>
    <row r="79" spans="1:65" ht="409.5" x14ac:dyDescent="0.25">
      <c r="A79" s="2" t="s">
        <v>1318</v>
      </c>
      <c r="B79" s="2">
        <v>2020</v>
      </c>
      <c r="C79" s="2" t="s">
        <v>111</v>
      </c>
      <c r="D79" s="2" t="s">
        <v>79</v>
      </c>
      <c r="E79" s="2" t="s">
        <v>79</v>
      </c>
      <c r="F79" s="2" t="s">
        <v>80</v>
      </c>
      <c r="G79" s="2" t="s">
        <v>80</v>
      </c>
      <c r="H79" s="2" t="s">
        <v>79</v>
      </c>
      <c r="I79" s="2" t="s">
        <v>79</v>
      </c>
      <c r="J79" s="2" t="s">
        <v>80</v>
      </c>
      <c r="K79" s="2" t="s">
        <v>80</v>
      </c>
      <c r="L79" s="2" t="s">
        <v>80</v>
      </c>
      <c r="M79" s="2" t="s">
        <v>80</v>
      </c>
      <c r="N79" s="2" t="s">
        <v>271</v>
      </c>
      <c r="O79" s="2">
        <v>8</v>
      </c>
      <c r="P79" s="2" t="s">
        <v>82</v>
      </c>
      <c r="Q79" s="2" t="s">
        <v>1319</v>
      </c>
      <c r="R79" s="2" t="s">
        <v>84</v>
      </c>
      <c r="S79" s="2" t="s">
        <v>84</v>
      </c>
      <c r="T79" s="2" t="s">
        <v>84</v>
      </c>
      <c r="U79" s="2" t="s">
        <v>84</v>
      </c>
      <c r="V79" s="2" t="s">
        <v>84</v>
      </c>
      <c r="W79" s="2" t="s">
        <v>85</v>
      </c>
      <c r="X79" s="2" t="s">
        <v>86</v>
      </c>
      <c r="Y79" s="2" t="s">
        <v>84</v>
      </c>
      <c r="Z79" s="2" t="s">
        <v>85</v>
      </c>
      <c r="AA79" s="2" t="s">
        <v>84</v>
      </c>
      <c r="AB79" s="2" t="s">
        <v>1320</v>
      </c>
      <c r="AC79" s="2" t="s">
        <v>79</v>
      </c>
      <c r="AD79" s="2" t="s">
        <v>1321</v>
      </c>
      <c r="AE79" s="2" t="s">
        <v>89</v>
      </c>
      <c r="AF79" s="2" t="s">
        <v>80</v>
      </c>
      <c r="AG79" s="2" t="s">
        <v>116</v>
      </c>
      <c r="AH79" s="2" t="s">
        <v>92</v>
      </c>
      <c r="AI79" s="2" t="s">
        <v>1322</v>
      </c>
      <c r="AJ79" s="2"/>
      <c r="AK79" s="2" t="s">
        <v>155</v>
      </c>
      <c r="AL79" s="2"/>
      <c r="AM79" s="2" t="s">
        <v>92</v>
      </c>
      <c r="AN79" s="2" t="s">
        <v>453</v>
      </c>
      <c r="AO79" s="2" t="s">
        <v>1323</v>
      </c>
      <c r="AP79" s="2" t="s">
        <v>95</v>
      </c>
      <c r="AQ79" s="2" t="s">
        <v>1324</v>
      </c>
      <c r="AR79" s="2" t="s">
        <v>1325</v>
      </c>
      <c r="AS79" s="2"/>
      <c r="AT79" s="2"/>
      <c r="AU79" s="2"/>
      <c r="AV79" s="2" t="s">
        <v>1326</v>
      </c>
      <c r="AW79" s="2" t="s">
        <v>80</v>
      </c>
      <c r="AX79" s="2"/>
      <c r="AY79" s="2" t="s">
        <v>80</v>
      </c>
      <c r="AZ79" s="2" t="s">
        <v>80</v>
      </c>
      <c r="BA79" s="2"/>
      <c r="BB79" s="2" t="s">
        <v>100</v>
      </c>
      <c r="BC79" s="2" t="s">
        <v>1327</v>
      </c>
      <c r="BD79" s="2" t="s">
        <v>102</v>
      </c>
      <c r="BE79" s="2" t="s">
        <v>854</v>
      </c>
      <c r="BF79" s="2" t="s">
        <v>1328</v>
      </c>
      <c r="BG79" s="2" t="s">
        <v>153</v>
      </c>
      <c r="BH79" s="2"/>
      <c r="BI79" s="2" t="s">
        <v>106</v>
      </c>
      <c r="BJ79" s="2" t="s">
        <v>429</v>
      </c>
      <c r="BK79" s="2" t="s">
        <v>1329</v>
      </c>
      <c r="BL79" s="2" t="s">
        <v>79</v>
      </c>
      <c r="BM79" s="2" t="s">
        <v>109</v>
      </c>
    </row>
    <row r="80" spans="1:65" ht="409.5" x14ac:dyDescent="0.25">
      <c r="A80" s="2" t="s">
        <v>1330</v>
      </c>
      <c r="B80" s="2">
        <v>2019</v>
      </c>
      <c r="C80" s="2" t="s">
        <v>111</v>
      </c>
      <c r="D80" s="2" t="s">
        <v>79</v>
      </c>
      <c r="E80" s="2" t="s">
        <v>79</v>
      </c>
      <c r="F80" s="2" t="s">
        <v>80</v>
      </c>
      <c r="G80" s="2" t="s">
        <v>80</v>
      </c>
      <c r="H80" s="2" t="s">
        <v>79</v>
      </c>
      <c r="I80" s="2" t="s">
        <v>79</v>
      </c>
      <c r="J80" s="2" t="s">
        <v>80</v>
      </c>
      <c r="K80" s="2" t="s">
        <v>80</v>
      </c>
      <c r="L80" s="2" t="s">
        <v>80</v>
      </c>
      <c r="M80" s="2" t="s">
        <v>80</v>
      </c>
      <c r="N80" s="2" t="s">
        <v>271</v>
      </c>
      <c r="O80" s="2">
        <v>8</v>
      </c>
      <c r="P80" s="2" t="s">
        <v>82</v>
      </c>
      <c r="Q80" s="2" t="s">
        <v>1331</v>
      </c>
      <c r="R80" s="2" t="s">
        <v>84</v>
      </c>
      <c r="S80" s="2" t="s">
        <v>84</v>
      </c>
      <c r="T80" s="2" t="s">
        <v>84</v>
      </c>
      <c r="U80" s="2" t="s">
        <v>84</v>
      </c>
      <c r="V80" s="2" t="s">
        <v>84</v>
      </c>
      <c r="W80" s="2" t="s">
        <v>85</v>
      </c>
      <c r="X80" s="2" t="s">
        <v>86</v>
      </c>
      <c r="Y80" s="2" t="s">
        <v>84</v>
      </c>
      <c r="Z80" s="2" t="s">
        <v>85</v>
      </c>
      <c r="AA80" s="2" t="s">
        <v>84</v>
      </c>
      <c r="AB80" s="2" t="s">
        <v>1332</v>
      </c>
      <c r="AC80" s="2" t="s">
        <v>79</v>
      </c>
      <c r="AD80" s="2" t="s">
        <v>1333</v>
      </c>
      <c r="AE80" s="2" t="s">
        <v>89</v>
      </c>
      <c r="AF80" s="2" t="s">
        <v>80</v>
      </c>
      <c r="AG80" s="2" t="s">
        <v>116</v>
      </c>
      <c r="AH80" s="2" t="s">
        <v>92</v>
      </c>
      <c r="AI80" s="2" t="s">
        <v>1334</v>
      </c>
      <c r="AJ80" s="2"/>
      <c r="AK80" s="2" t="s">
        <v>155</v>
      </c>
      <c r="AL80" s="2"/>
      <c r="AM80" s="2" t="s">
        <v>92</v>
      </c>
      <c r="AN80" s="2" t="s">
        <v>118</v>
      </c>
      <c r="AO80" s="2" t="s">
        <v>1335</v>
      </c>
      <c r="AP80" s="2" t="s">
        <v>95</v>
      </c>
      <c r="AQ80" s="2" t="s">
        <v>1336</v>
      </c>
      <c r="AR80" s="2" t="s">
        <v>1337</v>
      </c>
      <c r="AS80" s="2"/>
      <c r="AT80" s="2"/>
      <c r="AU80" s="2"/>
      <c r="AV80" s="2" t="s">
        <v>1338</v>
      </c>
      <c r="AW80" s="2" t="s">
        <v>80</v>
      </c>
      <c r="AX80" s="2"/>
      <c r="AY80" s="2" t="s">
        <v>80</v>
      </c>
      <c r="AZ80" s="2" t="s">
        <v>80</v>
      </c>
      <c r="BA80" s="2"/>
      <c r="BB80" s="2" t="s">
        <v>100</v>
      </c>
      <c r="BC80" s="2" t="s">
        <v>1339</v>
      </c>
      <c r="BD80" s="2" t="s">
        <v>102</v>
      </c>
      <c r="BE80" s="2" t="s">
        <v>1340</v>
      </c>
      <c r="BF80" s="2" t="s">
        <v>1341</v>
      </c>
      <c r="BG80" s="2" t="s">
        <v>153</v>
      </c>
      <c r="BH80" s="2"/>
      <c r="BI80" s="2" t="s">
        <v>106</v>
      </c>
      <c r="BJ80" s="2" t="s">
        <v>107</v>
      </c>
      <c r="BK80" s="2" t="s">
        <v>1342</v>
      </c>
      <c r="BL80" s="2" t="s">
        <v>79</v>
      </c>
      <c r="BM80" s="2" t="s">
        <v>109</v>
      </c>
    </row>
    <row r="81" spans="1:65" ht="409.5" x14ac:dyDescent="0.25">
      <c r="A81" s="2" t="s">
        <v>1343</v>
      </c>
      <c r="B81" s="2">
        <v>2019</v>
      </c>
      <c r="C81" s="2" t="s">
        <v>111</v>
      </c>
      <c r="D81" s="2" t="s">
        <v>79</v>
      </c>
      <c r="E81" s="2" t="s">
        <v>79</v>
      </c>
      <c r="F81" s="2" t="s">
        <v>80</v>
      </c>
      <c r="G81" s="2" t="s">
        <v>80</v>
      </c>
      <c r="H81" s="2" t="s">
        <v>79</v>
      </c>
      <c r="I81" s="2" t="s">
        <v>79</v>
      </c>
      <c r="J81" s="2" t="s">
        <v>80</v>
      </c>
      <c r="K81" s="2" t="s">
        <v>80</v>
      </c>
      <c r="L81" s="2" t="s">
        <v>80</v>
      </c>
      <c r="M81" s="2" t="s">
        <v>80</v>
      </c>
      <c r="N81" s="2" t="s">
        <v>1344</v>
      </c>
      <c r="O81" s="2">
        <v>8.5</v>
      </c>
      <c r="P81" s="2" t="s">
        <v>82</v>
      </c>
      <c r="Q81" s="2" t="s">
        <v>1345</v>
      </c>
      <c r="R81" s="2" t="s">
        <v>84</v>
      </c>
      <c r="S81" s="2" t="s">
        <v>84</v>
      </c>
      <c r="T81" s="2" t="s">
        <v>84</v>
      </c>
      <c r="U81" s="2" t="s">
        <v>84</v>
      </c>
      <c r="V81" s="2" t="s">
        <v>84</v>
      </c>
      <c r="W81" s="2" t="s">
        <v>85</v>
      </c>
      <c r="X81" s="2" t="s">
        <v>86</v>
      </c>
      <c r="Y81" s="2" t="s">
        <v>84</v>
      </c>
      <c r="Z81" s="2" t="s">
        <v>84</v>
      </c>
      <c r="AA81" s="2" t="s">
        <v>84</v>
      </c>
      <c r="AB81" s="2" t="s">
        <v>1346</v>
      </c>
      <c r="AC81" s="2"/>
      <c r="AD81" s="2" t="s">
        <v>1347</v>
      </c>
      <c r="AE81" s="2" t="s">
        <v>89</v>
      </c>
      <c r="AF81" s="2" t="s">
        <v>80</v>
      </c>
      <c r="AG81" s="2" t="s">
        <v>116</v>
      </c>
      <c r="AH81" s="2"/>
      <c r="AI81" s="2" t="s">
        <v>1348</v>
      </c>
      <c r="AJ81" s="2"/>
      <c r="AK81" s="2"/>
      <c r="AL81" s="2"/>
      <c r="AM81" s="2" t="s">
        <v>92</v>
      </c>
      <c r="AN81" s="2"/>
      <c r="AO81" s="2" t="s">
        <v>1349</v>
      </c>
      <c r="AP81" s="2" t="s">
        <v>95</v>
      </c>
      <c r="AQ81" s="2" t="s">
        <v>1350</v>
      </c>
      <c r="AR81" s="2" t="s">
        <v>1351</v>
      </c>
      <c r="AS81" s="2"/>
      <c r="AT81" s="2"/>
      <c r="AU81" s="2" t="s">
        <v>1352</v>
      </c>
      <c r="AV81" s="2" t="s">
        <v>1353</v>
      </c>
      <c r="AW81" s="2" t="s">
        <v>80</v>
      </c>
      <c r="AX81" s="2"/>
      <c r="AY81" s="2" t="s">
        <v>80</v>
      </c>
      <c r="AZ81" s="2"/>
      <c r="BA81" s="2"/>
      <c r="BB81" s="2" t="s">
        <v>100</v>
      </c>
      <c r="BC81" s="2" t="s">
        <v>1354</v>
      </c>
      <c r="BD81" s="2" t="s">
        <v>102</v>
      </c>
      <c r="BE81" s="2"/>
      <c r="BF81" s="2" t="s">
        <v>1355</v>
      </c>
      <c r="BG81" s="2" t="s">
        <v>153</v>
      </c>
      <c r="BH81" s="2"/>
      <c r="BI81" s="2" t="s">
        <v>106</v>
      </c>
      <c r="BJ81" s="2" t="s">
        <v>107</v>
      </c>
      <c r="BK81" s="2" t="s">
        <v>1356</v>
      </c>
      <c r="BL81" s="2" t="s">
        <v>79</v>
      </c>
      <c r="BM81" s="2" t="s">
        <v>109</v>
      </c>
    </row>
    <row r="82" spans="1:65" ht="409.5" x14ac:dyDescent="0.25">
      <c r="A82" s="2" t="s">
        <v>1357</v>
      </c>
      <c r="B82" s="2">
        <v>2019</v>
      </c>
      <c r="C82" s="2" t="s">
        <v>111</v>
      </c>
      <c r="D82" s="2" t="s">
        <v>79</v>
      </c>
      <c r="E82" s="2" t="s">
        <v>79</v>
      </c>
      <c r="F82" s="2" t="s">
        <v>79</v>
      </c>
      <c r="G82" s="2" t="s">
        <v>80</v>
      </c>
      <c r="H82" s="2" t="s">
        <v>79</v>
      </c>
      <c r="I82" s="2" t="s">
        <v>79</v>
      </c>
      <c r="J82" s="2" t="s">
        <v>80</v>
      </c>
      <c r="K82" s="2" t="s">
        <v>80</v>
      </c>
      <c r="L82" s="2" t="s">
        <v>80</v>
      </c>
      <c r="M82" s="2" t="s">
        <v>80</v>
      </c>
      <c r="N82" s="2" t="s">
        <v>1344</v>
      </c>
      <c r="O82" s="2">
        <v>8.5</v>
      </c>
      <c r="P82" s="2" t="s">
        <v>82</v>
      </c>
      <c r="Q82" s="2" t="s">
        <v>1358</v>
      </c>
      <c r="R82" s="2" t="s">
        <v>84</v>
      </c>
      <c r="S82" s="2" t="s">
        <v>84</v>
      </c>
      <c r="T82" s="2" t="s">
        <v>84</v>
      </c>
      <c r="U82" s="2" t="s">
        <v>84</v>
      </c>
      <c r="V82" s="2" t="s">
        <v>84</v>
      </c>
      <c r="W82" s="2" t="s">
        <v>84</v>
      </c>
      <c r="X82" s="2" t="s">
        <v>86</v>
      </c>
      <c r="Y82" s="2" t="s">
        <v>84</v>
      </c>
      <c r="Z82" s="2" t="s">
        <v>85</v>
      </c>
      <c r="AA82" s="2" t="s">
        <v>84</v>
      </c>
      <c r="AB82" s="2" t="s">
        <v>1359</v>
      </c>
      <c r="AC82" s="2"/>
      <c r="AD82" s="2" t="s">
        <v>1360</v>
      </c>
      <c r="AE82" s="2" t="s">
        <v>89</v>
      </c>
      <c r="AF82" s="2" t="s">
        <v>80</v>
      </c>
      <c r="AG82" s="2" t="s">
        <v>116</v>
      </c>
      <c r="AH82" s="2"/>
      <c r="AI82" s="2" t="s">
        <v>1361</v>
      </c>
      <c r="AJ82" s="2"/>
      <c r="AK82" s="2"/>
      <c r="AL82" s="2"/>
      <c r="AM82" s="2" t="s">
        <v>92</v>
      </c>
      <c r="AN82" s="2"/>
      <c r="AO82" s="2" t="s">
        <v>1362</v>
      </c>
      <c r="AP82" s="2" t="s">
        <v>95</v>
      </c>
      <c r="AQ82" s="2" t="s">
        <v>1363</v>
      </c>
      <c r="AR82" s="2" t="s">
        <v>1364</v>
      </c>
      <c r="AS82" s="2"/>
      <c r="AT82" s="2"/>
      <c r="AU82" s="2" t="s">
        <v>1365</v>
      </c>
      <c r="AV82" s="2" t="s">
        <v>1366</v>
      </c>
      <c r="AW82" s="2" t="s">
        <v>80</v>
      </c>
      <c r="AX82" s="2"/>
      <c r="AY82" s="2" t="s">
        <v>80</v>
      </c>
      <c r="AZ82" s="2"/>
      <c r="BA82" s="2" t="s">
        <v>1367</v>
      </c>
      <c r="BB82" s="2" t="s">
        <v>303</v>
      </c>
      <c r="BC82" s="2" t="s">
        <v>1368</v>
      </c>
      <c r="BD82" s="2" t="s">
        <v>514</v>
      </c>
      <c r="BE82" s="2"/>
      <c r="BF82" s="2" t="s">
        <v>1369</v>
      </c>
      <c r="BG82" s="2" t="s">
        <v>153</v>
      </c>
      <c r="BH82" s="2"/>
      <c r="BI82" s="2" t="s">
        <v>79</v>
      </c>
      <c r="BJ82" s="2" t="s">
        <v>107</v>
      </c>
      <c r="BK82" s="2" t="s">
        <v>1370</v>
      </c>
      <c r="BL82" s="2" t="s">
        <v>79</v>
      </c>
      <c r="BM82" s="2" t="s">
        <v>268</v>
      </c>
    </row>
    <row r="83" spans="1:65" ht="409.5" x14ac:dyDescent="0.25">
      <c r="A83" s="2" t="s">
        <v>1371</v>
      </c>
      <c r="B83" s="2">
        <v>2020</v>
      </c>
      <c r="C83" s="2" t="s">
        <v>111</v>
      </c>
      <c r="D83" s="2" t="s">
        <v>79</v>
      </c>
      <c r="E83" s="2" t="s">
        <v>79</v>
      </c>
      <c r="F83" s="2" t="s">
        <v>80</v>
      </c>
      <c r="G83" s="2" t="s">
        <v>80</v>
      </c>
      <c r="H83" s="2" t="s">
        <v>79</v>
      </c>
      <c r="I83" s="2" t="s">
        <v>79</v>
      </c>
      <c r="J83" s="2" t="s">
        <v>80</v>
      </c>
      <c r="K83" s="2" t="s">
        <v>80</v>
      </c>
      <c r="L83" s="2" t="s">
        <v>80</v>
      </c>
      <c r="M83" s="2" t="s">
        <v>80</v>
      </c>
      <c r="N83" s="2" t="s">
        <v>1344</v>
      </c>
      <c r="O83" s="2">
        <v>8.5</v>
      </c>
      <c r="P83" s="2" t="s">
        <v>82</v>
      </c>
      <c r="Q83" s="2" t="s">
        <v>1372</v>
      </c>
      <c r="R83" s="2" t="s">
        <v>84</v>
      </c>
      <c r="S83" s="2" t="s">
        <v>84</v>
      </c>
      <c r="T83" s="2" t="s">
        <v>84</v>
      </c>
      <c r="U83" s="2" t="s">
        <v>84</v>
      </c>
      <c r="V83" s="2" t="s">
        <v>84</v>
      </c>
      <c r="W83" s="2" t="s">
        <v>84</v>
      </c>
      <c r="X83" s="2" t="s">
        <v>86</v>
      </c>
      <c r="Y83" s="2" t="s">
        <v>84</v>
      </c>
      <c r="Z83" s="2" t="s">
        <v>85</v>
      </c>
      <c r="AA83" s="2" t="s">
        <v>84</v>
      </c>
      <c r="AB83" s="2" t="s">
        <v>1373</v>
      </c>
      <c r="AC83" s="2"/>
      <c r="AD83" s="2" t="s">
        <v>1374</v>
      </c>
      <c r="AE83" s="2" t="s">
        <v>89</v>
      </c>
      <c r="AF83" s="2" t="s">
        <v>80</v>
      </c>
      <c r="AG83" s="2" t="s">
        <v>116</v>
      </c>
      <c r="AH83" s="2"/>
      <c r="AI83" s="2" t="s">
        <v>1375</v>
      </c>
      <c r="AJ83" s="2"/>
      <c r="AK83" s="2"/>
      <c r="AL83" s="2"/>
      <c r="AM83" s="2" t="s">
        <v>92</v>
      </c>
      <c r="AN83" s="2"/>
      <c r="AO83" s="2" t="s">
        <v>1376</v>
      </c>
      <c r="AP83" s="2" t="s">
        <v>95</v>
      </c>
      <c r="AQ83" s="2" t="s">
        <v>1377</v>
      </c>
      <c r="AR83" s="2" t="s">
        <v>1378</v>
      </c>
      <c r="AS83" s="2"/>
      <c r="AT83" s="2"/>
      <c r="AU83" s="2" t="s">
        <v>1379</v>
      </c>
      <c r="AV83" s="2" t="s">
        <v>1380</v>
      </c>
      <c r="AW83" s="2" t="s">
        <v>80</v>
      </c>
      <c r="AX83" s="2"/>
      <c r="AY83" s="2" t="s">
        <v>80</v>
      </c>
      <c r="AZ83" s="2"/>
      <c r="BA83" s="2"/>
      <c r="BB83" s="2" t="s">
        <v>100</v>
      </c>
      <c r="BC83" s="2" t="s">
        <v>1381</v>
      </c>
      <c r="BD83" s="2" t="s">
        <v>102</v>
      </c>
      <c r="BE83" s="2"/>
      <c r="BF83" s="2" t="s">
        <v>1382</v>
      </c>
      <c r="BG83" s="2" t="s">
        <v>153</v>
      </c>
      <c r="BH83" s="2"/>
      <c r="BI83" s="2" t="s">
        <v>79</v>
      </c>
      <c r="BJ83" s="2" t="s">
        <v>107</v>
      </c>
      <c r="BK83" s="2" t="s">
        <v>1383</v>
      </c>
      <c r="BL83" s="2" t="s">
        <v>79</v>
      </c>
      <c r="BM83" s="2" t="s">
        <v>109</v>
      </c>
    </row>
    <row r="84" spans="1:65" ht="409.5" x14ac:dyDescent="0.25">
      <c r="A84" s="2" t="s">
        <v>1384</v>
      </c>
      <c r="B84" s="2">
        <v>2025</v>
      </c>
      <c r="C84" s="2" t="s">
        <v>143</v>
      </c>
      <c r="D84" s="2" t="s">
        <v>79</v>
      </c>
      <c r="E84" s="2" t="s">
        <v>79</v>
      </c>
      <c r="F84" s="2" t="s">
        <v>79</v>
      </c>
      <c r="G84" s="2" t="s">
        <v>80</v>
      </c>
      <c r="H84" s="2" t="s">
        <v>79</v>
      </c>
      <c r="I84" s="2" t="s">
        <v>79</v>
      </c>
      <c r="J84" s="2" t="s">
        <v>80</v>
      </c>
      <c r="K84" s="2" t="s">
        <v>80</v>
      </c>
      <c r="L84" s="2" t="s">
        <v>79</v>
      </c>
      <c r="M84" s="2" t="s">
        <v>92</v>
      </c>
      <c r="N84" s="2" t="s">
        <v>1385</v>
      </c>
      <c r="O84" s="2">
        <v>9</v>
      </c>
      <c r="P84" s="2" t="s">
        <v>82</v>
      </c>
      <c r="Q84" s="2" t="s">
        <v>1386</v>
      </c>
      <c r="R84" s="2" t="s">
        <v>84</v>
      </c>
      <c r="S84" s="2" t="s">
        <v>84</v>
      </c>
      <c r="T84" s="2" t="s">
        <v>84</v>
      </c>
      <c r="U84" s="2" t="s">
        <v>84</v>
      </c>
      <c r="V84" s="2" t="s">
        <v>84</v>
      </c>
      <c r="W84" s="2" t="s">
        <v>84</v>
      </c>
      <c r="X84" s="2" t="s">
        <v>86</v>
      </c>
      <c r="Y84" s="2" t="s">
        <v>84</v>
      </c>
      <c r="Z84" s="2" t="s">
        <v>84</v>
      </c>
      <c r="AA84" s="2" t="s">
        <v>84</v>
      </c>
      <c r="AB84" s="2" t="s">
        <v>1387</v>
      </c>
      <c r="AC84" s="2"/>
      <c r="AD84" s="2" t="s">
        <v>1388</v>
      </c>
      <c r="AE84" s="2" t="s">
        <v>842</v>
      </c>
      <c r="AF84" s="2" t="s">
        <v>106</v>
      </c>
      <c r="AG84" s="2" t="s">
        <v>116</v>
      </c>
      <c r="AH84" s="2"/>
      <c r="AI84" s="2" t="s">
        <v>1389</v>
      </c>
      <c r="AJ84" s="2"/>
      <c r="AK84" s="2"/>
      <c r="AL84" s="2"/>
      <c r="AM84" s="2" t="s">
        <v>92</v>
      </c>
      <c r="AN84" s="2"/>
      <c r="AO84" s="2" t="s">
        <v>1390</v>
      </c>
      <c r="AP84" s="2" t="s">
        <v>95</v>
      </c>
      <c r="AQ84" s="2" t="s">
        <v>1391</v>
      </c>
      <c r="AR84" s="2" t="s">
        <v>1392</v>
      </c>
      <c r="AS84" s="2"/>
      <c r="AT84" s="2"/>
      <c r="AU84" s="2" t="s">
        <v>1393</v>
      </c>
      <c r="AV84" s="2" t="s">
        <v>1394</v>
      </c>
      <c r="AW84" s="2" t="s">
        <v>80</v>
      </c>
      <c r="AX84" s="2"/>
      <c r="AY84" s="2" t="s">
        <v>80</v>
      </c>
      <c r="AZ84" s="2"/>
      <c r="BA84" s="2" t="s">
        <v>1395</v>
      </c>
      <c r="BB84" s="2" t="s">
        <v>100</v>
      </c>
      <c r="BC84" s="2" t="s">
        <v>1396</v>
      </c>
      <c r="BD84" s="2" t="s">
        <v>102</v>
      </c>
      <c r="BE84" s="2"/>
      <c r="BF84" s="2" t="s">
        <v>1397</v>
      </c>
      <c r="BG84" s="2" t="s">
        <v>856</v>
      </c>
      <c r="BH84" s="2" t="s">
        <v>1398</v>
      </c>
      <c r="BI84" s="2" t="s">
        <v>79</v>
      </c>
      <c r="BJ84" s="2" t="s">
        <v>107</v>
      </c>
      <c r="BK84" s="2" t="s">
        <v>1399</v>
      </c>
      <c r="BL84" s="2" t="s">
        <v>79</v>
      </c>
      <c r="BM84" s="2" t="s">
        <v>172</v>
      </c>
    </row>
    <row r="85" spans="1:65" ht="375" x14ac:dyDescent="0.25">
      <c r="A85" s="2" t="s">
        <v>1400</v>
      </c>
      <c r="B85" s="2">
        <v>2018</v>
      </c>
      <c r="C85" s="2" t="s">
        <v>111</v>
      </c>
      <c r="D85" s="2" t="s">
        <v>80</v>
      </c>
      <c r="E85" s="2" t="s">
        <v>80</v>
      </c>
      <c r="F85" s="2" t="s">
        <v>79</v>
      </c>
      <c r="G85" s="2" t="s">
        <v>79</v>
      </c>
      <c r="H85" s="2" t="s">
        <v>79</v>
      </c>
      <c r="I85" s="2" t="s">
        <v>80</v>
      </c>
      <c r="J85" s="2" t="s">
        <v>80</v>
      </c>
      <c r="K85" s="2" t="s">
        <v>80</v>
      </c>
      <c r="L85" s="2" t="s">
        <v>80</v>
      </c>
      <c r="M85" s="2" t="s">
        <v>80</v>
      </c>
      <c r="N85" s="2"/>
      <c r="O85" s="2">
        <v>7</v>
      </c>
      <c r="P85" s="2" t="s">
        <v>82</v>
      </c>
      <c r="Q85" s="2" t="s">
        <v>1401</v>
      </c>
      <c r="R85" s="2" t="s">
        <v>84</v>
      </c>
      <c r="S85" s="2" t="s">
        <v>85</v>
      </c>
      <c r="T85" s="2" t="s">
        <v>86</v>
      </c>
      <c r="U85" s="2" t="s">
        <v>84</v>
      </c>
      <c r="V85" s="2" t="s">
        <v>84</v>
      </c>
      <c r="W85" s="2" t="s">
        <v>84</v>
      </c>
      <c r="X85" s="2" t="s">
        <v>84</v>
      </c>
      <c r="Y85" s="2" t="s">
        <v>86</v>
      </c>
      <c r="Z85" s="2" t="s">
        <v>85</v>
      </c>
      <c r="AA85" s="2" t="s">
        <v>84</v>
      </c>
      <c r="AB85" s="2" t="s">
        <v>1402</v>
      </c>
      <c r="AC85" s="2"/>
      <c r="AD85" s="2"/>
      <c r="AE85" s="2" t="s">
        <v>143</v>
      </c>
      <c r="AF85" s="2"/>
      <c r="AG85" s="2"/>
      <c r="AH85" s="2"/>
      <c r="AI85" s="2"/>
      <c r="AJ85" s="2"/>
      <c r="AK85" s="2" t="s">
        <v>155</v>
      </c>
      <c r="AL85" s="2" t="s">
        <v>1403</v>
      </c>
      <c r="AM85" s="2" t="s">
        <v>92</v>
      </c>
      <c r="AN85" s="2" t="s">
        <v>213</v>
      </c>
      <c r="AO85" s="2" t="s">
        <v>1404</v>
      </c>
      <c r="AP85" s="2" t="s">
        <v>95</v>
      </c>
      <c r="AQ85" s="2"/>
      <c r="AR85" s="2"/>
      <c r="AS85" s="2"/>
      <c r="AT85" s="2"/>
      <c r="AU85" s="2"/>
      <c r="AV85" s="2"/>
      <c r="AW85" s="2"/>
      <c r="AX85" s="2"/>
      <c r="AY85" s="2"/>
      <c r="AZ85" s="2"/>
      <c r="BA85" s="2" t="s">
        <v>1405</v>
      </c>
      <c r="BB85" s="2" t="s">
        <v>1143</v>
      </c>
      <c r="BC85" s="2" t="s">
        <v>1406</v>
      </c>
      <c r="BD85" s="2" t="s">
        <v>514</v>
      </c>
      <c r="BE85" s="2" t="s">
        <v>1407</v>
      </c>
      <c r="BF85" s="2" t="s">
        <v>1408</v>
      </c>
      <c r="BG85" s="2" t="s">
        <v>648</v>
      </c>
      <c r="BH85" s="2"/>
      <c r="BI85" s="2" t="s">
        <v>106</v>
      </c>
      <c r="BJ85" s="2"/>
      <c r="BK85" s="2" t="s">
        <v>1409</v>
      </c>
      <c r="BL85" s="2" t="s">
        <v>79</v>
      </c>
      <c r="BM85" s="2" t="s">
        <v>109</v>
      </c>
    </row>
    <row r="86" spans="1:65" ht="409.5" x14ac:dyDescent="0.25">
      <c r="A86" s="2" t="s">
        <v>1410</v>
      </c>
      <c r="B86" s="2">
        <v>1966</v>
      </c>
      <c r="C86" s="2" t="s">
        <v>111</v>
      </c>
      <c r="D86" s="2" t="s">
        <v>79</v>
      </c>
      <c r="E86" s="2" t="s">
        <v>79</v>
      </c>
      <c r="F86" s="2" t="s">
        <v>79</v>
      </c>
      <c r="G86" s="2" t="s">
        <v>80</v>
      </c>
      <c r="H86" s="2" t="s">
        <v>79</v>
      </c>
      <c r="I86" s="2" t="s">
        <v>79</v>
      </c>
      <c r="J86" s="2" t="s">
        <v>80</v>
      </c>
      <c r="K86" s="2" t="s">
        <v>80</v>
      </c>
      <c r="L86" s="2" t="s">
        <v>80</v>
      </c>
      <c r="M86" s="2" t="s">
        <v>92</v>
      </c>
      <c r="N86" s="2" t="s">
        <v>81</v>
      </c>
      <c r="O86" s="2">
        <v>6.5</v>
      </c>
      <c r="P86" s="2" t="s">
        <v>82</v>
      </c>
      <c r="Q86" s="2" t="s">
        <v>1411</v>
      </c>
      <c r="R86" s="2" t="s">
        <v>84</v>
      </c>
      <c r="S86" s="2" t="s">
        <v>84</v>
      </c>
      <c r="T86" s="2" t="s">
        <v>84</v>
      </c>
      <c r="U86" s="2" t="s">
        <v>84</v>
      </c>
      <c r="V86" s="2" t="s">
        <v>84</v>
      </c>
      <c r="W86" s="2" t="s">
        <v>86</v>
      </c>
      <c r="X86" s="2" t="s">
        <v>86</v>
      </c>
      <c r="Y86" s="2" t="s">
        <v>84</v>
      </c>
      <c r="Z86" s="2" t="s">
        <v>85</v>
      </c>
      <c r="AA86" s="2" t="s">
        <v>86</v>
      </c>
      <c r="AB86" s="2" t="s">
        <v>1412</v>
      </c>
      <c r="AC86" s="2"/>
      <c r="AD86" s="2" t="s">
        <v>1413</v>
      </c>
      <c r="AE86" s="2" t="s">
        <v>89</v>
      </c>
      <c r="AF86" s="2" t="s">
        <v>79</v>
      </c>
      <c r="AG86" s="2" t="s">
        <v>194</v>
      </c>
      <c r="AH86" s="2"/>
      <c r="AI86" s="2" t="s">
        <v>1414</v>
      </c>
      <c r="AJ86" s="2"/>
      <c r="AK86" s="2"/>
      <c r="AL86" s="2"/>
      <c r="AM86" s="2" t="s">
        <v>92</v>
      </c>
      <c r="AN86" s="2" t="s">
        <v>357</v>
      </c>
      <c r="AO86" s="2" t="s">
        <v>1415</v>
      </c>
      <c r="AP86" s="2" t="s">
        <v>95</v>
      </c>
      <c r="AQ86" s="2" t="s">
        <v>1416</v>
      </c>
      <c r="AR86" s="2" t="s">
        <v>1417</v>
      </c>
      <c r="AS86" s="2"/>
      <c r="AT86" s="2"/>
      <c r="AU86" s="2"/>
      <c r="AV86" s="2" t="s">
        <v>1418</v>
      </c>
      <c r="AW86" s="2"/>
      <c r="AX86" s="2"/>
      <c r="AY86" s="2"/>
      <c r="AZ86" s="2"/>
      <c r="BA86" s="2" t="s">
        <v>1419</v>
      </c>
      <c r="BB86" s="2" t="s">
        <v>100</v>
      </c>
      <c r="BC86" s="2" t="s">
        <v>1420</v>
      </c>
      <c r="BD86" s="2" t="s">
        <v>102</v>
      </c>
      <c r="BE86" s="2"/>
      <c r="BF86" s="2" t="s">
        <v>1421</v>
      </c>
      <c r="BG86" s="2" t="s">
        <v>104</v>
      </c>
      <c r="BH86" s="2" t="s">
        <v>1422</v>
      </c>
      <c r="BI86" s="2" t="s">
        <v>80</v>
      </c>
      <c r="BJ86" s="2" t="s">
        <v>107</v>
      </c>
      <c r="BK86" s="2" t="s">
        <v>1423</v>
      </c>
      <c r="BL86" s="2" t="s">
        <v>79</v>
      </c>
      <c r="BM86" s="2" t="s">
        <v>1424</v>
      </c>
    </row>
    <row r="87" spans="1:65" ht="409.5" x14ac:dyDescent="0.25">
      <c r="A87" s="2" t="s">
        <v>1425</v>
      </c>
      <c r="B87" s="2">
        <v>1994</v>
      </c>
      <c r="C87" s="2" t="s">
        <v>111</v>
      </c>
      <c r="D87" s="2" t="s">
        <v>79</v>
      </c>
      <c r="E87" s="2" t="s">
        <v>80</v>
      </c>
      <c r="F87" s="2" t="s">
        <v>79</v>
      </c>
      <c r="G87" s="2" t="s">
        <v>80</v>
      </c>
      <c r="H87" s="2" t="s">
        <v>79</v>
      </c>
      <c r="I87" s="2" t="s">
        <v>80</v>
      </c>
      <c r="J87" s="2" t="s">
        <v>80</v>
      </c>
      <c r="K87" s="2" t="s">
        <v>80</v>
      </c>
      <c r="L87" s="2" t="s">
        <v>80</v>
      </c>
      <c r="M87" s="2" t="s">
        <v>80</v>
      </c>
      <c r="N87" s="2"/>
      <c r="O87" s="2">
        <v>6.5</v>
      </c>
      <c r="P87" s="2" t="s">
        <v>82</v>
      </c>
      <c r="Q87" s="2" t="s">
        <v>1426</v>
      </c>
      <c r="R87" s="2" t="s">
        <v>84</v>
      </c>
      <c r="S87" s="2" t="s">
        <v>84</v>
      </c>
      <c r="T87" s="2" t="s">
        <v>86</v>
      </c>
      <c r="U87" s="2" t="s">
        <v>84</v>
      </c>
      <c r="V87" s="2" t="s">
        <v>84</v>
      </c>
      <c r="W87" s="2" t="s">
        <v>84</v>
      </c>
      <c r="X87" s="2" t="s">
        <v>86</v>
      </c>
      <c r="Y87" s="2" t="s">
        <v>86</v>
      </c>
      <c r="Z87" s="2" t="s">
        <v>85</v>
      </c>
      <c r="AA87" s="2" t="s">
        <v>84</v>
      </c>
      <c r="AB87" s="2" t="s">
        <v>1427</v>
      </c>
      <c r="AC87" s="2"/>
      <c r="AD87" s="2"/>
      <c r="AE87" s="2" t="s">
        <v>143</v>
      </c>
      <c r="AF87" s="2" t="s">
        <v>80</v>
      </c>
      <c r="AG87" s="2"/>
      <c r="AH87" s="2"/>
      <c r="AI87" s="2" t="s">
        <v>1428</v>
      </c>
      <c r="AJ87" s="2"/>
      <c r="AK87" s="2"/>
      <c r="AL87" s="2"/>
      <c r="AM87" s="2"/>
      <c r="AN87" s="2" t="s">
        <v>1429</v>
      </c>
      <c r="AO87" s="2" t="s">
        <v>1430</v>
      </c>
      <c r="AP87" s="2" t="s">
        <v>95</v>
      </c>
      <c r="AQ87" s="2"/>
      <c r="AR87" s="2"/>
      <c r="AS87" s="2"/>
      <c r="AT87" s="2"/>
      <c r="AU87" s="2"/>
      <c r="AV87" s="2" t="s">
        <v>1431</v>
      </c>
      <c r="AW87" s="2"/>
      <c r="AX87" s="2"/>
      <c r="AY87" s="2"/>
      <c r="AZ87" s="2"/>
      <c r="BA87" s="2" t="s">
        <v>1432</v>
      </c>
      <c r="BB87" s="2" t="s">
        <v>303</v>
      </c>
      <c r="BC87" s="2" t="s">
        <v>1433</v>
      </c>
      <c r="BD87" s="2" t="s">
        <v>514</v>
      </c>
      <c r="BE87" s="2" t="s">
        <v>1434</v>
      </c>
      <c r="BF87" s="2" t="s">
        <v>1435</v>
      </c>
      <c r="BG87" s="2" t="s">
        <v>648</v>
      </c>
      <c r="BH87" s="2"/>
      <c r="BI87" s="2" t="s">
        <v>79</v>
      </c>
      <c r="BJ87" s="2"/>
      <c r="BK87" s="2"/>
      <c r="BL87" s="2" t="s">
        <v>80</v>
      </c>
      <c r="BM87" s="2" t="s">
        <v>172</v>
      </c>
    </row>
    <row r="88" spans="1:65" ht="405" x14ac:dyDescent="0.25">
      <c r="A88" s="2" t="s">
        <v>1436</v>
      </c>
      <c r="B88" s="2">
        <v>1999</v>
      </c>
      <c r="C88" s="2" t="s">
        <v>111</v>
      </c>
      <c r="D88" s="2" t="s">
        <v>79</v>
      </c>
      <c r="E88" s="2" t="s">
        <v>80</v>
      </c>
      <c r="F88" s="2" t="s">
        <v>79</v>
      </c>
      <c r="G88" s="2" t="s">
        <v>80</v>
      </c>
      <c r="H88" s="2" t="s">
        <v>79</v>
      </c>
      <c r="I88" s="2" t="s">
        <v>80</v>
      </c>
      <c r="J88" s="2" t="s">
        <v>80</v>
      </c>
      <c r="K88" s="2" t="s">
        <v>80</v>
      </c>
      <c r="L88" s="2" t="s">
        <v>80</v>
      </c>
      <c r="M88" s="2" t="s">
        <v>80</v>
      </c>
      <c r="N88" s="2"/>
      <c r="O88" s="2">
        <v>6.5</v>
      </c>
      <c r="P88" s="2" t="s">
        <v>82</v>
      </c>
      <c r="Q88" s="2" t="s">
        <v>1437</v>
      </c>
      <c r="R88" s="2" t="s">
        <v>84</v>
      </c>
      <c r="S88" s="2" t="s">
        <v>84</v>
      </c>
      <c r="T88" s="2" t="s">
        <v>86</v>
      </c>
      <c r="U88" s="2" t="s">
        <v>84</v>
      </c>
      <c r="V88" s="2" t="s">
        <v>84</v>
      </c>
      <c r="W88" s="2" t="s">
        <v>84</v>
      </c>
      <c r="X88" s="2" t="s">
        <v>86</v>
      </c>
      <c r="Y88" s="2" t="s">
        <v>86</v>
      </c>
      <c r="Z88" s="2" t="s">
        <v>85</v>
      </c>
      <c r="AA88" s="2" t="s">
        <v>84</v>
      </c>
      <c r="AB88" s="2" t="s">
        <v>1438</v>
      </c>
      <c r="AC88" s="2"/>
      <c r="AD88" s="2"/>
      <c r="AE88" s="2" t="s">
        <v>143</v>
      </c>
      <c r="AF88" s="2" t="s">
        <v>80</v>
      </c>
      <c r="AG88" s="2"/>
      <c r="AH88" s="2"/>
      <c r="AI88" s="2" t="s">
        <v>1439</v>
      </c>
      <c r="AJ88" s="2"/>
      <c r="AK88" s="2"/>
      <c r="AL88" s="2"/>
      <c r="AM88" s="2"/>
      <c r="AN88" s="2" t="s">
        <v>639</v>
      </c>
      <c r="AO88" s="2" t="s">
        <v>1440</v>
      </c>
      <c r="AP88" s="2" t="s">
        <v>95</v>
      </c>
      <c r="AQ88" s="2"/>
      <c r="AR88" s="2"/>
      <c r="AS88" s="2"/>
      <c r="AT88" s="2"/>
      <c r="AU88" s="2"/>
      <c r="AV88" s="2" t="s">
        <v>1441</v>
      </c>
      <c r="AW88" s="2"/>
      <c r="AX88" s="2"/>
      <c r="AY88" s="2"/>
      <c r="AZ88" s="2"/>
      <c r="BA88" s="2" t="s">
        <v>1442</v>
      </c>
      <c r="BB88" s="2" t="s">
        <v>303</v>
      </c>
      <c r="BC88" s="2" t="s">
        <v>1443</v>
      </c>
      <c r="BD88" s="2" t="s">
        <v>514</v>
      </c>
      <c r="BE88" s="2" t="s">
        <v>1434</v>
      </c>
      <c r="BF88" s="2" t="s">
        <v>1444</v>
      </c>
      <c r="BG88" s="2" t="s">
        <v>648</v>
      </c>
      <c r="BH88" s="2"/>
      <c r="BI88" s="2" t="s">
        <v>79</v>
      </c>
      <c r="BJ88" s="2"/>
      <c r="BK88" s="2"/>
      <c r="BL88" s="2" t="s">
        <v>80</v>
      </c>
      <c r="BM88" s="2" t="s">
        <v>172</v>
      </c>
    </row>
    <row r="89" spans="1:65" ht="405" x14ac:dyDescent="0.25">
      <c r="A89" s="2" t="s">
        <v>1445</v>
      </c>
      <c r="B89" s="2">
        <v>2004</v>
      </c>
      <c r="C89" s="2" t="s">
        <v>189</v>
      </c>
      <c r="D89" s="2" t="s">
        <v>79</v>
      </c>
      <c r="E89" s="2" t="s">
        <v>80</v>
      </c>
      <c r="F89" s="2" t="s">
        <v>79</v>
      </c>
      <c r="G89" s="2" t="s">
        <v>80</v>
      </c>
      <c r="H89" s="2" t="s">
        <v>79</v>
      </c>
      <c r="I89" s="2" t="s">
        <v>79</v>
      </c>
      <c r="J89" s="2" t="s">
        <v>80</v>
      </c>
      <c r="K89" s="2" t="s">
        <v>80</v>
      </c>
      <c r="L89" s="2" t="s">
        <v>80</v>
      </c>
      <c r="M89" s="2" t="s">
        <v>80</v>
      </c>
      <c r="N89" s="2"/>
      <c r="O89" s="2">
        <v>9</v>
      </c>
      <c r="P89" s="2" t="s">
        <v>82</v>
      </c>
      <c r="Q89" s="2" t="s">
        <v>1446</v>
      </c>
      <c r="R89" s="2" t="s">
        <v>84</v>
      </c>
      <c r="S89" s="2" t="s">
        <v>84</v>
      </c>
      <c r="T89" s="2" t="s">
        <v>84</v>
      </c>
      <c r="U89" s="2" t="s">
        <v>84</v>
      </c>
      <c r="V89" s="2" t="s">
        <v>84</v>
      </c>
      <c r="W89" s="2" t="s">
        <v>84</v>
      </c>
      <c r="X89" s="2" t="s">
        <v>86</v>
      </c>
      <c r="Y89" s="2" t="s">
        <v>84</v>
      </c>
      <c r="Z89" s="2" t="s">
        <v>84</v>
      </c>
      <c r="AA89" s="2" t="s">
        <v>84</v>
      </c>
      <c r="AB89" s="2" t="s">
        <v>1447</v>
      </c>
      <c r="AC89" s="2"/>
      <c r="AD89" s="2"/>
      <c r="AE89" s="2" t="s">
        <v>89</v>
      </c>
      <c r="AF89" s="2" t="s">
        <v>80</v>
      </c>
      <c r="AG89" s="2"/>
      <c r="AH89" s="2"/>
      <c r="AI89" s="2" t="s">
        <v>1448</v>
      </c>
      <c r="AJ89" s="2"/>
      <c r="AK89" s="2"/>
      <c r="AL89" s="2"/>
      <c r="AM89" s="2" t="s">
        <v>92</v>
      </c>
      <c r="AN89" s="2" t="s">
        <v>357</v>
      </c>
      <c r="AO89" s="2" t="s">
        <v>1449</v>
      </c>
      <c r="AP89" s="2" t="s">
        <v>95</v>
      </c>
      <c r="AQ89" s="2" t="s">
        <v>1450</v>
      </c>
      <c r="AR89" s="2" t="s">
        <v>1451</v>
      </c>
      <c r="AS89" s="2"/>
      <c r="AT89" s="2"/>
      <c r="AU89" s="2"/>
      <c r="AV89" s="2" t="s">
        <v>1452</v>
      </c>
      <c r="AW89" s="2"/>
      <c r="AX89" s="2"/>
      <c r="AY89" s="2"/>
      <c r="AZ89" s="2"/>
      <c r="BA89" s="2" t="s">
        <v>1453</v>
      </c>
      <c r="BB89" s="2" t="s">
        <v>303</v>
      </c>
      <c r="BC89" s="2" t="s">
        <v>1454</v>
      </c>
      <c r="BD89" s="2" t="s">
        <v>143</v>
      </c>
      <c r="BE89" s="2"/>
      <c r="BF89" s="2" t="s">
        <v>1455</v>
      </c>
      <c r="BG89" s="2" t="s">
        <v>153</v>
      </c>
      <c r="BH89" s="2"/>
      <c r="BI89" s="2" t="s">
        <v>79</v>
      </c>
      <c r="BJ89" s="2" t="s">
        <v>206</v>
      </c>
      <c r="BK89" s="2" t="s">
        <v>1456</v>
      </c>
      <c r="BL89" s="2" t="s">
        <v>79</v>
      </c>
      <c r="BM89" s="2" t="s">
        <v>172</v>
      </c>
    </row>
    <row r="90" spans="1:65" ht="409.5" x14ac:dyDescent="0.25">
      <c r="A90" s="2" t="s">
        <v>1457</v>
      </c>
      <c r="B90" s="2">
        <v>2015</v>
      </c>
      <c r="C90" s="2" t="s">
        <v>111</v>
      </c>
      <c r="D90" s="2" t="s">
        <v>79</v>
      </c>
      <c r="E90" s="2" t="s">
        <v>80</v>
      </c>
      <c r="F90" s="2" t="s">
        <v>79</v>
      </c>
      <c r="G90" s="2" t="s">
        <v>80</v>
      </c>
      <c r="H90" s="2" t="s">
        <v>79</v>
      </c>
      <c r="I90" s="2" t="s">
        <v>80</v>
      </c>
      <c r="J90" s="2" t="s">
        <v>80</v>
      </c>
      <c r="K90" s="2" t="s">
        <v>80</v>
      </c>
      <c r="L90" s="2" t="s">
        <v>80</v>
      </c>
      <c r="M90" s="2" t="s">
        <v>80</v>
      </c>
      <c r="N90" s="2"/>
      <c r="O90" s="2">
        <v>7.5</v>
      </c>
      <c r="P90" s="2" t="s">
        <v>82</v>
      </c>
      <c r="Q90" s="2" t="s">
        <v>1458</v>
      </c>
      <c r="R90" s="2" t="s">
        <v>84</v>
      </c>
      <c r="S90" s="2" t="s">
        <v>84</v>
      </c>
      <c r="T90" s="2" t="s">
        <v>86</v>
      </c>
      <c r="U90" s="2" t="s">
        <v>84</v>
      </c>
      <c r="V90" s="2" t="s">
        <v>84</v>
      </c>
      <c r="W90" s="2" t="s">
        <v>84</v>
      </c>
      <c r="X90" s="2" t="s">
        <v>86</v>
      </c>
      <c r="Y90" s="2" t="s">
        <v>85</v>
      </c>
      <c r="Z90" s="2" t="s">
        <v>84</v>
      </c>
      <c r="AA90" s="2" t="s">
        <v>84</v>
      </c>
      <c r="AB90" s="2" t="s">
        <v>1459</v>
      </c>
      <c r="AC90" s="2"/>
      <c r="AD90" s="2"/>
      <c r="AE90" s="2" t="s">
        <v>143</v>
      </c>
      <c r="AF90" s="2" t="s">
        <v>80</v>
      </c>
      <c r="AG90" s="2"/>
      <c r="AH90" s="2"/>
      <c r="AI90" s="2" t="s">
        <v>1460</v>
      </c>
      <c r="AJ90" s="2"/>
      <c r="AK90" s="2"/>
      <c r="AL90" s="2"/>
      <c r="AM90" s="2"/>
      <c r="AN90" s="2" t="s">
        <v>93</v>
      </c>
      <c r="AO90" s="2" t="s">
        <v>1461</v>
      </c>
      <c r="AP90" s="2" t="s">
        <v>95</v>
      </c>
      <c r="AQ90" s="2"/>
      <c r="AR90" s="2"/>
      <c r="AS90" s="2"/>
      <c r="AT90" s="2"/>
      <c r="AU90" s="2"/>
      <c r="AV90" s="2" t="s">
        <v>1462</v>
      </c>
      <c r="AW90" s="2"/>
      <c r="AX90" s="2"/>
      <c r="AY90" s="2"/>
      <c r="AZ90" s="2"/>
      <c r="BA90" s="2" t="s">
        <v>1463</v>
      </c>
      <c r="BB90" s="2" t="s">
        <v>303</v>
      </c>
      <c r="BC90" s="2" t="s">
        <v>1464</v>
      </c>
      <c r="BD90" s="2" t="s">
        <v>514</v>
      </c>
      <c r="BE90" s="2" t="s">
        <v>1434</v>
      </c>
      <c r="BF90" s="2" t="s">
        <v>1465</v>
      </c>
      <c r="BG90" s="2" t="s">
        <v>648</v>
      </c>
      <c r="BH90" s="2"/>
      <c r="BI90" s="2" t="s">
        <v>79</v>
      </c>
      <c r="BJ90" s="2"/>
      <c r="BK90" s="2"/>
      <c r="BL90" s="2" t="s">
        <v>80</v>
      </c>
      <c r="BM90" s="2" t="s">
        <v>172</v>
      </c>
    </row>
    <row r="91" spans="1:65" ht="409.5" x14ac:dyDescent="0.25">
      <c r="A91" s="2" t="s">
        <v>1466</v>
      </c>
      <c r="B91" s="2">
        <v>2014</v>
      </c>
      <c r="C91" s="2" t="s">
        <v>111</v>
      </c>
      <c r="D91" s="2" t="s">
        <v>79</v>
      </c>
      <c r="E91" s="2" t="s">
        <v>80</v>
      </c>
      <c r="F91" s="2" t="s">
        <v>79</v>
      </c>
      <c r="G91" s="2" t="s">
        <v>80</v>
      </c>
      <c r="H91" s="2" t="s">
        <v>79</v>
      </c>
      <c r="I91" s="2" t="s">
        <v>80</v>
      </c>
      <c r="J91" s="2" t="s">
        <v>80</v>
      </c>
      <c r="K91" s="2" t="s">
        <v>80</v>
      </c>
      <c r="L91" s="2" t="s">
        <v>80</v>
      </c>
      <c r="M91" s="2" t="s">
        <v>80</v>
      </c>
      <c r="N91" s="2"/>
      <c r="O91" s="2">
        <v>6.5</v>
      </c>
      <c r="P91" s="2" t="s">
        <v>82</v>
      </c>
      <c r="Q91" s="2" t="s">
        <v>1467</v>
      </c>
      <c r="R91" s="2" t="s">
        <v>84</v>
      </c>
      <c r="S91" s="2" t="s">
        <v>84</v>
      </c>
      <c r="T91" s="2" t="s">
        <v>86</v>
      </c>
      <c r="U91" s="2" t="s">
        <v>84</v>
      </c>
      <c r="V91" s="2" t="s">
        <v>84</v>
      </c>
      <c r="W91" s="2" t="s">
        <v>84</v>
      </c>
      <c r="X91" s="2" t="s">
        <v>86</v>
      </c>
      <c r="Y91" s="2" t="s">
        <v>86</v>
      </c>
      <c r="Z91" s="2" t="s">
        <v>85</v>
      </c>
      <c r="AA91" s="2" t="s">
        <v>84</v>
      </c>
      <c r="AB91" s="2" t="s">
        <v>1468</v>
      </c>
      <c r="AC91" s="2"/>
      <c r="AD91" s="2"/>
      <c r="AE91" s="2" t="s">
        <v>143</v>
      </c>
      <c r="AF91" s="2" t="s">
        <v>80</v>
      </c>
      <c r="AG91" s="2"/>
      <c r="AH91" s="2"/>
      <c r="AI91" s="2" t="s">
        <v>1469</v>
      </c>
      <c r="AJ91" s="2"/>
      <c r="AK91" s="2"/>
      <c r="AL91" s="2"/>
      <c r="AM91" s="2"/>
      <c r="AN91" s="2" t="s">
        <v>118</v>
      </c>
      <c r="AO91" s="2" t="s">
        <v>1470</v>
      </c>
      <c r="AP91" s="2" t="s">
        <v>95</v>
      </c>
      <c r="AQ91" s="2"/>
      <c r="AR91" s="2"/>
      <c r="AS91" s="2"/>
      <c r="AT91" s="2"/>
      <c r="AU91" s="2"/>
      <c r="AV91" s="2" t="s">
        <v>1471</v>
      </c>
      <c r="AW91" s="2"/>
      <c r="AX91" s="2"/>
      <c r="AY91" s="2"/>
      <c r="AZ91" s="2"/>
      <c r="BA91" s="2" t="s">
        <v>1472</v>
      </c>
      <c r="BB91" s="2" t="s">
        <v>303</v>
      </c>
      <c r="BC91" s="2" t="s">
        <v>1473</v>
      </c>
      <c r="BD91" s="2" t="s">
        <v>514</v>
      </c>
      <c r="BE91" s="2" t="s">
        <v>1434</v>
      </c>
      <c r="BF91" s="2" t="s">
        <v>1474</v>
      </c>
      <c r="BG91" s="2" t="s">
        <v>648</v>
      </c>
      <c r="BH91" s="2"/>
      <c r="BI91" s="2" t="s">
        <v>79</v>
      </c>
      <c r="BJ91" s="2"/>
      <c r="BK91" s="2"/>
      <c r="BL91" s="2" t="s">
        <v>80</v>
      </c>
      <c r="BM91" s="2" t="s">
        <v>172</v>
      </c>
    </row>
    <row r="92" spans="1:65" ht="409.5" x14ac:dyDescent="0.25">
      <c r="A92" s="2" t="s">
        <v>1475</v>
      </c>
      <c r="B92" s="2">
        <v>2019</v>
      </c>
      <c r="C92" s="2" t="s">
        <v>111</v>
      </c>
      <c r="D92" s="2" t="s">
        <v>79</v>
      </c>
      <c r="E92" s="2" t="s">
        <v>79</v>
      </c>
      <c r="F92" s="2" t="s">
        <v>79</v>
      </c>
      <c r="G92" s="2" t="s">
        <v>79</v>
      </c>
      <c r="H92" s="2" t="s">
        <v>79</v>
      </c>
      <c r="I92" s="2" t="s">
        <v>79</v>
      </c>
      <c r="J92" s="2" t="s">
        <v>80</v>
      </c>
      <c r="K92" s="2" t="s">
        <v>80</v>
      </c>
      <c r="L92" s="2" t="s">
        <v>80</v>
      </c>
      <c r="M92" s="2" t="s">
        <v>80</v>
      </c>
      <c r="N92" s="2" t="s">
        <v>1000</v>
      </c>
      <c r="O92" s="2">
        <v>7.5</v>
      </c>
      <c r="P92" s="2" t="s">
        <v>82</v>
      </c>
      <c r="Q92" s="2" t="s">
        <v>1476</v>
      </c>
      <c r="R92" s="2" t="s">
        <v>84</v>
      </c>
      <c r="S92" s="2" t="s">
        <v>84</v>
      </c>
      <c r="T92" s="2" t="s">
        <v>86</v>
      </c>
      <c r="U92" s="2" t="s">
        <v>84</v>
      </c>
      <c r="V92" s="2" t="s">
        <v>84</v>
      </c>
      <c r="W92" s="2" t="s">
        <v>84</v>
      </c>
      <c r="X92" s="2" t="s">
        <v>84</v>
      </c>
      <c r="Y92" s="2" t="s">
        <v>86</v>
      </c>
      <c r="Z92" s="2" t="s">
        <v>85</v>
      </c>
      <c r="AA92" s="2" t="s">
        <v>84</v>
      </c>
      <c r="AB92" s="2" t="s">
        <v>1477</v>
      </c>
      <c r="AC92" s="2"/>
      <c r="AD92" s="2"/>
      <c r="AE92" s="2" t="s">
        <v>143</v>
      </c>
      <c r="AF92" s="2" t="s">
        <v>80</v>
      </c>
      <c r="AG92" s="2" t="s">
        <v>90</v>
      </c>
      <c r="AH92" s="2"/>
      <c r="AI92" s="2"/>
      <c r="AJ92" s="2" t="s">
        <v>143</v>
      </c>
      <c r="AK92" s="2" t="s">
        <v>619</v>
      </c>
      <c r="AL92" s="2" t="s">
        <v>1478</v>
      </c>
      <c r="AM92" s="2" t="s">
        <v>92</v>
      </c>
      <c r="AN92" s="2" t="s">
        <v>118</v>
      </c>
      <c r="AO92" s="2" t="s">
        <v>1479</v>
      </c>
      <c r="AP92" s="2" t="s">
        <v>95</v>
      </c>
      <c r="AQ92" s="2" t="s">
        <v>1480</v>
      </c>
      <c r="AR92" s="2" t="s">
        <v>1481</v>
      </c>
      <c r="AS92" s="2"/>
      <c r="AT92" s="2"/>
      <c r="AU92" s="2" t="s">
        <v>1482</v>
      </c>
      <c r="AV92" s="2" t="s">
        <v>1483</v>
      </c>
      <c r="AW92" s="2" t="s">
        <v>106</v>
      </c>
      <c r="AX92" s="2"/>
      <c r="AY92" s="2" t="s">
        <v>106</v>
      </c>
      <c r="AZ92" s="2"/>
      <c r="BA92" s="2"/>
      <c r="BB92" s="2" t="s">
        <v>1143</v>
      </c>
      <c r="BC92" s="2" t="s">
        <v>1484</v>
      </c>
      <c r="BD92" s="2" t="s">
        <v>514</v>
      </c>
      <c r="BE92" s="2" t="s">
        <v>1485</v>
      </c>
      <c r="BF92" s="2" t="s">
        <v>1486</v>
      </c>
      <c r="BG92" s="2" t="s">
        <v>648</v>
      </c>
      <c r="BH92" s="2"/>
      <c r="BI92" s="2" t="s">
        <v>79</v>
      </c>
      <c r="BJ92" s="2" t="s">
        <v>155</v>
      </c>
      <c r="BK92" s="2"/>
      <c r="BL92" s="2" t="s">
        <v>80</v>
      </c>
      <c r="BM92" s="2" t="s">
        <v>172</v>
      </c>
    </row>
    <row r="93" spans="1:65" ht="409.5" x14ac:dyDescent="0.25">
      <c r="A93" s="2" t="s">
        <v>1487</v>
      </c>
      <c r="B93" s="2">
        <v>2020</v>
      </c>
      <c r="C93" s="2" t="s">
        <v>111</v>
      </c>
      <c r="D93" s="2" t="s">
        <v>79</v>
      </c>
      <c r="E93" s="2" t="s">
        <v>79</v>
      </c>
      <c r="F93" s="2" t="s">
        <v>79</v>
      </c>
      <c r="G93" s="2" t="s">
        <v>80</v>
      </c>
      <c r="H93" s="2" t="s">
        <v>79</v>
      </c>
      <c r="I93" s="2" t="s">
        <v>79</v>
      </c>
      <c r="J93" s="2" t="s">
        <v>80</v>
      </c>
      <c r="K93" s="2" t="s">
        <v>80</v>
      </c>
      <c r="L93" s="2" t="s">
        <v>80</v>
      </c>
      <c r="M93" s="2" t="s">
        <v>80</v>
      </c>
      <c r="N93" s="2" t="s">
        <v>1488</v>
      </c>
      <c r="O93" s="2">
        <v>8</v>
      </c>
      <c r="P93" s="2" t="s">
        <v>82</v>
      </c>
      <c r="Q93" s="2" t="s">
        <v>1489</v>
      </c>
      <c r="R93" s="2" t="s">
        <v>84</v>
      </c>
      <c r="S93" s="2" t="s">
        <v>84</v>
      </c>
      <c r="T93" s="2" t="s">
        <v>86</v>
      </c>
      <c r="U93" s="2" t="s">
        <v>84</v>
      </c>
      <c r="V93" s="2" t="s">
        <v>84</v>
      </c>
      <c r="W93" s="2" t="s">
        <v>84</v>
      </c>
      <c r="X93" s="2" t="s">
        <v>84</v>
      </c>
      <c r="Y93" s="2" t="s">
        <v>86</v>
      </c>
      <c r="Z93" s="2" t="s">
        <v>84</v>
      </c>
      <c r="AA93" s="2" t="s">
        <v>84</v>
      </c>
      <c r="AB93" s="2" t="s">
        <v>1490</v>
      </c>
      <c r="AC93" s="2"/>
      <c r="AD93" s="2" t="s">
        <v>1491</v>
      </c>
      <c r="AE93" s="2"/>
      <c r="AF93" s="2" t="s">
        <v>106</v>
      </c>
      <c r="AG93" s="2"/>
      <c r="AH93" s="2"/>
      <c r="AI93" s="2" t="s">
        <v>1492</v>
      </c>
      <c r="AJ93" s="2"/>
      <c r="AK93" s="2"/>
      <c r="AL93" s="2"/>
      <c r="AM93" s="2" t="s">
        <v>92</v>
      </c>
      <c r="AN93" s="2" t="s">
        <v>93</v>
      </c>
      <c r="AO93" s="2" t="s">
        <v>1493</v>
      </c>
      <c r="AP93" s="2" t="s">
        <v>95</v>
      </c>
      <c r="AQ93" s="2" t="s">
        <v>1494</v>
      </c>
      <c r="AR93" s="2" t="s">
        <v>1495</v>
      </c>
      <c r="AS93" s="2"/>
      <c r="AT93" s="2"/>
      <c r="AU93" s="2" t="s">
        <v>1496</v>
      </c>
      <c r="AV93" s="2" t="s">
        <v>1497</v>
      </c>
      <c r="AW93" s="2"/>
      <c r="AX93" s="2"/>
      <c r="AY93" s="2"/>
      <c r="AZ93" s="2"/>
      <c r="BA93" s="2" t="s">
        <v>1498</v>
      </c>
      <c r="BB93" s="2" t="s">
        <v>303</v>
      </c>
      <c r="BC93" s="2" t="s">
        <v>1499</v>
      </c>
      <c r="BD93" s="2" t="s">
        <v>514</v>
      </c>
      <c r="BE93" s="2"/>
      <c r="BF93" s="2" t="s">
        <v>1500</v>
      </c>
      <c r="BG93" s="2"/>
      <c r="BH93" s="2"/>
      <c r="BI93" s="2" t="s">
        <v>79</v>
      </c>
      <c r="BJ93" s="2" t="s">
        <v>155</v>
      </c>
      <c r="BK93" s="2"/>
      <c r="BL93" s="2" t="s">
        <v>80</v>
      </c>
      <c r="BM93" s="2" t="s">
        <v>172</v>
      </c>
    </row>
    <row r="94" spans="1:65" ht="409.5" x14ac:dyDescent="0.25">
      <c r="A94" s="2" t="s">
        <v>1501</v>
      </c>
      <c r="B94" s="2">
        <v>2020</v>
      </c>
      <c r="C94" s="2" t="s">
        <v>111</v>
      </c>
      <c r="D94" s="2" t="s">
        <v>79</v>
      </c>
      <c r="E94" s="2" t="s">
        <v>79</v>
      </c>
      <c r="F94" s="2" t="s">
        <v>79</v>
      </c>
      <c r="G94" s="2" t="s">
        <v>80</v>
      </c>
      <c r="H94" s="2" t="s">
        <v>79</v>
      </c>
      <c r="I94" s="2" t="s">
        <v>79</v>
      </c>
      <c r="J94" s="2" t="s">
        <v>80</v>
      </c>
      <c r="K94" s="2" t="s">
        <v>80</v>
      </c>
      <c r="L94" s="2" t="s">
        <v>80</v>
      </c>
      <c r="M94" s="2" t="s">
        <v>80</v>
      </c>
      <c r="N94" s="2" t="s">
        <v>1488</v>
      </c>
      <c r="O94" s="2">
        <v>9</v>
      </c>
      <c r="P94" s="2" t="s">
        <v>82</v>
      </c>
      <c r="Q94" s="2" t="s">
        <v>1502</v>
      </c>
      <c r="R94" s="2" t="s">
        <v>84</v>
      </c>
      <c r="S94" s="2" t="s">
        <v>84</v>
      </c>
      <c r="T94" s="2" t="s">
        <v>84</v>
      </c>
      <c r="U94" s="2" t="s">
        <v>84</v>
      </c>
      <c r="V94" s="2" t="s">
        <v>84</v>
      </c>
      <c r="W94" s="2" t="s">
        <v>84</v>
      </c>
      <c r="X94" s="2" t="s">
        <v>84</v>
      </c>
      <c r="Y94" s="2" t="s">
        <v>86</v>
      </c>
      <c r="Z94" s="2" t="s">
        <v>84</v>
      </c>
      <c r="AA94" s="2" t="s">
        <v>84</v>
      </c>
      <c r="AB94" s="2" t="s">
        <v>1503</v>
      </c>
      <c r="AC94" s="2"/>
      <c r="AD94" s="2" t="s">
        <v>1504</v>
      </c>
      <c r="AE94" s="2"/>
      <c r="AF94" s="2" t="s">
        <v>106</v>
      </c>
      <c r="AG94" s="2"/>
      <c r="AH94" s="2"/>
      <c r="AI94" s="2" t="s">
        <v>1505</v>
      </c>
      <c r="AJ94" s="2"/>
      <c r="AK94" s="2" t="s">
        <v>155</v>
      </c>
      <c r="AL94" s="2"/>
      <c r="AM94" s="2" t="s">
        <v>92</v>
      </c>
      <c r="AN94" s="2"/>
      <c r="AO94" s="2" t="s">
        <v>1506</v>
      </c>
      <c r="AP94" s="2" t="s">
        <v>95</v>
      </c>
      <c r="AQ94" s="2" t="s">
        <v>1507</v>
      </c>
      <c r="AR94" s="2" t="s">
        <v>1508</v>
      </c>
      <c r="AS94" s="2"/>
      <c r="AT94" s="2"/>
      <c r="AU94" s="2"/>
      <c r="AV94" s="2" t="s">
        <v>1509</v>
      </c>
      <c r="AW94" s="2" t="s">
        <v>106</v>
      </c>
      <c r="AX94" s="2"/>
      <c r="AY94" s="2" t="s">
        <v>106</v>
      </c>
      <c r="AZ94" s="2"/>
      <c r="BA94" s="2" t="s">
        <v>1510</v>
      </c>
      <c r="BB94" s="2" t="s">
        <v>303</v>
      </c>
      <c r="BC94" s="2" t="s">
        <v>1511</v>
      </c>
      <c r="BD94" s="2" t="s">
        <v>514</v>
      </c>
      <c r="BE94" s="2"/>
      <c r="BF94" s="2" t="s">
        <v>1512</v>
      </c>
      <c r="BG94" s="2"/>
      <c r="BH94" s="2"/>
      <c r="BI94" s="2" t="s">
        <v>79</v>
      </c>
      <c r="BJ94" s="2" t="s">
        <v>155</v>
      </c>
      <c r="BK94" s="2"/>
      <c r="BL94" s="2" t="s">
        <v>80</v>
      </c>
      <c r="BM94" s="2" t="s">
        <v>172</v>
      </c>
    </row>
    <row r="95" spans="1:65" ht="409.5" x14ac:dyDescent="0.25">
      <c r="A95" s="2" t="s">
        <v>1513</v>
      </c>
      <c r="B95" s="2">
        <v>2020</v>
      </c>
      <c r="C95" s="2" t="s">
        <v>111</v>
      </c>
      <c r="D95" s="2" t="s">
        <v>79</v>
      </c>
      <c r="E95" s="2" t="s">
        <v>79</v>
      </c>
      <c r="F95" s="2" t="s">
        <v>79</v>
      </c>
      <c r="G95" s="2" t="s">
        <v>80</v>
      </c>
      <c r="H95" s="2" t="s">
        <v>79</v>
      </c>
      <c r="I95" s="2" t="s">
        <v>80</v>
      </c>
      <c r="J95" s="2" t="s">
        <v>80</v>
      </c>
      <c r="K95" s="2" t="s">
        <v>80</v>
      </c>
      <c r="L95" s="2" t="s">
        <v>80</v>
      </c>
      <c r="M95" s="2" t="s">
        <v>80</v>
      </c>
      <c r="N95" s="2" t="s">
        <v>1488</v>
      </c>
      <c r="O95" s="2">
        <v>8</v>
      </c>
      <c r="P95" s="2" t="s">
        <v>82</v>
      </c>
      <c r="Q95" s="2" t="s">
        <v>1514</v>
      </c>
      <c r="R95" s="2" t="s">
        <v>84</v>
      </c>
      <c r="S95" s="2" t="s">
        <v>84</v>
      </c>
      <c r="T95" s="2" t="s">
        <v>86</v>
      </c>
      <c r="U95" s="2" t="s">
        <v>84</v>
      </c>
      <c r="V95" s="2" t="s">
        <v>84</v>
      </c>
      <c r="W95" s="2" t="s">
        <v>84</v>
      </c>
      <c r="X95" s="2" t="s">
        <v>84</v>
      </c>
      <c r="Y95" s="2" t="s">
        <v>86</v>
      </c>
      <c r="Z95" s="2" t="s">
        <v>84</v>
      </c>
      <c r="AA95" s="2" t="s">
        <v>84</v>
      </c>
      <c r="AB95" s="2" t="s">
        <v>1515</v>
      </c>
      <c r="AC95" s="2"/>
      <c r="AD95" s="2" t="s">
        <v>1516</v>
      </c>
      <c r="AE95" s="2"/>
      <c r="AF95" s="2" t="s">
        <v>80</v>
      </c>
      <c r="AG95" s="2"/>
      <c r="AH95" s="2"/>
      <c r="AI95" s="2" t="s">
        <v>1517</v>
      </c>
      <c r="AJ95" s="2"/>
      <c r="AK95" s="2" t="s">
        <v>155</v>
      </c>
      <c r="AL95" s="2"/>
      <c r="AM95" s="2"/>
      <c r="AN95" s="2"/>
      <c r="AO95" s="2" t="s">
        <v>1518</v>
      </c>
      <c r="AP95" s="2" t="s">
        <v>95</v>
      </c>
      <c r="AQ95" s="2" t="s">
        <v>1519</v>
      </c>
      <c r="AR95" s="2" t="s">
        <v>1520</v>
      </c>
      <c r="AS95" s="2"/>
      <c r="AT95" s="2"/>
      <c r="AU95" s="2" t="s">
        <v>1521</v>
      </c>
      <c r="AV95" s="2" t="s">
        <v>1522</v>
      </c>
      <c r="AW95" s="2" t="s">
        <v>106</v>
      </c>
      <c r="AX95" s="2"/>
      <c r="AY95" s="2" t="s">
        <v>106</v>
      </c>
      <c r="AZ95" s="2"/>
      <c r="BA95" s="2" t="s">
        <v>1523</v>
      </c>
      <c r="BB95" s="2" t="s">
        <v>1143</v>
      </c>
      <c r="BC95" s="2" t="s">
        <v>1524</v>
      </c>
      <c r="BD95" s="2" t="s">
        <v>514</v>
      </c>
      <c r="BE95" s="2"/>
      <c r="BF95" s="2" t="s">
        <v>1525</v>
      </c>
      <c r="BG95" s="2"/>
      <c r="BH95" s="2"/>
      <c r="BI95" s="2" t="s">
        <v>79</v>
      </c>
      <c r="BJ95" s="2" t="s">
        <v>155</v>
      </c>
      <c r="BK95" s="2"/>
      <c r="BL95" s="2" t="s">
        <v>80</v>
      </c>
      <c r="BM95" s="2" t="s">
        <v>109</v>
      </c>
    </row>
    <row r="96" spans="1:65" ht="409.5" x14ac:dyDescent="0.25">
      <c r="A96" s="2" t="s">
        <v>1526</v>
      </c>
      <c r="B96" s="2">
        <v>2023</v>
      </c>
      <c r="C96" s="2" t="s">
        <v>111</v>
      </c>
      <c r="D96" s="2" t="s">
        <v>79</v>
      </c>
      <c r="E96" s="2" t="s">
        <v>79</v>
      </c>
      <c r="F96" s="2" t="s">
        <v>79</v>
      </c>
      <c r="G96" s="2" t="s">
        <v>79</v>
      </c>
      <c r="H96" s="2" t="s">
        <v>79</v>
      </c>
      <c r="I96" s="2" t="s">
        <v>79</v>
      </c>
      <c r="J96" s="2" t="s">
        <v>80</v>
      </c>
      <c r="K96" s="2" t="s">
        <v>80</v>
      </c>
      <c r="L96" s="2" t="s">
        <v>79</v>
      </c>
      <c r="M96" s="2" t="s">
        <v>92</v>
      </c>
      <c r="N96" s="2" t="s">
        <v>1527</v>
      </c>
      <c r="O96" s="2">
        <v>9.5</v>
      </c>
      <c r="P96" s="2" t="s">
        <v>82</v>
      </c>
      <c r="Q96" s="2" t="s">
        <v>1528</v>
      </c>
      <c r="R96" s="2" t="s">
        <v>84</v>
      </c>
      <c r="S96" s="2" t="s">
        <v>84</v>
      </c>
      <c r="T96" s="2" t="s">
        <v>84</v>
      </c>
      <c r="U96" s="2" t="s">
        <v>84</v>
      </c>
      <c r="V96" s="2" t="s">
        <v>84</v>
      </c>
      <c r="W96" s="2" t="s">
        <v>84</v>
      </c>
      <c r="X96" s="2" t="s">
        <v>84</v>
      </c>
      <c r="Y96" s="2" t="s">
        <v>84</v>
      </c>
      <c r="Z96" s="2" t="s">
        <v>85</v>
      </c>
      <c r="AA96" s="2" t="s">
        <v>84</v>
      </c>
      <c r="AB96" s="2" t="s">
        <v>1529</v>
      </c>
      <c r="AC96" s="2"/>
      <c r="AD96" s="2" t="s">
        <v>1530</v>
      </c>
      <c r="AE96" s="2" t="s">
        <v>89</v>
      </c>
      <c r="AF96" s="2" t="s">
        <v>79</v>
      </c>
      <c r="AG96" s="2" t="s">
        <v>116</v>
      </c>
      <c r="AH96" s="2"/>
      <c r="AI96" s="2" t="s">
        <v>1531</v>
      </c>
      <c r="AJ96" s="2" t="s">
        <v>143</v>
      </c>
      <c r="AK96" s="2" t="s">
        <v>277</v>
      </c>
      <c r="AL96" s="2" t="s">
        <v>1532</v>
      </c>
      <c r="AM96" s="2" t="s">
        <v>92</v>
      </c>
      <c r="AN96" s="2"/>
      <c r="AO96" s="2" t="s">
        <v>1533</v>
      </c>
      <c r="AP96" s="2" t="s">
        <v>95</v>
      </c>
      <c r="AQ96" s="2" t="s">
        <v>1534</v>
      </c>
      <c r="AR96" s="2" t="s">
        <v>1535</v>
      </c>
      <c r="AS96" s="2"/>
      <c r="AT96" s="2"/>
      <c r="AU96" s="2" t="s">
        <v>1536</v>
      </c>
      <c r="AV96" s="2" t="s">
        <v>1537</v>
      </c>
      <c r="AW96" s="2" t="s">
        <v>106</v>
      </c>
      <c r="AX96" s="2"/>
      <c r="AY96" s="2" t="s">
        <v>106</v>
      </c>
      <c r="AZ96" s="2"/>
      <c r="BA96" s="2" t="s">
        <v>1538</v>
      </c>
      <c r="BB96" s="2" t="s">
        <v>100</v>
      </c>
      <c r="BC96" s="2" t="s">
        <v>1539</v>
      </c>
      <c r="BD96" s="2" t="s">
        <v>102</v>
      </c>
      <c r="BE96" s="2"/>
      <c r="BF96" s="2" t="s">
        <v>1540</v>
      </c>
      <c r="BG96" s="2" t="s">
        <v>153</v>
      </c>
      <c r="BH96" s="2" t="s">
        <v>1541</v>
      </c>
      <c r="BI96" s="2" t="s">
        <v>79</v>
      </c>
      <c r="BJ96" s="2" t="s">
        <v>563</v>
      </c>
      <c r="BK96" s="2" t="s">
        <v>1542</v>
      </c>
      <c r="BL96" s="2" t="s">
        <v>79</v>
      </c>
      <c r="BM96" s="2" t="s">
        <v>109</v>
      </c>
    </row>
    <row r="97" spans="1:65" ht="409.5" x14ac:dyDescent="0.25">
      <c r="A97" s="2" t="s">
        <v>1543</v>
      </c>
      <c r="B97" s="2">
        <v>2020</v>
      </c>
      <c r="C97" s="2" t="s">
        <v>111</v>
      </c>
      <c r="D97" s="2" t="s">
        <v>79</v>
      </c>
      <c r="E97" s="2" t="s">
        <v>79</v>
      </c>
      <c r="F97" s="2" t="s">
        <v>79</v>
      </c>
      <c r="G97" s="2" t="s">
        <v>79</v>
      </c>
      <c r="H97" s="2" t="s">
        <v>79</v>
      </c>
      <c r="I97" s="2" t="s">
        <v>79</v>
      </c>
      <c r="J97" s="2" t="s">
        <v>80</v>
      </c>
      <c r="K97" s="2" t="s">
        <v>80</v>
      </c>
      <c r="L97" s="2" t="s">
        <v>92</v>
      </c>
      <c r="M97" s="2" t="s">
        <v>92</v>
      </c>
      <c r="N97" s="2" t="s">
        <v>1544</v>
      </c>
      <c r="O97" s="2">
        <v>9</v>
      </c>
      <c r="P97" s="2" t="s">
        <v>82</v>
      </c>
      <c r="Q97" s="2" t="s">
        <v>1545</v>
      </c>
      <c r="R97" s="2" t="s">
        <v>84</v>
      </c>
      <c r="S97" s="2" t="s">
        <v>84</v>
      </c>
      <c r="T97" s="2" t="s">
        <v>84</v>
      </c>
      <c r="U97" s="2" t="s">
        <v>84</v>
      </c>
      <c r="V97" s="2" t="s">
        <v>84</v>
      </c>
      <c r="W97" s="2" t="s">
        <v>84</v>
      </c>
      <c r="X97" s="2" t="s">
        <v>86</v>
      </c>
      <c r="Y97" s="2" t="s">
        <v>84</v>
      </c>
      <c r="Z97" s="2" t="s">
        <v>84</v>
      </c>
      <c r="AA97" s="2" t="s">
        <v>84</v>
      </c>
      <c r="AB97" s="2" t="s">
        <v>1546</v>
      </c>
      <c r="AC97" s="2"/>
      <c r="AD97" s="2" t="s">
        <v>1547</v>
      </c>
      <c r="AE97" s="2" t="s">
        <v>89</v>
      </c>
      <c r="AF97" s="2" t="s">
        <v>106</v>
      </c>
      <c r="AG97" s="2" t="s">
        <v>116</v>
      </c>
      <c r="AH97" s="2"/>
      <c r="AI97" s="2" t="s">
        <v>1548</v>
      </c>
      <c r="AJ97" s="2"/>
      <c r="AK97" s="2" t="s">
        <v>155</v>
      </c>
      <c r="AL97" s="2" t="s">
        <v>1549</v>
      </c>
      <c r="AM97" s="2" t="s">
        <v>92</v>
      </c>
      <c r="AN97" s="2" t="s">
        <v>465</v>
      </c>
      <c r="AO97" s="2" t="s">
        <v>1550</v>
      </c>
      <c r="AP97" s="2" t="s">
        <v>95</v>
      </c>
      <c r="AQ97" s="2" t="s">
        <v>1551</v>
      </c>
      <c r="AR97" s="2" t="s">
        <v>1552</v>
      </c>
      <c r="AS97" s="2"/>
      <c r="AT97" s="2"/>
      <c r="AU97" s="2" t="s">
        <v>1553</v>
      </c>
      <c r="AV97" s="2" t="s">
        <v>1554</v>
      </c>
      <c r="AW97" s="2" t="s">
        <v>106</v>
      </c>
      <c r="AX97" s="2"/>
      <c r="AY97" s="2" t="s">
        <v>106</v>
      </c>
      <c r="AZ97" s="2"/>
      <c r="BA97" s="2" t="s">
        <v>1555</v>
      </c>
      <c r="BB97" s="2" t="s">
        <v>100</v>
      </c>
      <c r="BC97" s="2" t="s">
        <v>1556</v>
      </c>
      <c r="BD97" s="2" t="s">
        <v>1557</v>
      </c>
      <c r="BE97" s="2"/>
      <c r="BF97" s="2" t="s">
        <v>1558</v>
      </c>
      <c r="BG97" s="2" t="s">
        <v>153</v>
      </c>
      <c r="BH97" s="2" t="s">
        <v>1559</v>
      </c>
      <c r="BI97" s="2" t="s">
        <v>79</v>
      </c>
      <c r="BJ97" s="2" t="s">
        <v>107</v>
      </c>
      <c r="BK97" s="2" t="s">
        <v>1560</v>
      </c>
      <c r="BL97" s="2" t="s">
        <v>79</v>
      </c>
      <c r="BM97" s="2" t="s">
        <v>109</v>
      </c>
    </row>
    <row r="98" spans="1:65" ht="409.5" x14ac:dyDescent="0.25">
      <c r="A98" s="2" t="s">
        <v>1561</v>
      </c>
      <c r="B98" s="2">
        <v>2020</v>
      </c>
      <c r="C98" s="2" t="s">
        <v>111</v>
      </c>
      <c r="D98" s="2" t="s">
        <v>79</v>
      </c>
      <c r="E98" s="2" t="s">
        <v>79</v>
      </c>
      <c r="F98" s="2" t="s">
        <v>79</v>
      </c>
      <c r="G98" s="2" t="s">
        <v>80</v>
      </c>
      <c r="H98" s="2" t="s">
        <v>79</v>
      </c>
      <c r="I98" s="2" t="s">
        <v>79</v>
      </c>
      <c r="J98" s="2" t="s">
        <v>80</v>
      </c>
      <c r="K98" s="2" t="s">
        <v>80</v>
      </c>
      <c r="L98" s="2" t="s">
        <v>79</v>
      </c>
      <c r="M98" s="2" t="s">
        <v>80</v>
      </c>
      <c r="N98" s="2" t="s">
        <v>1527</v>
      </c>
      <c r="O98" s="2">
        <v>8</v>
      </c>
      <c r="P98" s="2" t="s">
        <v>82</v>
      </c>
      <c r="Q98" s="2" t="s">
        <v>1562</v>
      </c>
      <c r="R98" s="2" t="s">
        <v>84</v>
      </c>
      <c r="S98" s="2" t="s">
        <v>84</v>
      </c>
      <c r="T98" s="2" t="s">
        <v>84</v>
      </c>
      <c r="U98" s="2" t="s">
        <v>84</v>
      </c>
      <c r="V98" s="2" t="s">
        <v>84</v>
      </c>
      <c r="W98" s="2" t="s">
        <v>84</v>
      </c>
      <c r="X98" s="2" t="s">
        <v>86</v>
      </c>
      <c r="Y98" s="2" t="s">
        <v>86</v>
      </c>
      <c r="Z98" s="2" t="s">
        <v>84</v>
      </c>
      <c r="AA98" s="2" t="s">
        <v>84</v>
      </c>
      <c r="AB98" s="2" t="s">
        <v>1563</v>
      </c>
      <c r="AC98" s="2"/>
      <c r="AD98" s="2" t="s">
        <v>1564</v>
      </c>
      <c r="AE98" s="2" t="s">
        <v>143</v>
      </c>
      <c r="AF98" s="2" t="s">
        <v>106</v>
      </c>
      <c r="AG98" s="2" t="s">
        <v>90</v>
      </c>
      <c r="AH98" s="2"/>
      <c r="AI98" s="2" t="s">
        <v>1565</v>
      </c>
      <c r="AJ98" s="2"/>
      <c r="AK98" s="2" t="s">
        <v>155</v>
      </c>
      <c r="AL98" s="2"/>
      <c r="AM98" s="2" t="s">
        <v>92</v>
      </c>
      <c r="AN98" s="2"/>
      <c r="AO98" s="2" t="s">
        <v>1566</v>
      </c>
      <c r="AP98" s="2" t="s">
        <v>95</v>
      </c>
      <c r="AQ98" s="2" t="s">
        <v>1567</v>
      </c>
      <c r="AR98" s="2" t="s">
        <v>1568</v>
      </c>
      <c r="AS98" s="2"/>
      <c r="AT98" s="2"/>
      <c r="AU98" s="2" t="s">
        <v>1569</v>
      </c>
      <c r="AV98" s="2" t="s">
        <v>1570</v>
      </c>
      <c r="AW98" s="2" t="s">
        <v>106</v>
      </c>
      <c r="AX98" s="2"/>
      <c r="AY98" s="2" t="s">
        <v>106</v>
      </c>
      <c r="AZ98" s="2"/>
      <c r="BA98" s="2" t="s">
        <v>1571</v>
      </c>
      <c r="BB98" s="2" t="s">
        <v>100</v>
      </c>
      <c r="BC98" s="2" t="s">
        <v>1572</v>
      </c>
      <c r="BD98" s="2" t="s">
        <v>286</v>
      </c>
      <c r="BE98" s="2"/>
      <c r="BF98" s="2" t="s">
        <v>1573</v>
      </c>
      <c r="BG98" s="2" t="s">
        <v>153</v>
      </c>
      <c r="BH98" s="2" t="s">
        <v>1574</v>
      </c>
      <c r="BI98" s="2" t="s">
        <v>79</v>
      </c>
      <c r="BJ98" s="2" t="s">
        <v>155</v>
      </c>
      <c r="BK98" s="2"/>
      <c r="BL98" s="2" t="s">
        <v>80</v>
      </c>
      <c r="BM98" s="2" t="s">
        <v>268</v>
      </c>
    </row>
    <row r="99" spans="1:65" ht="409.5" x14ac:dyDescent="0.25">
      <c r="A99" s="2" t="s">
        <v>1575</v>
      </c>
      <c r="B99" s="2">
        <v>2024</v>
      </c>
      <c r="C99" s="2" t="s">
        <v>111</v>
      </c>
      <c r="D99" s="2" t="s">
        <v>79</v>
      </c>
      <c r="E99" s="2" t="s">
        <v>79</v>
      </c>
      <c r="F99" s="2" t="s">
        <v>79</v>
      </c>
      <c r="G99" s="2" t="s">
        <v>80</v>
      </c>
      <c r="H99" s="2" t="s">
        <v>79</v>
      </c>
      <c r="I99" s="2" t="s">
        <v>79</v>
      </c>
      <c r="J99" s="2" t="s">
        <v>80</v>
      </c>
      <c r="K99" s="2" t="s">
        <v>80</v>
      </c>
      <c r="L99" s="2" t="s">
        <v>92</v>
      </c>
      <c r="M99" s="2" t="s">
        <v>80</v>
      </c>
      <c r="N99" s="2" t="s">
        <v>1576</v>
      </c>
      <c r="O99" s="2">
        <v>9</v>
      </c>
      <c r="P99" s="2" t="s">
        <v>82</v>
      </c>
      <c r="Q99" s="2" t="s">
        <v>1577</v>
      </c>
      <c r="R99" s="2" t="s">
        <v>84</v>
      </c>
      <c r="S99" s="2" t="s">
        <v>84</v>
      </c>
      <c r="T99" s="2" t="s">
        <v>84</v>
      </c>
      <c r="U99" s="2" t="s">
        <v>84</v>
      </c>
      <c r="V99" s="2" t="s">
        <v>84</v>
      </c>
      <c r="W99" s="2" t="s">
        <v>84</v>
      </c>
      <c r="X99" s="2" t="s">
        <v>86</v>
      </c>
      <c r="Y99" s="2" t="s">
        <v>84</v>
      </c>
      <c r="Z99" s="2" t="s">
        <v>84</v>
      </c>
      <c r="AA99" s="2" t="s">
        <v>84</v>
      </c>
      <c r="AB99" s="2" t="s">
        <v>1578</v>
      </c>
      <c r="AC99" s="2"/>
      <c r="AD99" s="2" t="s">
        <v>1579</v>
      </c>
      <c r="AE99" s="2" t="s">
        <v>478</v>
      </c>
      <c r="AF99" s="2" t="s">
        <v>80</v>
      </c>
      <c r="AG99" s="2" t="s">
        <v>116</v>
      </c>
      <c r="AH99" s="2"/>
      <c r="AI99" s="2" t="s">
        <v>1580</v>
      </c>
      <c r="AJ99" s="2"/>
      <c r="AK99" s="2" t="s">
        <v>155</v>
      </c>
      <c r="AL99" s="2"/>
      <c r="AM99" s="2" t="s">
        <v>92</v>
      </c>
      <c r="AN99" s="2" t="s">
        <v>465</v>
      </c>
      <c r="AO99" s="2" t="s">
        <v>1581</v>
      </c>
      <c r="AP99" s="2" t="s">
        <v>95</v>
      </c>
      <c r="AQ99" s="2" t="s">
        <v>1582</v>
      </c>
      <c r="AR99" s="2" t="s">
        <v>1583</v>
      </c>
      <c r="AS99" s="2"/>
      <c r="AT99" s="2"/>
      <c r="AU99" s="2" t="s">
        <v>1584</v>
      </c>
      <c r="AV99" s="2" t="s">
        <v>1585</v>
      </c>
      <c r="AW99" s="2" t="s">
        <v>106</v>
      </c>
      <c r="AX99" s="2"/>
      <c r="AY99" s="2" t="s">
        <v>106</v>
      </c>
      <c r="AZ99" s="2"/>
      <c r="BA99" s="2" t="s">
        <v>1586</v>
      </c>
      <c r="BB99" s="2" t="s">
        <v>100</v>
      </c>
      <c r="BC99" s="2" t="s">
        <v>1587</v>
      </c>
      <c r="BD99" s="2" t="s">
        <v>286</v>
      </c>
      <c r="BE99" s="2"/>
      <c r="BF99" s="2" t="s">
        <v>1588</v>
      </c>
      <c r="BG99" s="2" t="s">
        <v>153</v>
      </c>
      <c r="BH99" s="2" t="s">
        <v>1589</v>
      </c>
      <c r="BI99" s="2" t="s">
        <v>79</v>
      </c>
      <c r="BJ99" s="2" t="s">
        <v>107</v>
      </c>
      <c r="BK99" s="2" t="s">
        <v>1590</v>
      </c>
      <c r="BL99" s="2" t="s">
        <v>79</v>
      </c>
      <c r="BM99" s="2" t="s">
        <v>109</v>
      </c>
    </row>
    <row r="100" spans="1:65" ht="409.5" x14ac:dyDescent="0.25">
      <c r="A100" s="2" t="s">
        <v>1591</v>
      </c>
      <c r="B100" s="2">
        <v>2023</v>
      </c>
      <c r="C100" s="2" t="s">
        <v>111</v>
      </c>
      <c r="D100" s="2" t="s">
        <v>79</v>
      </c>
      <c r="E100" s="2" t="s">
        <v>79</v>
      </c>
      <c r="F100" s="2" t="s">
        <v>79</v>
      </c>
      <c r="G100" s="2" t="s">
        <v>80</v>
      </c>
      <c r="H100" s="2" t="s">
        <v>79</v>
      </c>
      <c r="I100" s="2" t="s">
        <v>79</v>
      </c>
      <c r="J100" s="2" t="s">
        <v>80</v>
      </c>
      <c r="K100" s="2" t="s">
        <v>80</v>
      </c>
      <c r="L100" s="2" t="s">
        <v>92</v>
      </c>
      <c r="M100" s="2" t="s">
        <v>92</v>
      </c>
      <c r="N100" s="2" t="s">
        <v>1576</v>
      </c>
      <c r="O100" s="2">
        <v>9</v>
      </c>
      <c r="P100" s="2" t="s">
        <v>82</v>
      </c>
      <c r="Q100" s="2" t="s">
        <v>1592</v>
      </c>
      <c r="R100" s="2" t="s">
        <v>84</v>
      </c>
      <c r="S100" s="2" t="s">
        <v>84</v>
      </c>
      <c r="T100" s="2" t="s">
        <v>84</v>
      </c>
      <c r="U100" s="2" t="s">
        <v>84</v>
      </c>
      <c r="V100" s="2" t="s">
        <v>84</v>
      </c>
      <c r="W100" s="2" t="s">
        <v>84</v>
      </c>
      <c r="X100" s="2" t="s">
        <v>86</v>
      </c>
      <c r="Y100" s="2" t="s">
        <v>84</v>
      </c>
      <c r="Z100" s="2" t="s">
        <v>84</v>
      </c>
      <c r="AA100" s="2" t="s">
        <v>84</v>
      </c>
      <c r="AB100" s="2" t="s">
        <v>1593</v>
      </c>
      <c r="AC100" s="2"/>
      <c r="AD100" s="2" t="s">
        <v>1594</v>
      </c>
      <c r="AE100" s="2" t="s">
        <v>89</v>
      </c>
      <c r="AF100" s="2" t="s">
        <v>79</v>
      </c>
      <c r="AG100" s="2" t="s">
        <v>116</v>
      </c>
      <c r="AH100" s="2"/>
      <c r="AI100" s="2" t="s">
        <v>1595</v>
      </c>
      <c r="AJ100" s="2"/>
      <c r="AK100" s="2" t="s">
        <v>155</v>
      </c>
      <c r="AL100" s="2"/>
      <c r="AM100" s="2" t="s">
        <v>92</v>
      </c>
      <c r="AN100" s="2" t="s">
        <v>864</v>
      </c>
      <c r="AO100" s="2" t="s">
        <v>1596</v>
      </c>
      <c r="AP100" s="2" t="s">
        <v>95</v>
      </c>
      <c r="AQ100" s="2" t="s">
        <v>1597</v>
      </c>
      <c r="AR100" s="2" t="s">
        <v>1598</v>
      </c>
      <c r="AS100" s="2"/>
      <c r="AT100" s="2"/>
      <c r="AU100" s="2" t="s">
        <v>1599</v>
      </c>
      <c r="AV100" s="2" t="s">
        <v>1600</v>
      </c>
      <c r="AW100" s="2" t="s">
        <v>106</v>
      </c>
      <c r="AX100" s="2"/>
      <c r="AY100" s="2" t="s">
        <v>106</v>
      </c>
      <c r="AZ100" s="2"/>
      <c r="BA100" s="2" t="s">
        <v>1601</v>
      </c>
      <c r="BB100" s="2" t="s">
        <v>100</v>
      </c>
      <c r="BC100" s="2" t="s">
        <v>1602</v>
      </c>
      <c r="BD100" s="2" t="s">
        <v>1557</v>
      </c>
      <c r="BE100" s="2"/>
      <c r="BF100" s="2" t="s">
        <v>1603</v>
      </c>
      <c r="BG100" s="2" t="s">
        <v>104</v>
      </c>
      <c r="BH100" s="2" t="s">
        <v>1604</v>
      </c>
      <c r="BI100" s="2" t="s">
        <v>79</v>
      </c>
      <c r="BJ100" s="2" t="s">
        <v>107</v>
      </c>
      <c r="BK100" s="2" t="s">
        <v>1605</v>
      </c>
      <c r="BL100" s="2" t="s">
        <v>79</v>
      </c>
      <c r="BM100" s="2" t="s">
        <v>109</v>
      </c>
    </row>
    <row r="101" spans="1:65" ht="409.5" x14ac:dyDescent="0.25">
      <c r="A101" s="2" t="s">
        <v>1606</v>
      </c>
      <c r="B101" s="2">
        <v>2022</v>
      </c>
      <c r="C101" s="2" t="s">
        <v>111</v>
      </c>
      <c r="D101" s="2" t="s">
        <v>80</v>
      </c>
      <c r="E101" s="2" t="s">
        <v>79</v>
      </c>
      <c r="F101" s="2" t="s">
        <v>80</v>
      </c>
      <c r="G101" s="2" t="s">
        <v>80</v>
      </c>
      <c r="H101" s="2" t="s">
        <v>79</v>
      </c>
      <c r="I101" s="2" t="s">
        <v>79</v>
      </c>
      <c r="J101" s="2" t="s">
        <v>80</v>
      </c>
      <c r="K101" s="2" t="s">
        <v>80</v>
      </c>
      <c r="L101" s="2" t="s">
        <v>92</v>
      </c>
      <c r="M101" s="2" t="s">
        <v>80</v>
      </c>
      <c r="N101" s="2" t="s">
        <v>112</v>
      </c>
      <c r="O101" s="2">
        <v>7.5</v>
      </c>
      <c r="P101" s="2" t="s">
        <v>82</v>
      </c>
      <c r="Q101" s="2" t="s">
        <v>1607</v>
      </c>
      <c r="R101" s="2" t="s">
        <v>84</v>
      </c>
      <c r="S101" s="2" t="s">
        <v>84</v>
      </c>
      <c r="T101" s="2" t="s">
        <v>84</v>
      </c>
      <c r="U101" s="2" t="s">
        <v>84</v>
      </c>
      <c r="V101" s="2" t="s">
        <v>84</v>
      </c>
      <c r="W101" s="2" t="s">
        <v>85</v>
      </c>
      <c r="X101" s="2" t="s">
        <v>86</v>
      </c>
      <c r="Y101" s="2" t="s">
        <v>84</v>
      </c>
      <c r="Z101" s="2" t="s">
        <v>84</v>
      </c>
      <c r="AA101" s="2" t="s">
        <v>86</v>
      </c>
      <c r="AB101" s="2" t="s">
        <v>1608</v>
      </c>
      <c r="AC101" s="2"/>
      <c r="AD101" s="2" t="s">
        <v>1609</v>
      </c>
      <c r="AE101" s="2" t="s">
        <v>478</v>
      </c>
      <c r="AF101" s="2" t="s">
        <v>79</v>
      </c>
      <c r="AG101" s="2" t="s">
        <v>116</v>
      </c>
      <c r="AH101" s="2"/>
      <c r="AI101" s="2"/>
      <c r="AJ101" s="2"/>
      <c r="AK101" s="2"/>
      <c r="AL101" s="2"/>
      <c r="AM101" s="2" t="s">
        <v>92</v>
      </c>
      <c r="AN101" s="2" t="s">
        <v>453</v>
      </c>
      <c r="AO101" s="2" t="s">
        <v>1610</v>
      </c>
      <c r="AP101" s="2" t="s">
        <v>95</v>
      </c>
      <c r="AQ101" s="2" t="s">
        <v>1611</v>
      </c>
      <c r="AR101" s="2" t="s">
        <v>1612</v>
      </c>
      <c r="AS101" s="2"/>
      <c r="AT101" s="2"/>
      <c r="AU101" s="2"/>
      <c r="AV101" s="2" t="s">
        <v>1613</v>
      </c>
      <c r="AW101" s="2"/>
      <c r="AX101" s="2"/>
      <c r="AY101" s="2"/>
      <c r="AZ101" s="2"/>
      <c r="BA101" s="2"/>
      <c r="BB101" s="2" t="s">
        <v>100</v>
      </c>
      <c r="BC101" s="2" t="s">
        <v>1614</v>
      </c>
      <c r="BD101" s="2" t="s">
        <v>102</v>
      </c>
      <c r="BE101" s="2"/>
      <c r="BF101" s="2" t="s">
        <v>1615</v>
      </c>
      <c r="BG101" s="2" t="s">
        <v>153</v>
      </c>
      <c r="BH101" s="2" t="s">
        <v>1616</v>
      </c>
      <c r="BI101" s="2" t="s">
        <v>106</v>
      </c>
      <c r="BJ101" s="2" t="s">
        <v>107</v>
      </c>
      <c r="BK101" s="2" t="s">
        <v>1617</v>
      </c>
      <c r="BL101" s="2" t="s">
        <v>79</v>
      </c>
      <c r="BM101" s="2" t="s">
        <v>109</v>
      </c>
    </row>
    <row r="102" spans="1:65" ht="409.5" x14ac:dyDescent="0.25">
      <c r="A102" s="2" t="s">
        <v>1618</v>
      </c>
      <c r="B102" s="2">
        <v>2022</v>
      </c>
      <c r="C102" s="2" t="s">
        <v>111</v>
      </c>
      <c r="D102" s="2" t="s">
        <v>79</v>
      </c>
      <c r="E102" s="2" t="s">
        <v>79</v>
      </c>
      <c r="F102" s="2" t="s">
        <v>79</v>
      </c>
      <c r="G102" s="2" t="s">
        <v>80</v>
      </c>
      <c r="H102" s="2" t="s">
        <v>79</v>
      </c>
      <c r="I102" s="2" t="s">
        <v>80</v>
      </c>
      <c r="J102" s="2" t="s">
        <v>80</v>
      </c>
      <c r="K102" s="2" t="s">
        <v>80</v>
      </c>
      <c r="L102" s="2" t="s">
        <v>80</v>
      </c>
      <c r="M102" s="2" t="s">
        <v>80</v>
      </c>
      <c r="N102" s="2" t="s">
        <v>143</v>
      </c>
      <c r="O102" s="2">
        <v>8</v>
      </c>
      <c r="P102" s="2" t="s">
        <v>82</v>
      </c>
      <c r="Q102" s="2" t="s">
        <v>1619</v>
      </c>
      <c r="R102" s="2" t="s">
        <v>84</v>
      </c>
      <c r="S102" s="2" t="s">
        <v>84</v>
      </c>
      <c r="T102" s="2" t="s">
        <v>86</v>
      </c>
      <c r="U102" s="2" t="s">
        <v>84</v>
      </c>
      <c r="V102" s="2" t="s">
        <v>84</v>
      </c>
      <c r="W102" s="2" t="s">
        <v>84</v>
      </c>
      <c r="X102" s="2" t="s">
        <v>84</v>
      </c>
      <c r="Y102" s="2" t="s">
        <v>85</v>
      </c>
      <c r="Z102" s="2" t="s">
        <v>85</v>
      </c>
      <c r="AA102" s="2" t="s">
        <v>84</v>
      </c>
      <c r="AB102" s="2" t="s">
        <v>1620</v>
      </c>
      <c r="AC102" s="2" t="s">
        <v>92</v>
      </c>
      <c r="AD102" s="2"/>
      <c r="AE102" s="2" t="s">
        <v>143</v>
      </c>
      <c r="AF102" s="2" t="s">
        <v>80</v>
      </c>
      <c r="AG102" s="2" t="s">
        <v>90</v>
      </c>
      <c r="AH102" s="2" t="s">
        <v>92</v>
      </c>
      <c r="AI102" s="2"/>
      <c r="AJ102" s="2"/>
      <c r="AK102" s="2" t="s">
        <v>155</v>
      </c>
      <c r="AL102" s="2"/>
      <c r="AM102" s="2"/>
      <c r="AN102" s="2" t="s">
        <v>639</v>
      </c>
      <c r="AO102" s="2" t="s">
        <v>1621</v>
      </c>
      <c r="AP102" s="2" t="s">
        <v>95</v>
      </c>
      <c r="AQ102" s="2" t="s">
        <v>1622</v>
      </c>
      <c r="AR102" s="2" t="s">
        <v>1623</v>
      </c>
      <c r="AS102" s="2"/>
      <c r="AT102" s="2"/>
      <c r="AU102" s="2"/>
      <c r="AV102" s="2" t="s">
        <v>1624</v>
      </c>
      <c r="AW102" s="2" t="s">
        <v>106</v>
      </c>
      <c r="AX102" s="2"/>
      <c r="AY102" s="2" t="s">
        <v>106</v>
      </c>
      <c r="AZ102" s="2" t="s">
        <v>79</v>
      </c>
      <c r="BA102" s="2"/>
      <c r="BB102" s="2" t="s">
        <v>303</v>
      </c>
      <c r="BC102" s="2" t="s">
        <v>1625</v>
      </c>
      <c r="BD102" s="2" t="s">
        <v>1626</v>
      </c>
      <c r="BE102" s="2" t="s">
        <v>1627</v>
      </c>
      <c r="BF102" s="2" t="s">
        <v>1628</v>
      </c>
      <c r="BG102" s="2" t="s">
        <v>732</v>
      </c>
      <c r="BH102" s="2"/>
      <c r="BI102" s="2" t="s">
        <v>79</v>
      </c>
      <c r="BJ102" s="2" t="s">
        <v>155</v>
      </c>
      <c r="BK102" s="2" t="s">
        <v>1629</v>
      </c>
      <c r="BL102" s="2" t="s">
        <v>80</v>
      </c>
      <c r="BM102" s="2" t="s">
        <v>109</v>
      </c>
    </row>
    <row r="103" spans="1:65" ht="409.5" x14ac:dyDescent="0.25">
      <c r="A103" s="2" t="s">
        <v>1630</v>
      </c>
      <c r="B103" s="2">
        <v>2020</v>
      </c>
      <c r="C103" s="2" t="s">
        <v>111</v>
      </c>
      <c r="D103" s="2" t="s">
        <v>79</v>
      </c>
      <c r="E103" s="2" t="s">
        <v>79</v>
      </c>
      <c r="F103" s="2" t="s">
        <v>79</v>
      </c>
      <c r="G103" s="2" t="s">
        <v>80</v>
      </c>
      <c r="H103" s="2" t="s">
        <v>79</v>
      </c>
      <c r="I103" s="2" t="s">
        <v>79</v>
      </c>
      <c r="J103" s="2" t="s">
        <v>80</v>
      </c>
      <c r="K103" s="2" t="s">
        <v>80</v>
      </c>
      <c r="L103" s="2" t="s">
        <v>92</v>
      </c>
      <c r="M103" s="2" t="s">
        <v>92</v>
      </c>
      <c r="N103" s="2" t="s">
        <v>112</v>
      </c>
      <c r="O103" s="2">
        <v>8</v>
      </c>
      <c r="P103" s="2" t="s">
        <v>82</v>
      </c>
      <c r="Q103" s="2" t="s">
        <v>1631</v>
      </c>
      <c r="R103" s="2" t="s">
        <v>84</v>
      </c>
      <c r="S103" s="2" t="s">
        <v>84</v>
      </c>
      <c r="T103" s="2" t="s">
        <v>84</v>
      </c>
      <c r="U103" s="2" t="s">
        <v>84</v>
      </c>
      <c r="V103" s="2" t="s">
        <v>84</v>
      </c>
      <c r="W103" s="2" t="s">
        <v>85</v>
      </c>
      <c r="X103" s="2" t="s">
        <v>86</v>
      </c>
      <c r="Y103" s="2" t="s">
        <v>84</v>
      </c>
      <c r="Z103" s="2" t="s">
        <v>85</v>
      </c>
      <c r="AA103" s="2" t="s">
        <v>84</v>
      </c>
      <c r="AB103" s="2" t="s">
        <v>1632</v>
      </c>
      <c r="AC103" s="2" t="s">
        <v>79</v>
      </c>
      <c r="AD103" s="2"/>
      <c r="AE103" s="2" t="s">
        <v>89</v>
      </c>
      <c r="AF103" s="2" t="s">
        <v>79</v>
      </c>
      <c r="AG103" s="2" t="s">
        <v>116</v>
      </c>
      <c r="AH103" s="2" t="s">
        <v>92</v>
      </c>
      <c r="AI103" s="2"/>
      <c r="AJ103" s="2"/>
      <c r="AK103" s="2" t="s">
        <v>155</v>
      </c>
      <c r="AL103" s="2"/>
      <c r="AM103" s="2" t="s">
        <v>92</v>
      </c>
      <c r="AN103" s="2" t="s">
        <v>213</v>
      </c>
      <c r="AO103" s="2" t="s">
        <v>1633</v>
      </c>
      <c r="AP103" s="2" t="s">
        <v>95</v>
      </c>
      <c r="AQ103" s="2" t="s">
        <v>1634</v>
      </c>
      <c r="AR103" s="2" t="s">
        <v>1635</v>
      </c>
      <c r="AS103" s="2"/>
      <c r="AT103" s="2"/>
      <c r="AU103" s="2"/>
      <c r="AV103" s="2" t="s">
        <v>1636</v>
      </c>
      <c r="AW103" s="2" t="s">
        <v>80</v>
      </c>
      <c r="AX103" s="2"/>
      <c r="AY103" s="2" t="s">
        <v>80</v>
      </c>
      <c r="AZ103" s="2" t="s">
        <v>92</v>
      </c>
      <c r="BA103" s="2"/>
      <c r="BB103" s="2" t="s">
        <v>100</v>
      </c>
      <c r="BC103" s="2" t="s">
        <v>1637</v>
      </c>
      <c r="BD103" s="2" t="s">
        <v>1638</v>
      </c>
      <c r="BE103" s="2" t="s">
        <v>444</v>
      </c>
      <c r="BF103" s="2" t="s">
        <v>1639</v>
      </c>
      <c r="BG103" s="2" t="s">
        <v>153</v>
      </c>
      <c r="BH103" s="2" t="s">
        <v>1640</v>
      </c>
      <c r="BI103" s="2" t="s">
        <v>79</v>
      </c>
      <c r="BJ103" s="2" t="s">
        <v>107</v>
      </c>
      <c r="BK103" s="2" t="s">
        <v>1641</v>
      </c>
      <c r="BL103" s="2" t="s">
        <v>79</v>
      </c>
      <c r="BM103" s="2" t="s">
        <v>109</v>
      </c>
    </row>
    <row r="104" spans="1:65" ht="409.5" x14ac:dyDescent="0.25">
      <c r="A104" s="2" t="s">
        <v>1642</v>
      </c>
      <c r="B104" s="2">
        <v>2008</v>
      </c>
      <c r="C104" s="2" t="s">
        <v>111</v>
      </c>
      <c r="D104" s="2" t="s">
        <v>79</v>
      </c>
      <c r="E104" s="2" t="s">
        <v>79</v>
      </c>
      <c r="F104" s="2" t="s">
        <v>79</v>
      </c>
      <c r="G104" s="2" t="s">
        <v>80</v>
      </c>
      <c r="H104" s="2" t="s">
        <v>79</v>
      </c>
      <c r="I104" s="2" t="s">
        <v>79</v>
      </c>
      <c r="J104" s="2" t="s">
        <v>80</v>
      </c>
      <c r="K104" s="2" t="s">
        <v>80</v>
      </c>
      <c r="L104" s="2" t="s">
        <v>80</v>
      </c>
      <c r="M104" s="2" t="s">
        <v>80</v>
      </c>
      <c r="N104" s="2" t="s">
        <v>143</v>
      </c>
      <c r="O104" s="2">
        <v>8.5</v>
      </c>
      <c r="P104" s="2" t="s">
        <v>82</v>
      </c>
      <c r="Q104" s="2" t="s">
        <v>1643</v>
      </c>
      <c r="R104" s="2" t="s">
        <v>84</v>
      </c>
      <c r="S104" s="2" t="s">
        <v>84</v>
      </c>
      <c r="T104" s="2" t="s">
        <v>84</v>
      </c>
      <c r="U104" s="2" t="s">
        <v>84</v>
      </c>
      <c r="V104" s="2" t="s">
        <v>84</v>
      </c>
      <c r="W104" s="2" t="s">
        <v>85</v>
      </c>
      <c r="X104" s="2" t="s">
        <v>84</v>
      </c>
      <c r="Y104" s="2" t="s">
        <v>85</v>
      </c>
      <c r="Z104" s="2" t="s">
        <v>85</v>
      </c>
      <c r="AA104" s="2" t="s">
        <v>84</v>
      </c>
      <c r="AB104" s="2" t="s">
        <v>1644</v>
      </c>
      <c r="AC104" s="2" t="s">
        <v>92</v>
      </c>
      <c r="AD104" s="2"/>
      <c r="AE104" s="2" t="s">
        <v>143</v>
      </c>
      <c r="AF104" s="2" t="s">
        <v>106</v>
      </c>
      <c r="AG104" s="2" t="s">
        <v>90</v>
      </c>
      <c r="AH104" s="2" t="s">
        <v>92</v>
      </c>
      <c r="AI104" s="2"/>
      <c r="AJ104" s="2"/>
      <c r="AK104" s="2" t="s">
        <v>155</v>
      </c>
      <c r="AL104" s="2"/>
      <c r="AM104" s="2" t="s">
        <v>92</v>
      </c>
      <c r="AN104" s="2" t="s">
        <v>93</v>
      </c>
      <c r="AO104" s="2" t="s">
        <v>1645</v>
      </c>
      <c r="AP104" s="2" t="s">
        <v>95</v>
      </c>
      <c r="AQ104" s="2" t="s">
        <v>1646</v>
      </c>
      <c r="AR104" s="2" t="s">
        <v>1647</v>
      </c>
      <c r="AS104" s="2"/>
      <c r="AT104" s="2"/>
      <c r="AU104" s="2"/>
      <c r="AV104" s="2" t="s">
        <v>1648</v>
      </c>
      <c r="AW104" s="2" t="s">
        <v>80</v>
      </c>
      <c r="AX104" s="2"/>
      <c r="AY104" s="2" t="s">
        <v>80</v>
      </c>
      <c r="AZ104" s="2" t="s">
        <v>79</v>
      </c>
      <c r="BA104" s="2"/>
      <c r="BB104" s="2" t="s">
        <v>303</v>
      </c>
      <c r="BC104" s="2" t="s">
        <v>1649</v>
      </c>
      <c r="BD104" s="2" t="s">
        <v>514</v>
      </c>
      <c r="BE104" s="2" t="s">
        <v>1485</v>
      </c>
      <c r="BF104" s="2" t="s">
        <v>1650</v>
      </c>
      <c r="BG104" s="2" t="s">
        <v>732</v>
      </c>
      <c r="BH104" s="2"/>
      <c r="BI104" s="2" t="s">
        <v>106</v>
      </c>
      <c r="BJ104" s="2" t="s">
        <v>155</v>
      </c>
      <c r="BK104" s="2" t="s">
        <v>1651</v>
      </c>
      <c r="BL104" s="2" t="s">
        <v>80</v>
      </c>
      <c r="BM104" s="2" t="s">
        <v>172</v>
      </c>
    </row>
    <row r="105" spans="1:65" ht="409.5" x14ac:dyDescent="0.25">
      <c r="A105" s="2" t="s">
        <v>1652</v>
      </c>
      <c r="B105" s="2">
        <v>2025</v>
      </c>
      <c r="C105" s="2" t="s">
        <v>111</v>
      </c>
      <c r="D105" s="2" t="s">
        <v>79</v>
      </c>
      <c r="E105" s="2" t="s">
        <v>79</v>
      </c>
      <c r="F105" s="2" t="s">
        <v>79</v>
      </c>
      <c r="G105" s="2" t="s">
        <v>80</v>
      </c>
      <c r="H105" s="2" t="s">
        <v>79</v>
      </c>
      <c r="I105" s="2" t="s">
        <v>79</v>
      </c>
      <c r="J105" s="2" t="s">
        <v>80</v>
      </c>
      <c r="K105" s="2" t="s">
        <v>80</v>
      </c>
      <c r="L105" s="2" t="s">
        <v>92</v>
      </c>
      <c r="M105" s="2" t="s">
        <v>92</v>
      </c>
      <c r="N105" s="2" t="s">
        <v>112</v>
      </c>
      <c r="O105" s="2">
        <v>8.5</v>
      </c>
      <c r="P105" s="2" t="s">
        <v>82</v>
      </c>
      <c r="Q105" s="2" t="s">
        <v>1653</v>
      </c>
      <c r="R105" s="2" t="s">
        <v>84</v>
      </c>
      <c r="S105" s="2" t="s">
        <v>84</v>
      </c>
      <c r="T105" s="2" t="s">
        <v>84</v>
      </c>
      <c r="U105" s="2" t="s">
        <v>84</v>
      </c>
      <c r="V105" s="2" t="s">
        <v>84</v>
      </c>
      <c r="W105" s="2" t="s">
        <v>84</v>
      </c>
      <c r="X105" s="2" t="s">
        <v>86</v>
      </c>
      <c r="Y105" s="2" t="s">
        <v>84</v>
      </c>
      <c r="Z105" s="2" t="s">
        <v>85</v>
      </c>
      <c r="AA105" s="2" t="s">
        <v>84</v>
      </c>
      <c r="AB105" s="2" t="s">
        <v>1654</v>
      </c>
      <c r="AC105" s="2" t="s">
        <v>79</v>
      </c>
      <c r="AD105" s="2"/>
      <c r="AE105" s="2" t="s">
        <v>842</v>
      </c>
      <c r="AF105" s="2" t="s">
        <v>79</v>
      </c>
      <c r="AG105" s="2" t="s">
        <v>116</v>
      </c>
      <c r="AH105" s="2" t="s">
        <v>92</v>
      </c>
      <c r="AI105" s="2"/>
      <c r="AJ105" s="2"/>
      <c r="AK105" s="2" t="s">
        <v>155</v>
      </c>
      <c r="AL105" s="2"/>
      <c r="AM105" s="2" t="s">
        <v>92</v>
      </c>
      <c r="AN105" s="2" t="s">
        <v>656</v>
      </c>
      <c r="AO105" s="2" t="s">
        <v>1655</v>
      </c>
      <c r="AP105" s="2" t="s">
        <v>95</v>
      </c>
      <c r="AQ105" s="2" t="s">
        <v>1656</v>
      </c>
      <c r="AR105" s="2" t="s">
        <v>1657</v>
      </c>
      <c r="AS105" s="2"/>
      <c r="AT105" s="2"/>
      <c r="AU105" s="2"/>
      <c r="AV105" s="2" t="s">
        <v>1658</v>
      </c>
      <c r="AW105" s="2" t="s">
        <v>80</v>
      </c>
      <c r="AX105" s="2"/>
      <c r="AY105" s="2" t="s">
        <v>80</v>
      </c>
      <c r="AZ105" s="2" t="s">
        <v>92</v>
      </c>
      <c r="BA105" s="2"/>
      <c r="BB105" s="2" t="s">
        <v>100</v>
      </c>
      <c r="BC105" s="2" t="s">
        <v>1659</v>
      </c>
      <c r="BD105" s="2" t="s">
        <v>1557</v>
      </c>
      <c r="BE105" s="2" t="s">
        <v>444</v>
      </c>
      <c r="BF105" s="2" t="s">
        <v>1660</v>
      </c>
      <c r="BG105" s="2" t="s">
        <v>153</v>
      </c>
      <c r="BH105" s="2" t="s">
        <v>1661</v>
      </c>
      <c r="BI105" s="2" t="s">
        <v>79</v>
      </c>
      <c r="BJ105" s="2" t="s">
        <v>429</v>
      </c>
      <c r="BK105" s="2" t="s">
        <v>1662</v>
      </c>
      <c r="BL105" s="2" t="s">
        <v>79</v>
      </c>
      <c r="BM105" s="2" t="s">
        <v>172</v>
      </c>
    </row>
    <row r="106" spans="1:65" ht="409.5" x14ac:dyDescent="0.25">
      <c r="A106" s="2" t="s">
        <v>1663</v>
      </c>
      <c r="B106" s="2">
        <v>2018</v>
      </c>
      <c r="C106" s="2" t="s">
        <v>111</v>
      </c>
      <c r="D106" s="2" t="s">
        <v>79</v>
      </c>
      <c r="E106" s="2" t="s">
        <v>79</v>
      </c>
      <c r="F106" s="2" t="s">
        <v>79</v>
      </c>
      <c r="G106" s="2" t="s">
        <v>80</v>
      </c>
      <c r="H106" s="2" t="s">
        <v>79</v>
      </c>
      <c r="I106" s="2" t="s">
        <v>79</v>
      </c>
      <c r="J106" s="2" t="s">
        <v>80</v>
      </c>
      <c r="K106" s="2" t="s">
        <v>80</v>
      </c>
      <c r="L106" s="2" t="s">
        <v>80</v>
      </c>
      <c r="M106" s="2" t="s">
        <v>80</v>
      </c>
      <c r="N106" s="2" t="s">
        <v>143</v>
      </c>
      <c r="O106" s="2">
        <v>9</v>
      </c>
      <c r="P106" s="2" t="s">
        <v>82</v>
      </c>
      <c r="Q106" s="2" t="s">
        <v>1664</v>
      </c>
      <c r="R106" s="2" t="s">
        <v>84</v>
      </c>
      <c r="S106" s="2" t="s">
        <v>84</v>
      </c>
      <c r="T106" s="2" t="s">
        <v>84</v>
      </c>
      <c r="U106" s="2" t="s">
        <v>84</v>
      </c>
      <c r="V106" s="2" t="s">
        <v>84</v>
      </c>
      <c r="W106" s="2" t="s">
        <v>85</v>
      </c>
      <c r="X106" s="2" t="s">
        <v>84</v>
      </c>
      <c r="Y106" s="2" t="s">
        <v>84</v>
      </c>
      <c r="Z106" s="2" t="s">
        <v>85</v>
      </c>
      <c r="AA106" s="2" t="s">
        <v>84</v>
      </c>
      <c r="AB106" s="2" t="s">
        <v>1665</v>
      </c>
      <c r="AC106" s="2" t="s">
        <v>79</v>
      </c>
      <c r="AD106" s="2"/>
      <c r="AE106" s="2" t="s">
        <v>842</v>
      </c>
      <c r="AF106" s="2" t="s">
        <v>106</v>
      </c>
      <c r="AG106" s="2" t="s">
        <v>194</v>
      </c>
      <c r="AH106" s="2" t="s">
        <v>92</v>
      </c>
      <c r="AI106" s="2"/>
      <c r="AJ106" s="2"/>
      <c r="AK106" s="2" t="s">
        <v>155</v>
      </c>
      <c r="AL106" s="2"/>
      <c r="AM106" s="2" t="s">
        <v>92</v>
      </c>
      <c r="AN106" s="2" t="s">
        <v>1666</v>
      </c>
      <c r="AO106" s="2" t="s">
        <v>1667</v>
      </c>
      <c r="AP106" s="2" t="s">
        <v>95</v>
      </c>
      <c r="AQ106" s="2" t="s">
        <v>1668</v>
      </c>
      <c r="AR106" s="2" t="s">
        <v>1669</v>
      </c>
      <c r="AS106" s="2"/>
      <c r="AT106" s="2"/>
      <c r="AU106" s="2"/>
      <c r="AV106" s="2" t="s">
        <v>1670</v>
      </c>
      <c r="AW106" s="2" t="s">
        <v>80</v>
      </c>
      <c r="AX106" s="2"/>
      <c r="AY106" s="2" t="s">
        <v>80</v>
      </c>
      <c r="AZ106" s="2" t="s">
        <v>79</v>
      </c>
      <c r="BA106" s="2"/>
      <c r="BB106" s="2" t="s">
        <v>100</v>
      </c>
      <c r="BC106" s="2" t="s">
        <v>1671</v>
      </c>
      <c r="BD106" s="2" t="s">
        <v>1557</v>
      </c>
      <c r="BE106" s="2" t="s">
        <v>1672</v>
      </c>
      <c r="BF106" s="2" t="s">
        <v>1673</v>
      </c>
      <c r="BG106" s="2" t="s">
        <v>856</v>
      </c>
      <c r="BH106" s="2"/>
      <c r="BI106" s="2" t="s">
        <v>106</v>
      </c>
      <c r="BJ106" s="2" t="s">
        <v>206</v>
      </c>
      <c r="BK106" s="2" t="s">
        <v>1674</v>
      </c>
      <c r="BL106" s="2" t="s">
        <v>79</v>
      </c>
      <c r="BM106" s="2" t="s">
        <v>109</v>
      </c>
    </row>
    <row r="107" spans="1:65" ht="409.5" x14ac:dyDescent="0.25">
      <c r="A107" s="2" t="s">
        <v>1675</v>
      </c>
      <c r="B107" s="2">
        <v>2019</v>
      </c>
      <c r="C107" s="2" t="s">
        <v>111</v>
      </c>
      <c r="D107" s="2" t="s">
        <v>79</v>
      </c>
      <c r="E107" s="2" t="s">
        <v>79</v>
      </c>
      <c r="F107" s="2" t="s">
        <v>79</v>
      </c>
      <c r="G107" s="2" t="s">
        <v>80</v>
      </c>
      <c r="H107" s="2" t="s">
        <v>79</v>
      </c>
      <c r="I107" s="2" t="s">
        <v>79</v>
      </c>
      <c r="J107" s="2" t="s">
        <v>80</v>
      </c>
      <c r="K107" s="2" t="s">
        <v>80</v>
      </c>
      <c r="L107" s="2" t="s">
        <v>80</v>
      </c>
      <c r="M107" s="2" t="s">
        <v>80</v>
      </c>
      <c r="N107" s="2" t="s">
        <v>1676</v>
      </c>
      <c r="O107" s="2">
        <v>8.5</v>
      </c>
      <c r="P107" s="2" t="s">
        <v>82</v>
      </c>
      <c r="Q107" s="2" t="s">
        <v>1677</v>
      </c>
      <c r="R107" s="2" t="s">
        <v>84</v>
      </c>
      <c r="S107" s="2" t="s">
        <v>84</v>
      </c>
      <c r="T107" s="2" t="s">
        <v>84</v>
      </c>
      <c r="U107" s="2" t="s">
        <v>84</v>
      </c>
      <c r="V107" s="2" t="s">
        <v>84</v>
      </c>
      <c r="W107" s="2" t="s">
        <v>84</v>
      </c>
      <c r="X107" s="2" t="s">
        <v>86</v>
      </c>
      <c r="Y107" s="2" t="s">
        <v>84</v>
      </c>
      <c r="Z107" s="2" t="s">
        <v>85</v>
      </c>
      <c r="AA107" s="2" t="s">
        <v>84</v>
      </c>
      <c r="AB107" s="2" t="s">
        <v>1678</v>
      </c>
      <c r="AC107" s="2" t="s">
        <v>79</v>
      </c>
      <c r="AD107" s="2"/>
      <c r="AE107" s="2" t="s">
        <v>193</v>
      </c>
      <c r="AF107" s="2" t="s">
        <v>79</v>
      </c>
      <c r="AG107" s="2" t="s">
        <v>194</v>
      </c>
      <c r="AH107" s="2" t="s">
        <v>92</v>
      </c>
      <c r="AI107" s="2"/>
      <c r="AJ107" s="2"/>
      <c r="AK107" s="2" t="s">
        <v>155</v>
      </c>
      <c r="AL107" s="2"/>
      <c r="AM107" s="2" t="s">
        <v>92</v>
      </c>
      <c r="AN107" s="2" t="s">
        <v>465</v>
      </c>
      <c r="AO107" s="2" t="s">
        <v>1679</v>
      </c>
      <c r="AP107" s="2" t="s">
        <v>95</v>
      </c>
      <c r="AQ107" s="2" t="s">
        <v>1680</v>
      </c>
      <c r="AR107" s="2" t="s">
        <v>1681</v>
      </c>
      <c r="AS107" s="2"/>
      <c r="AT107" s="2"/>
      <c r="AU107" s="2"/>
      <c r="AV107" s="2" t="s">
        <v>1682</v>
      </c>
      <c r="AW107" s="2" t="s">
        <v>80</v>
      </c>
      <c r="AX107" s="2"/>
      <c r="AY107" s="2" t="s">
        <v>80</v>
      </c>
      <c r="AZ107" s="2" t="s">
        <v>92</v>
      </c>
      <c r="BA107" s="2"/>
      <c r="BB107" s="2" t="s">
        <v>100</v>
      </c>
      <c r="BC107" s="2" t="s">
        <v>1683</v>
      </c>
      <c r="BD107" s="2" t="s">
        <v>1557</v>
      </c>
      <c r="BE107" s="2" t="s">
        <v>1684</v>
      </c>
      <c r="BF107" s="2" t="s">
        <v>1685</v>
      </c>
      <c r="BG107" s="2" t="s">
        <v>1686</v>
      </c>
      <c r="BH107" s="2"/>
      <c r="BI107" s="2" t="s">
        <v>79</v>
      </c>
      <c r="BJ107" s="2" t="s">
        <v>107</v>
      </c>
      <c r="BK107" s="2" t="s">
        <v>1687</v>
      </c>
      <c r="BL107" s="2" t="s">
        <v>79</v>
      </c>
      <c r="BM107" s="2" t="s">
        <v>109</v>
      </c>
    </row>
    <row r="108" spans="1:65" ht="409.5" x14ac:dyDescent="0.25">
      <c r="A108" s="2" t="s">
        <v>1688</v>
      </c>
      <c r="B108" s="2">
        <v>2017</v>
      </c>
      <c r="C108" s="2" t="s">
        <v>270</v>
      </c>
      <c r="D108" s="2" t="s">
        <v>79</v>
      </c>
      <c r="E108" s="2" t="s">
        <v>79</v>
      </c>
      <c r="F108" s="2" t="s">
        <v>79</v>
      </c>
      <c r="G108" s="2" t="s">
        <v>80</v>
      </c>
      <c r="H108" s="2" t="s">
        <v>79</v>
      </c>
      <c r="I108" s="2" t="s">
        <v>79</v>
      </c>
      <c r="J108" s="2" t="s">
        <v>80</v>
      </c>
      <c r="K108" s="2" t="s">
        <v>80</v>
      </c>
      <c r="L108" s="2" t="s">
        <v>80</v>
      </c>
      <c r="M108" s="2" t="s">
        <v>92</v>
      </c>
      <c r="N108" s="2" t="s">
        <v>1000</v>
      </c>
      <c r="O108" s="2">
        <v>8.5</v>
      </c>
      <c r="P108" s="2" t="s">
        <v>82</v>
      </c>
      <c r="Q108" s="2" t="s">
        <v>1689</v>
      </c>
      <c r="R108" s="2" t="s">
        <v>84</v>
      </c>
      <c r="S108" s="2" t="s">
        <v>84</v>
      </c>
      <c r="T108" s="2" t="s">
        <v>84</v>
      </c>
      <c r="U108" s="2" t="s">
        <v>84</v>
      </c>
      <c r="V108" s="2" t="s">
        <v>84</v>
      </c>
      <c r="W108" s="2" t="s">
        <v>84</v>
      </c>
      <c r="X108" s="2" t="s">
        <v>86</v>
      </c>
      <c r="Y108" s="2" t="s">
        <v>84</v>
      </c>
      <c r="Z108" s="2" t="s">
        <v>85</v>
      </c>
      <c r="AA108" s="2" t="s">
        <v>84</v>
      </c>
      <c r="AB108" s="2" t="s">
        <v>1690</v>
      </c>
      <c r="AC108" s="2"/>
      <c r="AD108" s="2" t="s">
        <v>1691</v>
      </c>
      <c r="AE108" s="2" t="s">
        <v>89</v>
      </c>
      <c r="AF108" s="2" t="s">
        <v>80</v>
      </c>
      <c r="AG108" s="2"/>
      <c r="AH108" s="2"/>
      <c r="AI108" s="2" t="s">
        <v>1692</v>
      </c>
      <c r="AJ108" s="2"/>
      <c r="AK108" s="2" t="s">
        <v>155</v>
      </c>
      <c r="AL108" s="2"/>
      <c r="AM108" s="2" t="s">
        <v>92</v>
      </c>
      <c r="AN108" s="2"/>
      <c r="AO108" s="2" t="s">
        <v>1693</v>
      </c>
      <c r="AP108" s="2" t="s">
        <v>95</v>
      </c>
      <c r="AQ108" s="2" t="s">
        <v>1694</v>
      </c>
      <c r="AR108" s="2" t="s">
        <v>1695</v>
      </c>
      <c r="AS108" s="2"/>
      <c r="AT108" s="2"/>
      <c r="AU108" s="2"/>
      <c r="AV108" s="2" t="s">
        <v>1696</v>
      </c>
      <c r="AW108" s="2" t="s">
        <v>106</v>
      </c>
      <c r="AX108" s="2"/>
      <c r="AY108" s="2" t="s">
        <v>106</v>
      </c>
      <c r="AZ108" s="2"/>
      <c r="BA108" s="2" t="s">
        <v>1697</v>
      </c>
      <c r="BB108" s="2" t="s">
        <v>100</v>
      </c>
      <c r="BC108" s="2" t="s">
        <v>1698</v>
      </c>
      <c r="BD108" s="2" t="s">
        <v>202</v>
      </c>
      <c r="BE108" s="2" t="s">
        <v>1699</v>
      </c>
      <c r="BF108" s="2" t="s">
        <v>1700</v>
      </c>
      <c r="BG108" s="2" t="s">
        <v>153</v>
      </c>
      <c r="BH108" s="2"/>
      <c r="BI108" s="2" t="s">
        <v>79</v>
      </c>
      <c r="BJ108" s="2" t="s">
        <v>429</v>
      </c>
      <c r="BK108" s="2" t="s">
        <v>1701</v>
      </c>
      <c r="BL108" s="2" t="s">
        <v>79</v>
      </c>
      <c r="BM108" s="2" t="s">
        <v>109</v>
      </c>
    </row>
    <row r="109" spans="1:65" ht="409.5" x14ac:dyDescent="0.25">
      <c r="A109" s="2" t="s">
        <v>1702</v>
      </c>
      <c r="B109" s="2">
        <v>2017</v>
      </c>
      <c r="C109" s="2" t="s">
        <v>111</v>
      </c>
      <c r="D109" s="2" t="s">
        <v>79</v>
      </c>
      <c r="E109" s="2" t="s">
        <v>79</v>
      </c>
      <c r="F109" s="2" t="s">
        <v>79</v>
      </c>
      <c r="G109" s="2" t="s">
        <v>80</v>
      </c>
      <c r="H109" s="2" t="s">
        <v>79</v>
      </c>
      <c r="I109" s="2" t="s">
        <v>79</v>
      </c>
      <c r="J109" s="2" t="s">
        <v>80</v>
      </c>
      <c r="K109" s="2" t="s">
        <v>80</v>
      </c>
      <c r="L109" s="2" t="s">
        <v>80</v>
      </c>
      <c r="M109" s="2" t="s">
        <v>80</v>
      </c>
      <c r="N109" s="2" t="s">
        <v>613</v>
      </c>
      <c r="O109" s="2">
        <v>7.5</v>
      </c>
      <c r="P109" s="2" t="s">
        <v>82</v>
      </c>
      <c r="Q109" s="2" t="s">
        <v>1703</v>
      </c>
      <c r="R109" s="2" t="s">
        <v>84</v>
      </c>
      <c r="S109" s="2" t="s">
        <v>84</v>
      </c>
      <c r="T109" s="2" t="s">
        <v>84</v>
      </c>
      <c r="U109" s="2" t="s">
        <v>84</v>
      </c>
      <c r="V109" s="2" t="s">
        <v>84</v>
      </c>
      <c r="W109" s="2" t="s">
        <v>84</v>
      </c>
      <c r="X109" s="2" t="s">
        <v>86</v>
      </c>
      <c r="Y109" s="2" t="s">
        <v>86</v>
      </c>
      <c r="Z109" s="2" t="s">
        <v>85</v>
      </c>
      <c r="AA109" s="2" t="s">
        <v>84</v>
      </c>
      <c r="AB109" s="2" t="s">
        <v>1704</v>
      </c>
      <c r="AC109" s="2"/>
      <c r="AD109" s="2" t="s">
        <v>1705</v>
      </c>
      <c r="AE109" s="2" t="s">
        <v>89</v>
      </c>
      <c r="AF109" s="2" t="s">
        <v>80</v>
      </c>
      <c r="AG109" s="2"/>
      <c r="AH109" s="2"/>
      <c r="AI109" s="2" t="s">
        <v>1706</v>
      </c>
      <c r="AJ109" s="2"/>
      <c r="AK109" s="2" t="s">
        <v>155</v>
      </c>
      <c r="AL109" s="2"/>
      <c r="AM109" s="2" t="s">
        <v>92</v>
      </c>
      <c r="AN109" s="2"/>
      <c r="AO109" s="2" t="s">
        <v>1707</v>
      </c>
      <c r="AP109" s="2" t="s">
        <v>95</v>
      </c>
      <c r="AQ109" s="2" t="s">
        <v>1708</v>
      </c>
      <c r="AR109" s="2" t="s">
        <v>1709</v>
      </c>
      <c r="AS109" s="2"/>
      <c r="AT109" s="2"/>
      <c r="AU109" s="2"/>
      <c r="AV109" s="2" t="s">
        <v>1710</v>
      </c>
      <c r="AW109" s="2" t="s">
        <v>106</v>
      </c>
      <c r="AX109" s="2"/>
      <c r="AY109" s="2" t="s">
        <v>106</v>
      </c>
      <c r="AZ109" s="2"/>
      <c r="BA109" s="2" t="s">
        <v>1711</v>
      </c>
      <c r="BB109" s="2" t="s">
        <v>100</v>
      </c>
      <c r="BC109" s="2" t="s">
        <v>1712</v>
      </c>
      <c r="BD109" s="2" t="s">
        <v>102</v>
      </c>
      <c r="BE109" s="2" t="s">
        <v>1699</v>
      </c>
      <c r="BF109" s="2" t="s">
        <v>1713</v>
      </c>
      <c r="BG109" s="2" t="s">
        <v>153</v>
      </c>
      <c r="BH109" s="2"/>
      <c r="BI109" s="2" t="s">
        <v>79</v>
      </c>
      <c r="BJ109" s="2" t="s">
        <v>155</v>
      </c>
      <c r="BK109" s="2"/>
      <c r="BL109" s="2" t="s">
        <v>80</v>
      </c>
      <c r="BM109" s="2" t="s">
        <v>109</v>
      </c>
    </row>
    <row r="110" spans="1:65" ht="409.5" x14ac:dyDescent="0.25">
      <c r="A110" s="2" t="s">
        <v>1714</v>
      </c>
      <c r="B110" s="2">
        <v>2017</v>
      </c>
      <c r="C110" s="2" t="s">
        <v>270</v>
      </c>
      <c r="D110" s="2" t="s">
        <v>79</v>
      </c>
      <c r="E110" s="2" t="s">
        <v>79</v>
      </c>
      <c r="F110" s="2" t="s">
        <v>79</v>
      </c>
      <c r="G110" s="2" t="s">
        <v>80</v>
      </c>
      <c r="H110" s="2" t="s">
        <v>79</v>
      </c>
      <c r="I110" s="2" t="s">
        <v>79</v>
      </c>
      <c r="J110" s="2" t="s">
        <v>80</v>
      </c>
      <c r="K110" s="2" t="s">
        <v>80</v>
      </c>
      <c r="L110" s="2" t="s">
        <v>80</v>
      </c>
      <c r="M110" s="2" t="s">
        <v>80</v>
      </c>
      <c r="N110" s="2" t="s">
        <v>1000</v>
      </c>
      <c r="O110" s="2">
        <v>9</v>
      </c>
      <c r="P110" s="2" t="s">
        <v>82</v>
      </c>
      <c r="Q110" s="2" t="s">
        <v>1715</v>
      </c>
      <c r="R110" s="2" t="s">
        <v>84</v>
      </c>
      <c r="S110" s="2" t="s">
        <v>84</v>
      </c>
      <c r="T110" s="2" t="s">
        <v>84</v>
      </c>
      <c r="U110" s="2" t="s">
        <v>84</v>
      </c>
      <c r="V110" s="2" t="s">
        <v>84</v>
      </c>
      <c r="W110" s="2" t="s">
        <v>84</v>
      </c>
      <c r="X110" s="2" t="s">
        <v>86</v>
      </c>
      <c r="Y110" s="2" t="s">
        <v>84</v>
      </c>
      <c r="Z110" s="2" t="s">
        <v>84</v>
      </c>
      <c r="AA110" s="2" t="s">
        <v>84</v>
      </c>
      <c r="AB110" s="2" t="s">
        <v>1716</v>
      </c>
      <c r="AC110" s="2"/>
      <c r="AD110" s="2" t="s">
        <v>1717</v>
      </c>
      <c r="AE110" s="2" t="s">
        <v>89</v>
      </c>
      <c r="AF110" s="2" t="s">
        <v>80</v>
      </c>
      <c r="AG110" s="2"/>
      <c r="AH110" s="2"/>
      <c r="AI110" s="2" t="s">
        <v>1718</v>
      </c>
      <c r="AJ110" s="2"/>
      <c r="AK110" s="2" t="s">
        <v>155</v>
      </c>
      <c r="AL110" s="2"/>
      <c r="AM110" s="2" t="s">
        <v>92</v>
      </c>
      <c r="AN110" s="2"/>
      <c r="AO110" s="2" t="s">
        <v>1719</v>
      </c>
      <c r="AP110" s="2" t="s">
        <v>95</v>
      </c>
      <c r="AQ110" s="2" t="s">
        <v>1720</v>
      </c>
      <c r="AR110" s="2" t="s">
        <v>1721</v>
      </c>
      <c r="AS110" s="2"/>
      <c r="AT110" s="2"/>
      <c r="AU110" s="2"/>
      <c r="AV110" s="2" t="s">
        <v>1722</v>
      </c>
      <c r="AW110" s="2" t="s">
        <v>106</v>
      </c>
      <c r="AX110" s="2"/>
      <c r="AY110" s="2" t="s">
        <v>106</v>
      </c>
      <c r="AZ110" s="2"/>
      <c r="BA110" s="2" t="s">
        <v>1723</v>
      </c>
      <c r="BB110" s="2" t="s">
        <v>100</v>
      </c>
      <c r="BC110" s="2" t="s">
        <v>1724</v>
      </c>
      <c r="BD110" s="2" t="s">
        <v>102</v>
      </c>
      <c r="BE110" s="2" t="s">
        <v>1725</v>
      </c>
      <c r="BF110" s="2" t="s">
        <v>1726</v>
      </c>
      <c r="BG110" s="2" t="s">
        <v>153</v>
      </c>
      <c r="BH110" s="2"/>
      <c r="BI110" s="2" t="s">
        <v>79</v>
      </c>
      <c r="BJ110" s="2" t="s">
        <v>107</v>
      </c>
      <c r="BK110" s="2" t="s">
        <v>1727</v>
      </c>
      <c r="BL110" s="2" t="s">
        <v>79</v>
      </c>
      <c r="BM110" s="2" t="s">
        <v>109</v>
      </c>
    </row>
    <row r="111" spans="1:65" ht="409.5" x14ac:dyDescent="0.25">
      <c r="A111" s="2" t="s">
        <v>1728</v>
      </c>
      <c r="B111" s="2">
        <v>2025</v>
      </c>
      <c r="C111" s="2" t="s">
        <v>143</v>
      </c>
      <c r="D111" s="2" t="s">
        <v>79</v>
      </c>
      <c r="E111" s="2" t="s">
        <v>79</v>
      </c>
      <c r="F111" s="2" t="s">
        <v>79</v>
      </c>
      <c r="G111" s="2" t="s">
        <v>80</v>
      </c>
      <c r="H111" s="2" t="s">
        <v>79</v>
      </c>
      <c r="I111" s="2" t="s">
        <v>79</v>
      </c>
      <c r="J111" s="2" t="s">
        <v>79</v>
      </c>
      <c r="K111" s="2" t="s">
        <v>80</v>
      </c>
      <c r="L111" s="2" t="s">
        <v>92</v>
      </c>
      <c r="M111" s="2" t="s">
        <v>80</v>
      </c>
      <c r="N111" s="2" t="s">
        <v>1036</v>
      </c>
      <c r="O111" s="2">
        <v>7.5</v>
      </c>
      <c r="P111" s="2" t="s">
        <v>82</v>
      </c>
      <c r="Q111" s="2" t="s">
        <v>1729</v>
      </c>
      <c r="R111" s="2" t="s">
        <v>84</v>
      </c>
      <c r="S111" s="2" t="s">
        <v>84</v>
      </c>
      <c r="T111" s="2" t="s">
        <v>84</v>
      </c>
      <c r="U111" s="2" t="s">
        <v>84</v>
      </c>
      <c r="V111" s="2" t="s">
        <v>84</v>
      </c>
      <c r="W111" s="2" t="s">
        <v>84</v>
      </c>
      <c r="X111" s="2" t="s">
        <v>86</v>
      </c>
      <c r="Y111" s="2" t="s">
        <v>84</v>
      </c>
      <c r="Z111" s="2" t="s">
        <v>85</v>
      </c>
      <c r="AA111" s="2" t="s">
        <v>86</v>
      </c>
      <c r="AB111" s="2" t="s">
        <v>1730</v>
      </c>
      <c r="AC111" s="2"/>
      <c r="AD111" s="2" t="s">
        <v>1731</v>
      </c>
      <c r="AE111" s="2" t="s">
        <v>89</v>
      </c>
      <c r="AF111" s="2" t="s">
        <v>79</v>
      </c>
      <c r="AG111" s="2" t="s">
        <v>116</v>
      </c>
      <c r="AH111" s="2"/>
      <c r="AI111" s="2" t="s">
        <v>1732</v>
      </c>
      <c r="AJ111" s="2"/>
      <c r="AK111" s="2"/>
      <c r="AL111" s="2"/>
      <c r="AM111" s="2" t="s">
        <v>92</v>
      </c>
      <c r="AN111" s="2" t="s">
        <v>465</v>
      </c>
      <c r="AO111" s="2" t="s">
        <v>1733</v>
      </c>
      <c r="AP111" s="2" t="s">
        <v>95</v>
      </c>
      <c r="AQ111" s="2" t="s">
        <v>1734</v>
      </c>
      <c r="AR111" s="2" t="s">
        <v>1735</v>
      </c>
      <c r="AS111" s="2" t="s">
        <v>1736</v>
      </c>
      <c r="AT111" s="2" t="s">
        <v>1737</v>
      </c>
      <c r="AU111" s="2"/>
      <c r="AV111" s="2" t="s">
        <v>1738</v>
      </c>
      <c r="AW111" s="2"/>
      <c r="AX111" s="2"/>
      <c r="AY111" s="2"/>
      <c r="AZ111" s="2"/>
      <c r="BA111" s="2" t="s">
        <v>1739</v>
      </c>
      <c r="BB111" s="2" t="s">
        <v>100</v>
      </c>
      <c r="BC111" s="2" t="s">
        <v>1740</v>
      </c>
      <c r="BD111" s="2"/>
      <c r="BE111" s="2"/>
      <c r="BF111" s="2" t="s">
        <v>1741</v>
      </c>
      <c r="BG111" s="2" t="s">
        <v>153</v>
      </c>
      <c r="BH111" s="2" t="s">
        <v>1742</v>
      </c>
      <c r="BI111" s="2" t="s">
        <v>79</v>
      </c>
      <c r="BJ111" s="2" t="s">
        <v>429</v>
      </c>
      <c r="BK111" s="2" t="s">
        <v>1743</v>
      </c>
      <c r="BL111" s="2" t="s">
        <v>79</v>
      </c>
      <c r="BM111" s="2" t="s">
        <v>109</v>
      </c>
    </row>
  </sheetData>
  <autoFilter ref="A1:BM11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11"/>
  <sheetViews>
    <sheetView showGridLines="0" workbookViewId="0">
      <pane ySplit="1" topLeftCell="A2" activePane="bottomLeft" state="frozen"/>
      <selection pane="bottomLeft"/>
    </sheetView>
  </sheetViews>
  <sheetFormatPr defaultRowHeight="15" x14ac:dyDescent="0.25"/>
  <cols>
    <col min="1" max="1" width="12.7109375" customWidth="1"/>
    <col min="2" max="2" width="28.7109375" customWidth="1"/>
    <col min="3" max="3" width="12.7109375" customWidth="1"/>
    <col min="4" max="4" width="13.7109375" customWidth="1"/>
    <col min="5" max="5" width="26.7109375" customWidth="1"/>
    <col min="6" max="6" width="13.7109375" customWidth="1"/>
    <col min="7" max="7" width="12.7109375" customWidth="1"/>
    <col min="8" max="8" width="30.7109375" customWidth="1"/>
    <col min="9" max="9" width="19.7109375" customWidth="1"/>
    <col min="10" max="10" width="12.7109375" customWidth="1"/>
    <col min="11" max="11" width="13.7109375" customWidth="1"/>
    <col min="12" max="12" width="26.7109375" customWidth="1"/>
    <col min="13" max="13" width="13.7109375" customWidth="1"/>
    <col min="14" max="14" width="22.7109375" customWidth="1"/>
    <col min="15" max="15" width="20.7109375" customWidth="1"/>
    <col min="16" max="18" width="21.7109375" customWidth="1"/>
    <col min="19" max="19" width="15.7109375" customWidth="1"/>
    <col min="20" max="20" width="18.7109375" customWidth="1"/>
    <col min="21" max="21" width="26.7109375" customWidth="1"/>
    <col min="22" max="22" width="21.7109375" customWidth="1"/>
    <col min="23" max="23" width="23.7109375" customWidth="1"/>
    <col min="24" max="24" width="14.7109375" customWidth="1"/>
    <col min="25" max="27" width="20.7109375" customWidth="1"/>
    <col min="28" max="28" width="12.7109375" customWidth="1"/>
    <col min="29" max="29" width="28.7109375" customWidth="1"/>
    <col min="30" max="30" width="26.7109375" customWidth="1"/>
    <col min="31" max="33" width="12.7109375" customWidth="1"/>
    <col min="34" max="39" width="30.7109375" customWidth="1"/>
    <col min="40" max="40" width="26.7109375" customWidth="1"/>
    <col min="41" max="43" width="30.7109375" customWidth="1"/>
    <col min="44" max="44" width="28.7109375" customWidth="1"/>
    <col min="45" max="46" width="18.7109375" customWidth="1"/>
    <col min="47" max="47" width="26.7109375" customWidth="1"/>
    <col min="48" max="48" width="13.7109375" customWidth="1"/>
    <col min="49" max="49" width="26.7109375" customWidth="1"/>
    <col min="50" max="50" width="13.7109375" customWidth="1"/>
    <col min="51" max="51" width="30.7109375" customWidth="1"/>
    <col min="52" max="52" width="14.7109375" customWidth="1"/>
    <col min="53" max="53" width="22.7109375" customWidth="1"/>
    <col min="54" max="54" width="23.7109375" customWidth="1"/>
    <col min="55" max="55" width="24.7109375" customWidth="1"/>
    <col min="56" max="56" width="12.7109375" customWidth="1"/>
    <col min="57" max="57" width="13.7109375" customWidth="1"/>
    <col min="58" max="58" width="17.7109375" customWidth="1"/>
    <col min="59" max="59" width="19.7109375" customWidth="1"/>
    <col min="60" max="60" width="20.7109375" customWidth="1"/>
    <col min="61" max="61" width="19.7109375" customWidth="1"/>
    <col min="62" max="62" width="20.7109375" customWidth="1"/>
    <col min="63" max="63" width="28.7109375" customWidth="1"/>
    <col min="64" max="65" width="12.7109375" customWidth="1"/>
  </cols>
  <sheetData>
    <row r="1" spans="1:65" ht="45" x14ac:dyDescent="0.25">
      <c r="A1" s="3" t="s">
        <v>12</v>
      </c>
      <c r="B1" s="3" t="s">
        <v>24</v>
      </c>
      <c r="C1" s="3" t="s">
        <v>39</v>
      </c>
      <c r="D1" s="3" t="s">
        <v>16</v>
      </c>
      <c r="E1" s="3" t="s">
        <v>40</v>
      </c>
      <c r="F1" s="3" t="s">
        <v>41</v>
      </c>
      <c r="G1" s="3" t="s">
        <v>42</v>
      </c>
      <c r="H1" s="3" t="s">
        <v>43</v>
      </c>
      <c r="I1" s="3" t="s">
        <v>44</v>
      </c>
      <c r="J1" s="3" t="s">
        <v>14</v>
      </c>
      <c r="K1" s="3" t="s">
        <v>15</v>
      </c>
      <c r="L1" s="3" t="s">
        <v>45</v>
      </c>
      <c r="M1" s="3" t="s">
        <v>46</v>
      </c>
      <c r="N1" s="3" t="s">
        <v>47</v>
      </c>
      <c r="O1" s="3" t="s">
        <v>48</v>
      </c>
      <c r="P1" s="3" t="s">
        <v>18</v>
      </c>
      <c r="Q1" s="3" t="s">
        <v>49</v>
      </c>
      <c r="R1" s="3" t="s">
        <v>50</v>
      </c>
      <c r="S1" s="3" t="s">
        <v>25</v>
      </c>
      <c r="T1" s="3" t="s">
        <v>51</v>
      </c>
      <c r="U1" s="3" t="s">
        <v>52</v>
      </c>
      <c r="V1" s="3" t="s">
        <v>53</v>
      </c>
      <c r="W1" s="3" t="s">
        <v>54</v>
      </c>
      <c r="X1" s="3" t="s">
        <v>55</v>
      </c>
      <c r="Y1" s="3" t="s">
        <v>21</v>
      </c>
      <c r="Z1" s="3" t="s">
        <v>56</v>
      </c>
      <c r="AA1" s="3" t="s">
        <v>57</v>
      </c>
      <c r="AB1" s="3" t="s">
        <v>58</v>
      </c>
      <c r="AC1" s="3" t="s">
        <v>20</v>
      </c>
      <c r="AD1" s="3" t="s">
        <v>59</v>
      </c>
      <c r="AE1" s="3" t="s">
        <v>28</v>
      </c>
      <c r="AF1" s="3" t="s">
        <v>27</v>
      </c>
      <c r="AG1" s="3" t="s">
        <v>26</v>
      </c>
      <c r="AH1" s="3" t="s">
        <v>29</v>
      </c>
      <c r="AI1" s="3" t="s">
        <v>38</v>
      </c>
      <c r="AJ1" s="3" t="s">
        <v>30</v>
      </c>
      <c r="AK1" s="3" t="s">
        <v>31</v>
      </c>
      <c r="AL1" s="3" t="s">
        <v>32</v>
      </c>
      <c r="AM1" s="3" t="s">
        <v>33</v>
      </c>
      <c r="AN1" s="3" t="s">
        <v>34</v>
      </c>
      <c r="AO1" s="3" t="s">
        <v>35</v>
      </c>
      <c r="AP1" s="3" t="s">
        <v>36</v>
      </c>
      <c r="AQ1" s="3" t="s">
        <v>37</v>
      </c>
      <c r="AR1" s="3" t="s">
        <v>60</v>
      </c>
      <c r="AS1" s="3" t="s">
        <v>22</v>
      </c>
      <c r="AT1" s="3" t="s">
        <v>61</v>
      </c>
      <c r="AU1" s="3" t="s">
        <v>62</v>
      </c>
      <c r="AV1" s="3" t="s">
        <v>17</v>
      </c>
      <c r="AW1" s="3" t="s">
        <v>63</v>
      </c>
      <c r="AX1" s="3" t="s">
        <v>64</v>
      </c>
      <c r="AY1" s="3" t="s">
        <v>65</v>
      </c>
      <c r="AZ1" s="3" t="s">
        <v>66</v>
      </c>
      <c r="BA1" s="3" t="s">
        <v>67</v>
      </c>
      <c r="BB1" s="3" t="s">
        <v>19</v>
      </c>
      <c r="BC1" s="3" t="s">
        <v>68</v>
      </c>
      <c r="BD1" s="3" t="s">
        <v>69</v>
      </c>
      <c r="BE1" s="3" t="s">
        <v>70</v>
      </c>
      <c r="BF1" s="3" t="s">
        <v>71</v>
      </c>
      <c r="BG1" s="3" t="s">
        <v>23</v>
      </c>
      <c r="BH1" s="3" t="s">
        <v>72</v>
      </c>
      <c r="BI1" s="3" t="s">
        <v>73</v>
      </c>
      <c r="BJ1" s="3" t="s">
        <v>74</v>
      </c>
      <c r="BK1" s="3" t="s">
        <v>75</v>
      </c>
      <c r="BL1" s="3" t="s">
        <v>76</v>
      </c>
      <c r="BM1" s="3" t="s">
        <v>13</v>
      </c>
    </row>
    <row r="2" spans="1:65" ht="409.5" x14ac:dyDescent="0.25">
      <c r="A2" s="2" t="s">
        <v>1083</v>
      </c>
      <c r="B2" s="2" t="s">
        <v>80</v>
      </c>
      <c r="C2" s="2" t="s">
        <v>1085</v>
      </c>
      <c r="D2" s="2" t="s">
        <v>79</v>
      </c>
      <c r="E2" s="2" t="s">
        <v>79</v>
      </c>
      <c r="F2" s="2" t="s">
        <v>1086</v>
      </c>
      <c r="G2" s="2" t="s">
        <v>89</v>
      </c>
      <c r="H2" s="2" t="s">
        <v>106</v>
      </c>
      <c r="I2" s="2" t="s">
        <v>116</v>
      </c>
      <c r="J2" s="2" t="s">
        <v>111</v>
      </c>
      <c r="K2" s="2" t="s">
        <v>79</v>
      </c>
      <c r="L2" s="2" t="s">
        <v>92</v>
      </c>
      <c r="M2" s="2" t="s">
        <v>1087</v>
      </c>
      <c r="N2" s="2"/>
      <c r="O2" s="2" t="s">
        <v>155</v>
      </c>
      <c r="P2" s="2" t="s">
        <v>80</v>
      </c>
      <c r="Q2" s="2"/>
      <c r="R2" s="2" t="s">
        <v>92</v>
      </c>
      <c r="S2" s="2" t="s">
        <v>889</v>
      </c>
      <c r="T2" s="2" t="s">
        <v>864</v>
      </c>
      <c r="U2" s="2" t="s">
        <v>1088</v>
      </c>
      <c r="V2" s="2" t="s">
        <v>95</v>
      </c>
      <c r="W2" s="2" t="s">
        <v>1089</v>
      </c>
      <c r="X2" s="2" t="s">
        <v>1090</v>
      </c>
      <c r="Y2" s="2" t="s">
        <v>80</v>
      </c>
      <c r="Z2" s="2"/>
      <c r="AA2" s="2"/>
      <c r="AB2" s="2"/>
      <c r="AC2" s="2" t="s">
        <v>79</v>
      </c>
      <c r="AD2" s="2" t="s">
        <v>1091</v>
      </c>
      <c r="AE2" s="2" t="s">
        <v>1084</v>
      </c>
      <c r="AF2" s="2" t="s">
        <v>82</v>
      </c>
      <c r="AG2" s="2">
        <v>8.5</v>
      </c>
      <c r="AH2" s="2" t="s">
        <v>84</v>
      </c>
      <c r="AI2" s="2" t="s">
        <v>84</v>
      </c>
      <c r="AJ2" s="2" t="s">
        <v>84</v>
      </c>
      <c r="AK2" s="2" t="s">
        <v>84</v>
      </c>
      <c r="AL2" s="2" t="s">
        <v>84</v>
      </c>
      <c r="AM2" s="2" t="s">
        <v>84</v>
      </c>
      <c r="AN2" s="2" t="s">
        <v>84</v>
      </c>
      <c r="AO2" s="2" t="s">
        <v>86</v>
      </c>
      <c r="AP2" s="2" t="s">
        <v>84</v>
      </c>
      <c r="AQ2" s="2" t="s">
        <v>85</v>
      </c>
      <c r="AR2" s="2" t="s">
        <v>106</v>
      </c>
      <c r="AS2" s="2" t="s">
        <v>80</v>
      </c>
      <c r="AT2" s="2"/>
      <c r="AU2" s="2" t="s">
        <v>106</v>
      </c>
      <c r="AV2" s="2" t="s">
        <v>79</v>
      </c>
      <c r="AW2" s="2" t="s">
        <v>92</v>
      </c>
      <c r="AX2" s="2" t="s">
        <v>1092</v>
      </c>
      <c r="AY2" s="2" t="s">
        <v>100</v>
      </c>
      <c r="AZ2" s="2" t="s">
        <v>1093</v>
      </c>
      <c r="BA2" s="2" t="s">
        <v>286</v>
      </c>
      <c r="BB2" s="2" t="s">
        <v>79</v>
      </c>
      <c r="BC2" s="2" t="s">
        <v>1063</v>
      </c>
      <c r="BD2" s="2" t="s">
        <v>1094</v>
      </c>
      <c r="BE2" s="2" t="s">
        <v>153</v>
      </c>
      <c r="BF2" s="2"/>
      <c r="BG2" s="2" t="s">
        <v>80</v>
      </c>
      <c r="BH2" s="2" t="s">
        <v>79</v>
      </c>
      <c r="BI2" s="2" t="s">
        <v>206</v>
      </c>
      <c r="BJ2" s="2" t="s">
        <v>1095</v>
      </c>
      <c r="BK2" s="2" t="s">
        <v>79</v>
      </c>
      <c r="BL2" s="2" t="s">
        <v>172</v>
      </c>
      <c r="BM2" s="2">
        <v>2026</v>
      </c>
    </row>
    <row r="3" spans="1:65" ht="409.5" x14ac:dyDescent="0.25">
      <c r="A3" s="2" t="s">
        <v>1728</v>
      </c>
      <c r="B3" s="2" t="s">
        <v>80</v>
      </c>
      <c r="C3" s="2" t="s">
        <v>1730</v>
      </c>
      <c r="D3" s="2" t="s">
        <v>79</v>
      </c>
      <c r="E3" s="2"/>
      <c r="F3" s="2" t="s">
        <v>1731</v>
      </c>
      <c r="G3" s="2" t="s">
        <v>89</v>
      </c>
      <c r="H3" s="2" t="s">
        <v>79</v>
      </c>
      <c r="I3" s="2" t="s">
        <v>116</v>
      </c>
      <c r="J3" s="2" t="s">
        <v>143</v>
      </c>
      <c r="K3" s="2" t="s">
        <v>79</v>
      </c>
      <c r="L3" s="2"/>
      <c r="M3" s="2" t="s">
        <v>1732</v>
      </c>
      <c r="N3" s="2"/>
      <c r="O3" s="2"/>
      <c r="P3" s="2" t="s">
        <v>80</v>
      </c>
      <c r="Q3" s="2"/>
      <c r="R3" s="2" t="s">
        <v>92</v>
      </c>
      <c r="S3" s="2" t="s">
        <v>1036</v>
      </c>
      <c r="T3" s="2" t="s">
        <v>465</v>
      </c>
      <c r="U3" s="2" t="s">
        <v>1733</v>
      </c>
      <c r="V3" s="2" t="s">
        <v>95</v>
      </c>
      <c r="W3" s="2" t="s">
        <v>1734</v>
      </c>
      <c r="X3" s="2" t="s">
        <v>1735</v>
      </c>
      <c r="Y3" s="2" t="s">
        <v>79</v>
      </c>
      <c r="Z3" s="2" t="s">
        <v>1736</v>
      </c>
      <c r="AA3" s="2" t="s">
        <v>1737</v>
      </c>
      <c r="AB3" s="2"/>
      <c r="AC3" s="2" t="s">
        <v>79</v>
      </c>
      <c r="AD3" s="2" t="s">
        <v>1738</v>
      </c>
      <c r="AE3" s="2" t="s">
        <v>1729</v>
      </c>
      <c r="AF3" s="2" t="s">
        <v>82</v>
      </c>
      <c r="AG3" s="2">
        <v>7.5</v>
      </c>
      <c r="AH3" s="2" t="s">
        <v>84</v>
      </c>
      <c r="AI3" s="2" t="s">
        <v>86</v>
      </c>
      <c r="AJ3" s="2" t="s">
        <v>84</v>
      </c>
      <c r="AK3" s="2" t="s">
        <v>84</v>
      </c>
      <c r="AL3" s="2" t="s">
        <v>84</v>
      </c>
      <c r="AM3" s="2" t="s">
        <v>84</v>
      </c>
      <c r="AN3" s="2" t="s">
        <v>84</v>
      </c>
      <c r="AO3" s="2" t="s">
        <v>86</v>
      </c>
      <c r="AP3" s="2" t="s">
        <v>84</v>
      </c>
      <c r="AQ3" s="2" t="s">
        <v>85</v>
      </c>
      <c r="AR3" s="2"/>
      <c r="AS3" s="2" t="s">
        <v>80</v>
      </c>
      <c r="AT3" s="2"/>
      <c r="AU3" s="2"/>
      <c r="AV3" s="2" t="s">
        <v>79</v>
      </c>
      <c r="AW3" s="2"/>
      <c r="AX3" s="2" t="s">
        <v>1739</v>
      </c>
      <c r="AY3" s="2" t="s">
        <v>100</v>
      </c>
      <c r="AZ3" s="2" t="s">
        <v>1740</v>
      </c>
      <c r="BA3" s="2"/>
      <c r="BB3" s="2" t="s">
        <v>79</v>
      </c>
      <c r="BC3" s="2"/>
      <c r="BD3" s="2" t="s">
        <v>1741</v>
      </c>
      <c r="BE3" s="2" t="s">
        <v>153</v>
      </c>
      <c r="BF3" s="2" t="s">
        <v>1742</v>
      </c>
      <c r="BG3" s="2" t="s">
        <v>92</v>
      </c>
      <c r="BH3" s="2" t="s">
        <v>79</v>
      </c>
      <c r="BI3" s="2" t="s">
        <v>429</v>
      </c>
      <c r="BJ3" s="2" t="s">
        <v>1743</v>
      </c>
      <c r="BK3" s="2" t="s">
        <v>79</v>
      </c>
      <c r="BL3" s="2" t="s">
        <v>109</v>
      </c>
      <c r="BM3" s="2">
        <v>2025</v>
      </c>
    </row>
    <row r="4" spans="1:65" ht="409.5" x14ac:dyDescent="0.25">
      <c r="A4" s="2" t="s">
        <v>1652</v>
      </c>
      <c r="B4" s="2" t="s">
        <v>92</v>
      </c>
      <c r="C4" s="2" t="s">
        <v>1654</v>
      </c>
      <c r="D4" s="2" t="s">
        <v>79</v>
      </c>
      <c r="E4" s="2" t="s">
        <v>79</v>
      </c>
      <c r="F4" s="2"/>
      <c r="G4" s="2" t="s">
        <v>842</v>
      </c>
      <c r="H4" s="2" t="s">
        <v>79</v>
      </c>
      <c r="I4" s="2" t="s">
        <v>116</v>
      </c>
      <c r="J4" s="2" t="s">
        <v>111</v>
      </c>
      <c r="K4" s="2" t="s">
        <v>79</v>
      </c>
      <c r="L4" s="2" t="s">
        <v>92</v>
      </c>
      <c r="M4" s="2"/>
      <c r="N4" s="2"/>
      <c r="O4" s="2" t="s">
        <v>155</v>
      </c>
      <c r="P4" s="2" t="s">
        <v>80</v>
      </c>
      <c r="Q4" s="2"/>
      <c r="R4" s="2" t="s">
        <v>92</v>
      </c>
      <c r="S4" s="2" t="s">
        <v>112</v>
      </c>
      <c r="T4" s="2" t="s">
        <v>656</v>
      </c>
      <c r="U4" s="2" t="s">
        <v>1655</v>
      </c>
      <c r="V4" s="2" t="s">
        <v>95</v>
      </c>
      <c r="W4" s="2" t="s">
        <v>1656</v>
      </c>
      <c r="X4" s="2" t="s">
        <v>1657</v>
      </c>
      <c r="Y4" s="2" t="s">
        <v>80</v>
      </c>
      <c r="Z4" s="2"/>
      <c r="AA4" s="2"/>
      <c r="AB4" s="2"/>
      <c r="AC4" s="2" t="s">
        <v>79</v>
      </c>
      <c r="AD4" s="2" t="s">
        <v>1658</v>
      </c>
      <c r="AE4" s="2" t="s">
        <v>1653</v>
      </c>
      <c r="AF4" s="2" t="s">
        <v>82</v>
      </c>
      <c r="AG4" s="2">
        <v>8.5</v>
      </c>
      <c r="AH4" s="2" t="s">
        <v>84</v>
      </c>
      <c r="AI4" s="2" t="s">
        <v>84</v>
      </c>
      <c r="AJ4" s="2" t="s">
        <v>84</v>
      </c>
      <c r="AK4" s="2" t="s">
        <v>84</v>
      </c>
      <c r="AL4" s="2" t="s">
        <v>84</v>
      </c>
      <c r="AM4" s="2" t="s">
        <v>84</v>
      </c>
      <c r="AN4" s="2" t="s">
        <v>84</v>
      </c>
      <c r="AO4" s="2" t="s">
        <v>86</v>
      </c>
      <c r="AP4" s="2" t="s">
        <v>84</v>
      </c>
      <c r="AQ4" s="2" t="s">
        <v>85</v>
      </c>
      <c r="AR4" s="2" t="s">
        <v>80</v>
      </c>
      <c r="AS4" s="2" t="s">
        <v>80</v>
      </c>
      <c r="AT4" s="2"/>
      <c r="AU4" s="2" t="s">
        <v>80</v>
      </c>
      <c r="AV4" s="2" t="s">
        <v>79</v>
      </c>
      <c r="AW4" s="2" t="s">
        <v>92</v>
      </c>
      <c r="AX4" s="2"/>
      <c r="AY4" s="2" t="s">
        <v>100</v>
      </c>
      <c r="AZ4" s="2" t="s">
        <v>1659</v>
      </c>
      <c r="BA4" s="2" t="s">
        <v>1557</v>
      </c>
      <c r="BB4" s="2" t="s">
        <v>79</v>
      </c>
      <c r="BC4" s="2" t="s">
        <v>444</v>
      </c>
      <c r="BD4" s="2" t="s">
        <v>1660</v>
      </c>
      <c r="BE4" s="2" t="s">
        <v>153</v>
      </c>
      <c r="BF4" s="2" t="s">
        <v>1661</v>
      </c>
      <c r="BG4" s="2" t="s">
        <v>92</v>
      </c>
      <c r="BH4" s="2" t="s">
        <v>79</v>
      </c>
      <c r="BI4" s="2" t="s">
        <v>429</v>
      </c>
      <c r="BJ4" s="2" t="s">
        <v>1662</v>
      </c>
      <c r="BK4" s="2" t="s">
        <v>79</v>
      </c>
      <c r="BL4" s="2" t="s">
        <v>172</v>
      </c>
      <c r="BM4" s="2">
        <v>2025</v>
      </c>
    </row>
    <row r="5" spans="1:65" ht="409.5" x14ac:dyDescent="0.25">
      <c r="A5" s="2" t="s">
        <v>1384</v>
      </c>
      <c r="B5" s="2" t="s">
        <v>92</v>
      </c>
      <c r="C5" s="2" t="s">
        <v>1387</v>
      </c>
      <c r="D5" s="2" t="s">
        <v>79</v>
      </c>
      <c r="E5" s="2"/>
      <c r="F5" s="2" t="s">
        <v>1388</v>
      </c>
      <c r="G5" s="2" t="s">
        <v>842</v>
      </c>
      <c r="H5" s="2" t="s">
        <v>106</v>
      </c>
      <c r="I5" s="2" t="s">
        <v>116</v>
      </c>
      <c r="J5" s="2" t="s">
        <v>143</v>
      </c>
      <c r="K5" s="2" t="s">
        <v>79</v>
      </c>
      <c r="L5" s="2"/>
      <c r="M5" s="2" t="s">
        <v>1389</v>
      </c>
      <c r="N5" s="2"/>
      <c r="O5" s="2"/>
      <c r="P5" s="2" t="s">
        <v>80</v>
      </c>
      <c r="Q5" s="2"/>
      <c r="R5" s="2" t="s">
        <v>92</v>
      </c>
      <c r="S5" s="2" t="s">
        <v>1385</v>
      </c>
      <c r="T5" s="2"/>
      <c r="U5" s="2" t="s">
        <v>1390</v>
      </c>
      <c r="V5" s="2" t="s">
        <v>95</v>
      </c>
      <c r="W5" s="2" t="s">
        <v>1391</v>
      </c>
      <c r="X5" s="2" t="s">
        <v>1392</v>
      </c>
      <c r="Y5" s="2" t="s">
        <v>80</v>
      </c>
      <c r="Z5" s="2"/>
      <c r="AA5" s="2"/>
      <c r="AB5" s="2" t="s">
        <v>1393</v>
      </c>
      <c r="AC5" s="2" t="s">
        <v>79</v>
      </c>
      <c r="AD5" s="2" t="s">
        <v>1394</v>
      </c>
      <c r="AE5" s="2" t="s">
        <v>1386</v>
      </c>
      <c r="AF5" s="2" t="s">
        <v>82</v>
      </c>
      <c r="AG5" s="2">
        <v>9</v>
      </c>
      <c r="AH5" s="2" t="s">
        <v>84</v>
      </c>
      <c r="AI5" s="2" t="s">
        <v>84</v>
      </c>
      <c r="AJ5" s="2" t="s">
        <v>84</v>
      </c>
      <c r="AK5" s="2" t="s">
        <v>84</v>
      </c>
      <c r="AL5" s="2" t="s">
        <v>84</v>
      </c>
      <c r="AM5" s="2" t="s">
        <v>84</v>
      </c>
      <c r="AN5" s="2" t="s">
        <v>84</v>
      </c>
      <c r="AO5" s="2" t="s">
        <v>86</v>
      </c>
      <c r="AP5" s="2" t="s">
        <v>84</v>
      </c>
      <c r="AQ5" s="2" t="s">
        <v>84</v>
      </c>
      <c r="AR5" s="2" t="s">
        <v>80</v>
      </c>
      <c r="AS5" s="2" t="s">
        <v>80</v>
      </c>
      <c r="AT5" s="2"/>
      <c r="AU5" s="2" t="s">
        <v>80</v>
      </c>
      <c r="AV5" s="2" t="s">
        <v>79</v>
      </c>
      <c r="AW5" s="2"/>
      <c r="AX5" s="2" t="s">
        <v>1395</v>
      </c>
      <c r="AY5" s="2" t="s">
        <v>100</v>
      </c>
      <c r="AZ5" s="2" t="s">
        <v>1396</v>
      </c>
      <c r="BA5" s="2" t="s">
        <v>102</v>
      </c>
      <c r="BB5" s="2" t="s">
        <v>79</v>
      </c>
      <c r="BC5" s="2"/>
      <c r="BD5" s="2" t="s">
        <v>1397</v>
      </c>
      <c r="BE5" s="2" t="s">
        <v>856</v>
      </c>
      <c r="BF5" s="2" t="s">
        <v>1398</v>
      </c>
      <c r="BG5" s="2" t="s">
        <v>79</v>
      </c>
      <c r="BH5" s="2" t="s">
        <v>79</v>
      </c>
      <c r="BI5" s="2" t="s">
        <v>107</v>
      </c>
      <c r="BJ5" s="2" t="s">
        <v>1399</v>
      </c>
      <c r="BK5" s="2" t="s">
        <v>79</v>
      </c>
      <c r="BL5" s="2" t="s">
        <v>172</v>
      </c>
      <c r="BM5" s="2">
        <v>2025</v>
      </c>
    </row>
    <row r="6" spans="1:65" ht="409.5" x14ac:dyDescent="0.25">
      <c r="A6" s="2" t="s">
        <v>1262</v>
      </c>
      <c r="B6" s="2" t="s">
        <v>80</v>
      </c>
      <c r="C6" s="2" t="s">
        <v>1265</v>
      </c>
      <c r="D6" s="2" t="s">
        <v>79</v>
      </c>
      <c r="E6" s="2" t="s">
        <v>92</v>
      </c>
      <c r="F6" s="2" t="s">
        <v>1266</v>
      </c>
      <c r="G6" s="2" t="s">
        <v>89</v>
      </c>
      <c r="H6" s="2" t="s">
        <v>80</v>
      </c>
      <c r="I6" s="2" t="s">
        <v>116</v>
      </c>
      <c r="J6" s="2" t="s">
        <v>78</v>
      </c>
      <c r="K6" s="2" t="s">
        <v>79</v>
      </c>
      <c r="L6" s="2" t="s">
        <v>92</v>
      </c>
      <c r="M6" s="2" t="s">
        <v>1267</v>
      </c>
      <c r="N6" s="2" t="s">
        <v>143</v>
      </c>
      <c r="O6" s="2" t="s">
        <v>1268</v>
      </c>
      <c r="P6" s="2" t="s">
        <v>79</v>
      </c>
      <c r="Q6" s="2" t="s">
        <v>1269</v>
      </c>
      <c r="R6" s="2" t="s">
        <v>92</v>
      </c>
      <c r="S6" s="2" t="s">
        <v>1263</v>
      </c>
      <c r="T6" s="2" t="s">
        <v>279</v>
      </c>
      <c r="U6" s="2" t="s">
        <v>1270</v>
      </c>
      <c r="V6" s="2" t="s">
        <v>95</v>
      </c>
      <c r="W6" s="2" t="s">
        <v>1271</v>
      </c>
      <c r="X6" s="2" t="s">
        <v>1272</v>
      </c>
      <c r="Y6" s="2" t="s">
        <v>80</v>
      </c>
      <c r="Z6" s="2"/>
      <c r="AA6" s="2"/>
      <c r="AB6" s="2"/>
      <c r="AC6" s="2" t="s">
        <v>79</v>
      </c>
      <c r="AD6" s="2" t="s">
        <v>1273</v>
      </c>
      <c r="AE6" s="2" t="s">
        <v>1264</v>
      </c>
      <c r="AF6" s="2" t="s">
        <v>82</v>
      </c>
      <c r="AG6" s="2">
        <v>8</v>
      </c>
      <c r="AH6" s="2" t="s">
        <v>84</v>
      </c>
      <c r="AI6" s="2" t="s">
        <v>84</v>
      </c>
      <c r="AJ6" s="2" t="s">
        <v>85</v>
      </c>
      <c r="AK6" s="2" t="s">
        <v>84</v>
      </c>
      <c r="AL6" s="2" t="s">
        <v>86</v>
      </c>
      <c r="AM6" s="2" t="s">
        <v>84</v>
      </c>
      <c r="AN6" s="2" t="s">
        <v>85</v>
      </c>
      <c r="AO6" s="2" t="s">
        <v>84</v>
      </c>
      <c r="AP6" s="2" t="s">
        <v>84</v>
      </c>
      <c r="AQ6" s="2" t="s">
        <v>84</v>
      </c>
      <c r="AR6" s="2" t="s">
        <v>106</v>
      </c>
      <c r="AS6" s="2" t="s">
        <v>80</v>
      </c>
      <c r="AT6" s="2"/>
      <c r="AU6" s="2" t="s">
        <v>106</v>
      </c>
      <c r="AV6" s="2" t="s">
        <v>79</v>
      </c>
      <c r="AW6" s="2" t="s">
        <v>79</v>
      </c>
      <c r="AX6" s="2" t="s">
        <v>1274</v>
      </c>
      <c r="AY6" s="2" t="s">
        <v>303</v>
      </c>
      <c r="AZ6" s="2" t="s">
        <v>1275</v>
      </c>
      <c r="BA6" s="2" t="s">
        <v>1259</v>
      </c>
      <c r="BB6" s="2" t="s">
        <v>79</v>
      </c>
      <c r="BC6" s="2" t="s">
        <v>1276</v>
      </c>
      <c r="BD6" s="2" t="s">
        <v>1277</v>
      </c>
      <c r="BE6" s="2" t="s">
        <v>153</v>
      </c>
      <c r="BF6" s="2"/>
      <c r="BG6" s="2" t="s">
        <v>80</v>
      </c>
      <c r="BH6" s="2" t="s">
        <v>79</v>
      </c>
      <c r="BI6" s="2" t="s">
        <v>289</v>
      </c>
      <c r="BJ6" s="2" t="s">
        <v>1278</v>
      </c>
      <c r="BK6" s="2" t="s">
        <v>79</v>
      </c>
      <c r="BL6" s="2" t="s">
        <v>172</v>
      </c>
      <c r="BM6" s="2">
        <v>2025</v>
      </c>
    </row>
    <row r="7" spans="1:65" ht="409.5" x14ac:dyDescent="0.25">
      <c r="A7" s="2" t="s">
        <v>1248</v>
      </c>
      <c r="B7" s="2" t="s">
        <v>80</v>
      </c>
      <c r="C7" s="2" t="s">
        <v>1250</v>
      </c>
      <c r="D7" s="2" t="s">
        <v>79</v>
      </c>
      <c r="E7" s="2" t="s">
        <v>92</v>
      </c>
      <c r="F7" s="2" t="s">
        <v>1251</v>
      </c>
      <c r="G7" s="2" t="s">
        <v>89</v>
      </c>
      <c r="H7" s="2" t="s">
        <v>80</v>
      </c>
      <c r="I7" s="2" t="s">
        <v>116</v>
      </c>
      <c r="J7" s="2" t="s">
        <v>143</v>
      </c>
      <c r="K7" s="2" t="s">
        <v>79</v>
      </c>
      <c r="L7" s="2" t="s">
        <v>92</v>
      </c>
      <c r="M7" s="2" t="s">
        <v>1252</v>
      </c>
      <c r="N7" s="2"/>
      <c r="O7" s="2" t="s">
        <v>155</v>
      </c>
      <c r="P7" s="2" t="s">
        <v>80</v>
      </c>
      <c r="Q7" s="2"/>
      <c r="R7" s="2" t="s">
        <v>92</v>
      </c>
      <c r="S7" s="2" t="s">
        <v>714</v>
      </c>
      <c r="T7" s="2" t="s">
        <v>1253</v>
      </c>
      <c r="U7" s="2" t="s">
        <v>1254</v>
      </c>
      <c r="V7" s="2" t="s">
        <v>95</v>
      </c>
      <c r="W7" s="2" t="s">
        <v>1255</v>
      </c>
      <c r="X7" s="2" t="s">
        <v>1256</v>
      </c>
      <c r="Y7" s="2" t="s">
        <v>80</v>
      </c>
      <c r="Z7" s="2"/>
      <c r="AA7" s="2"/>
      <c r="AB7" s="2"/>
      <c r="AC7" s="2" t="s">
        <v>79</v>
      </c>
      <c r="AD7" s="2" t="s">
        <v>1257</v>
      </c>
      <c r="AE7" s="2" t="s">
        <v>1249</v>
      </c>
      <c r="AF7" s="2" t="s">
        <v>82</v>
      </c>
      <c r="AG7" s="2">
        <v>8</v>
      </c>
      <c r="AH7" s="2" t="s">
        <v>84</v>
      </c>
      <c r="AI7" s="2" t="s">
        <v>84</v>
      </c>
      <c r="AJ7" s="2" t="s">
        <v>85</v>
      </c>
      <c r="AK7" s="2" t="s">
        <v>84</v>
      </c>
      <c r="AL7" s="2" t="s">
        <v>84</v>
      </c>
      <c r="AM7" s="2" t="s">
        <v>84</v>
      </c>
      <c r="AN7" s="2" t="s">
        <v>84</v>
      </c>
      <c r="AO7" s="2" t="s">
        <v>86</v>
      </c>
      <c r="AP7" s="2" t="s">
        <v>84</v>
      </c>
      <c r="AQ7" s="2" t="s">
        <v>85</v>
      </c>
      <c r="AR7" s="2" t="s">
        <v>106</v>
      </c>
      <c r="AS7" s="2" t="s">
        <v>80</v>
      </c>
      <c r="AT7" s="2"/>
      <c r="AU7" s="2" t="s">
        <v>106</v>
      </c>
      <c r="AV7" s="2" t="s">
        <v>80</v>
      </c>
      <c r="AW7" s="2" t="s">
        <v>80</v>
      </c>
      <c r="AX7" s="2"/>
      <c r="AY7" s="2" t="s">
        <v>303</v>
      </c>
      <c r="AZ7" s="2" t="s">
        <v>1258</v>
      </c>
      <c r="BA7" s="2" t="s">
        <v>1259</v>
      </c>
      <c r="BB7" s="2" t="s">
        <v>79</v>
      </c>
      <c r="BC7" s="2" t="s">
        <v>1244</v>
      </c>
      <c r="BD7" s="2" t="s">
        <v>1260</v>
      </c>
      <c r="BE7" s="2" t="s">
        <v>153</v>
      </c>
      <c r="BF7" s="2"/>
      <c r="BG7" s="2" t="s">
        <v>80</v>
      </c>
      <c r="BH7" s="2" t="s">
        <v>79</v>
      </c>
      <c r="BI7" s="2" t="s">
        <v>107</v>
      </c>
      <c r="BJ7" s="2" t="s">
        <v>1261</v>
      </c>
      <c r="BK7" s="2" t="s">
        <v>79</v>
      </c>
      <c r="BL7" s="2" t="s">
        <v>172</v>
      </c>
      <c r="BM7" s="2">
        <v>2025</v>
      </c>
    </row>
    <row r="8" spans="1:65" ht="409.5" x14ac:dyDescent="0.25">
      <c r="A8" s="2" t="s">
        <v>1233</v>
      </c>
      <c r="B8" s="2" t="s">
        <v>80</v>
      </c>
      <c r="C8" s="2" t="s">
        <v>1235</v>
      </c>
      <c r="D8" s="2" t="s">
        <v>79</v>
      </c>
      <c r="E8" s="2" t="s">
        <v>79</v>
      </c>
      <c r="F8" s="2" t="s">
        <v>1236</v>
      </c>
      <c r="G8" s="2" t="s">
        <v>143</v>
      </c>
      <c r="H8" s="2" t="s">
        <v>106</v>
      </c>
      <c r="I8" s="2" t="s">
        <v>116</v>
      </c>
      <c r="J8" s="2" t="s">
        <v>111</v>
      </c>
      <c r="K8" s="2" t="s">
        <v>79</v>
      </c>
      <c r="L8" s="2" t="s">
        <v>92</v>
      </c>
      <c r="M8" s="2" t="s">
        <v>1237</v>
      </c>
      <c r="N8" s="2"/>
      <c r="O8" s="2" t="s">
        <v>155</v>
      </c>
      <c r="P8" s="2" t="s">
        <v>80</v>
      </c>
      <c r="Q8" s="2"/>
      <c r="R8" s="2" t="s">
        <v>92</v>
      </c>
      <c r="S8" s="2" t="s">
        <v>714</v>
      </c>
      <c r="T8" s="2" t="s">
        <v>118</v>
      </c>
      <c r="U8" s="2" t="s">
        <v>1238</v>
      </c>
      <c r="V8" s="2" t="s">
        <v>95</v>
      </c>
      <c r="W8" s="2" t="s">
        <v>1239</v>
      </c>
      <c r="X8" s="2" t="s">
        <v>1240</v>
      </c>
      <c r="Y8" s="2" t="s">
        <v>80</v>
      </c>
      <c r="Z8" s="2"/>
      <c r="AA8" s="2"/>
      <c r="AB8" s="2"/>
      <c r="AC8" s="2" t="s">
        <v>79</v>
      </c>
      <c r="AD8" s="2" t="s">
        <v>1241</v>
      </c>
      <c r="AE8" s="2" t="s">
        <v>1234</v>
      </c>
      <c r="AF8" s="2" t="s">
        <v>82</v>
      </c>
      <c r="AG8" s="2">
        <v>8.5</v>
      </c>
      <c r="AH8" s="2" t="s">
        <v>84</v>
      </c>
      <c r="AI8" s="2" t="s">
        <v>84</v>
      </c>
      <c r="AJ8" s="2" t="s">
        <v>84</v>
      </c>
      <c r="AK8" s="2" t="s">
        <v>84</v>
      </c>
      <c r="AL8" s="2" t="s">
        <v>84</v>
      </c>
      <c r="AM8" s="2" t="s">
        <v>84</v>
      </c>
      <c r="AN8" s="2" t="s">
        <v>84</v>
      </c>
      <c r="AO8" s="2" t="s">
        <v>86</v>
      </c>
      <c r="AP8" s="2" t="s">
        <v>84</v>
      </c>
      <c r="AQ8" s="2" t="s">
        <v>85</v>
      </c>
      <c r="AR8" s="2" t="s">
        <v>106</v>
      </c>
      <c r="AS8" s="2" t="s">
        <v>80</v>
      </c>
      <c r="AT8" s="2"/>
      <c r="AU8" s="2" t="s">
        <v>106</v>
      </c>
      <c r="AV8" s="2" t="s">
        <v>79</v>
      </c>
      <c r="AW8" s="2" t="s">
        <v>92</v>
      </c>
      <c r="AX8" s="2" t="s">
        <v>1242</v>
      </c>
      <c r="AY8" s="2" t="s">
        <v>100</v>
      </c>
      <c r="AZ8" s="2" t="s">
        <v>1243</v>
      </c>
      <c r="BA8" s="2" t="s">
        <v>426</v>
      </c>
      <c r="BB8" s="2" t="s">
        <v>79</v>
      </c>
      <c r="BC8" s="2" t="s">
        <v>1244</v>
      </c>
      <c r="BD8" s="2" t="s">
        <v>1245</v>
      </c>
      <c r="BE8" s="2" t="s">
        <v>153</v>
      </c>
      <c r="BF8" s="2" t="s">
        <v>1246</v>
      </c>
      <c r="BG8" s="2" t="s">
        <v>92</v>
      </c>
      <c r="BH8" s="2" t="s">
        <v>79</v>
      </c>
      <c r="BI8" s="2" t="s">
        <v>107</v>
      </c>
      <c r="BJ8" s="2" t="s">
        <v>1247</v>
      </c>
      <c r="BK8" s="2" t="s">
        <v>79</v>
      </c>
      <c r="BL8" s="2" t="s">
        <v>172</v>
      </c>
      <c r="BM8" s="2">
        <v>2025</v>
      </c>
    </row>
    <row r="9" spans="1:65" ht="409.5" x14ac:dyDescent="0.25">
      <c r="A9" s="2" t="s">
        <v>1035</v>
      </c>
      <c r="B9" s="2" t="s">
        <v>92</v>
      </c>
      <c r="C9" s="2" t="s">
        <v>1038</v>
      </c>
      <c r="D9" s="2" t="s">
        <v>79</v>
      </c>
      <c r="E9" s="2" t="s">
        <v>79</v>
      </c>
      <c r="F9" s="2" t="s">
        <v>1039</v>
      </c>
      <c r="G9" s="2" t="s">
        <v>89</v>
      </c>
      <c r="H9" s="2" t="s">
        <v>79</v>
      </c>
      <c r="I9" s="2" t="s">
        <v>116</v>
      </c>
      <c r="J9" s="2" t="s">
        <v>143</v>
      </c>
      <c r="K9" s="2" t="s">
        <v>79</v>
      </c>
      <c r="L9" s="2" t="s">
        <v>92</v>
      </c>
      <c r="M9" s="2" t="s">
        <v>1040</v>
      </c>
      <c r="N9" s="2"/>
      <c r="O9" s="2" t="s">
        <v>155</v>
      </c>
      <c r="P9" s="2" t="s">
        <v>80</v>
      </c>
      <c r="Q9" s="2"/>
      <c r="R9" s="2" t="s">
        <v>92</v>
      </c>
      <c r="S9" s="2" t="s">
        <v>1036</v>
      </c>
      <c r="T9" s="2" t="s">
        <v>279</v>
      </c>
      <c r="U9" s="2" t="s">
        <v>1041</v>
      </c>
      <c r="V9" s="2" t="s">
        <v>95</v>
      </c>
      <c r="W9" s="2" t="s">
        <v>1042</v>
      </c>
      <c r="X9" s="2" t="s">
        <v>1043</v>
      </c>
      <c r="Y9" s="2" t="s">
        <v>80</v>
      </c>
      <c r="Z9" s="2"/>
      <c r="AA9" s="2"/>
      <c r="AB9" s="2"/>
      <c r="AC9" s="2" t="s">
        <v>79</v>
      </c>
      <c r="AD9" s="2" t="s">
        <v>1044</v>
      </c>
      <c r="AE9" s="2" t="s">
        <v>1037</v>
      </c>
      <c r="AF9" s="2" t="s">
        <v>82</v>
      </c>
      <c r="AG9" s="2">
        <v>9</v>
      </c>
      <c r="AH9" s="2" t="s">
        <v>84</v>
      </c>
      <c r="AI9" s="2" t="s">
        <v>84</v>
      </c>
      <c r="AJ9" s="2" t="s">
        <v>84</v>
      </c>
      <c r="AK9" s="2" t="s">
        <v>84</v>
      </c>
      <c r="AL9" s="2" t="s">
        <v>84</v>
      </c>
      <c r="AM9" s="2" t="s">
        <v>84</v>
      </c>
      <c r="AN9" s="2" t="s">
        <v>84</v>
      </c>
      <c r="AO9" s="2" t="s">
        <v>86</v>
      </c>
      <c r="AP9" s="2" t="s">
        <v>84</v>
      </c>
      <c r="AQ9" s="2" t="s">
        <v>84</v>
      </c>
      <c r="AR9" s="2" t="s">
        <v>106</v>
      </c>
      <c r="AS9" s="2" t="s">
        <v>79</v>
      </c>
      <c r="AT9" s="2" t="s">
        <v>1045</v>
      </c>
      <c r="AU9" s="2" t="s">
        <v>106</v>
      </c>
      <c r="AV9" s="2" t="s">
        <v>79</v>
      </c>
      <c r="AW9" s="2" t="s">
        <v>79</v>
      </c>
      <c r="AX9" s="2" t="s">
        <v>1046</v>
      </c>
      <c r="AY9" s="2" t="s">
        <v>100</v>
      </c>
      <c r="AZ9" s="2" t="s">
        <v>1047</v>
      </c>
      <c r="BA9" s="2" t="s">
        <v>709</v>
      </c>
      <c r="BB9" s="2" t="s">
        <v>79</v>
      </c>
      <c r="BC9" s="2" t="s">
        <v>1016</v>
      </c>
      <c r="BD9" s="2" t="s">
        <v>1048</v>
      </c>
      <c r="BE9" s="2" t="s">
        <v>153</v>
      </c>
      <c r="BF9" s="2" t="s">
        <v>1049</v>
      </c>
      <c r="BG9" s="2" t="s">
        <v>92</v>
      </c>
      <c r="BH9" s="2" t="s">
        <v>79</v>
      </c>
      <c r="BI9" s="2" t="s">
        <v>206</v>
      </c>
      <c r="BJ9" s="2" t="s">
        <v>1050</v>
      </c>
      <c r="BK9" s="2" t="s">
        <v>79</v>
      </c>
      <c r="BL9" s="2" t="s">
        <v>172</v>
      </c>
      <c r="BM9" s="2">
        <v>2025</v>
      </c>
    </row>
    <row r="10" spans="1:65" ht="409.5" x14ac:dyDescent="0.25">
      <c r="A10" s="2" t="s">
        <v>1575</v>
      </c>
      <c r="B10" s="2" t="s">
        <v>80</v>
      </c>
      <c r="C10" s="2" t="s">
        <v>1578</v>
      </c>
      <c r="D10" s="2" t="s">
        <v>79</v>
      </c>
      <c r="E10" s="2"/>
      <c r="F10" s="2" t="s">
        <v>1579</v>
      </c>
      <c r="G10" s="2" t="s">
        <v>478</v>
      </c>
      <c r="H10" s="2" t="s">
        <v>80</v>
      </c>
      <c r="I10" s="2" t="s">
        <v>116</v>
      </c>
      <c r="J10" s="2" t="s">
        <v>111</v>
      </c>
      <c r="K10" s="2" t="s">
        <v>79</v>
      </c>
      <c r="L10" s="2"/>
      <c r="M10" s="2" t="s">
        <v>1580</v>
      </c>
      <c r="N10" s="2"/>
      <c r="O10" s="2" t="s">
        <v>155</v>
      </c>
      <c r="P10" s="2" t="s">
        <v>80</v>
      </c>
      <c r="Q10" s="2"/>
      <c r="R10" s="2" t="s">
        <v>92</v>
      </c>
      <c r="S10" s="2" t="s">
        <v>1576</v>
      </c>
      <c r="T10" s="2" t="s">
        <v>465</v>
      </c>
      <c r="U10" s="2" t="s">
        <v>1581</v>
      </c>
      <c r="V10" s="2" t="s">
        <v>95</v>
      </c>
      <c r="W10" s="2" t="s">
        <v>1582</v>
      </c>
      <c r="X10" s="2" t="s">
        <v>1583</v>
      </c>
      <c r="Y10" s="2" t="s">
        <v>80</v>
      </c>
      <c r="Z10" s="2"/>
      <c r="AA10" s="2"/>
      <c r="AB10" s="2" t="s">
        <v>1584</v>
      </c>
      <c r="AC10" s="2" t="s">
        <v>79</v>
      </c>
      <c r="AD10" s="2" t="s">
        <v>1585</v>
      </c>
      <c r="AE10" s="2" t="s">
        <v>1577</v>
      </c>
      <c r="AF10" s="2" t="s">
        <v>82</v>
      </c>
      <c r="AG10" s="2">
        <v>9</v>
      </c>
      <c r="AH10" s="2" t="s">
        <v>84</v>
      </c>
      <c r="AI10" s="2" t="s">
        <v>84</v>
      </c>
      <c r="AJ10" s="2" t="s">
        <v>84</v>
      </c>
      <c r="AK10" s="2" t="s">
        <v>84</v>
      </c>
      <c r="AL10" s="2" t="s">
        <v>84</v>
      </c>
      <c r="AM10" s="2" t="s">
        <v>84</v>
      </c>
      <c r="AN10" s="2" t="s">
        <v>84</v>
      </c>
      <c r="AO10" s="2" t="s">
        <v>86</v>
      </c>
      <c r="AP10" s="2" t="s">
        <v>84</v>
      </c>
      <c r="AQ10" s="2" t="s">
        <v>84</v>
      </c>
      <c r="AR10" s="2" t="s">
        <v>106</v>
      </c>
      <c r="AS10" s="2" t="s">
        <v>80</v>
      </c>
      <c r="AT10" s="2"/>
      <c r="AU10" s="2" t="s">
        <v>106</v>
      </c>
      <c r="AV10" s="2" t="s">
        <v>79</v>
      </c>
      <c r="AW10" s="2"/>
      <c r="AX10" s="2" t="s">
        <v>1586</v>
      </c>
      <c r="AY10" s="2" t="s">
        <v>100</v>
      </c>
      <c r="AZ10" s="2" t="s">
        <v>1587</v>
      </c>
      <c r="BA10" s="2" t="s">
        <v>286</v>
      </c>
      <c r="BB10" s="2" t="s">
        <v>79</v>
      </c>
      <c r="BC10" s="2"/>
      <c r="BD10" s="2" t="s">
        <v>1588</v>
      </c>
      <c r="BE10" s="2" t="s">
        <v>153</v>
      </c>
      <c r="BF10" s="2" t="s">
        <v>1589</v>
      </c>
      <c r="BG10" s="2" t="s">
        <v>92</v>
      </c>
      <c r="BH10" s="2" t="s">
        <v>79</v>
      </c>
      <c r="BI10" s="2" t="s">
        <v>107</v>
      </c>
      <c r="BJ10" s="2" t="s">
        <v>1590</v>
      </c>
      <c r="BK10" s="2" t="s">
        <v>79</v>
      </c>
      <c r="BL10" s="2" t="s">
        <v>109</v>
      </c>
      <c r="BM10" s="2">
        <v>2024</v>
      </c>
    </row>
    <row r="11" spans="1:65" ht="409.5" x14ac:dyDescent="0.25">
      <c r="A11" s="2" t="s">
        <v>1175</v>
      </c>
      <c r="B11" s="2" t="s">
        <v>80</v>
      </c>
      <c r="C11" s="2" t="s">
        <v>1177</v>
      </c>
      <c r="D11" s="2" t="s">
        <v>79</v>
      </c>
      <c r="E11" s="2" t="s">
        <v>79</v>
      </c>
      <c r="F11" s="2" t="s">
        <v>1178</v>
      </c>
      <c r="G11" s="2" t="s">
        <v>478</v>
      </c>
      <c r="H11" s="2" t="s">
        <v>80</v>
      </c>
      <c r="I11" s="2" t="s">
        <v>116</v>
      </c>
      <c r="J11" s="2" t="s">
        <v>566</v>
      </c>
      <c r="K11" s="2" t="s">
        <v>79</v>
      </c>
      <c r="L11" s="2" t="s">
        <v>92</v>
      </c>
      <c r="M11" s="2" t="s">
        <v>1179</v>
      </c>
      <c r="N11" s="2" t="s">
        <v>143</v>
      </c>
      <c r="O11" s="2" t="s">
        <v>844</v>
      </c>
      <c r="P11" s="2" t="s">
        <v>79</v>
      </c>
      <c r="Q11" s="2" t="s">
        <v>1180</v>
      </c>
      <c r="R11" s="2" t="s">
        <v>92</v>
      </c>
      <c r="S11" s="2" t="s">
        <v>714</v>
      </c>
      <c r="T11" s="2" t="s">
        <v>465</v>
      </c>
      <c r="U11" s="2" t="s">
        <v>1181</v>
      </c>
      <c r="V11" s="2" t="s">
        <v>95</v>
      </c>
      <c r="W11" s="2" t="s">
        <v>1182</v>
      </c>
      <c r="X11" s="2" t="s">
        <v>1183</v>
      </c>
      <c r="Y11" s="2" t="s">
        <v>80</v>
      </c>
      <c r="Z11" s="2"/>
      <c r="AA11" s="2"/>
      <c r="AB11" s="2"/>
      <c r="AC11" s="2" t="s">
        <v>79</v>
      </c>
      <c r="AD11" s="2" t="s">
        <v>1184</v>
      </c>
      <c r="AE11" s="2" t="s">
        <v>1176</v>
      </c>
      <c r="AF11" s="2" t="s">
        <v>82</v>
      </c>
      <c r="AG11" s="2">
        <v>9</v>
      </c>
      <c r="AH11" s="2" t="s">
        <v>84</v>
      </c>
      <c r="AI11" s="2" t="s">
        <v>84</v>
      </c>
      <c r="AJ11" s="2" t="s">
        <v>84</v>
      </c>
      <c r="AK11" s="2" t="s">
        <v>84</v>
      </c>
      <c r="AL11" s="2" t="s">
        <v>86</v>
      </c>
      <c r="AM11" s="2" t="s">
        <v>84</v>
      </c>
      <c r="AN11" s="2" t="s">
        <v>84</v>
      </c>
      <c r="AO11" s="2" t="s">
        <v>84</v>
      </c>
      <c r="AP11" s="2" t="s">
        <v>84</v>
      </c>
      <c r="AQ11" s="2" t="s">
        <v>84</v>
      </c>
      <c r="AR11" s="2" t="s">
        <v>106</v>
      </c>
      <c r="AS11" s="2" t="s">
        <v>80</v>
      </c>
      <c r="AT11" s="2"/>
      <c r="AU11" s="2" t="s">
        <v>106</v>
      </c>
      <c r="AV11" s="2" t="s">
        <v>79</v>
      </c>
      <c r="AW11" s="2" t="s">
        <v>92</v>
      </c>
      <c r="AX11" s="2" t="s">
        <v>1185</v>
      </c>
      <c r="AY11" s="2" t="s">
        <v>100</v>
      </c>
      <c r="AZ11" s="2" t="s">
        <v>1186</v>
      </c>
      <c r="BA11" s="2" t="s">
        <v>102</v>
      </c>
      <c r="BB11" s="2" t="s">
        <v>79</v>
      </c>
      <c r="BC11" s="2"/>
      <c r="BD11" s="2" t="s">
        <v>1187</v>
      </c>
      <c r="BE11" s="2" t="s">
        <v>648</v>
      </c>
      <c r="BF11" s="2"/>
      <c r="BG11" s="2" t="s">
        <v>80</v>
      </c>
      <c r="BH11" s="2" t="s">
        <v>79</v>
      </c>
      <c r="BI11" s="2" t="s">
        <v>107</v>
      </c>
      <c r="BJ11" s="2" t="s">
        <v>1188</v>
      </c>
      <c r="BK11" s="2" t="s">
        <v>79</v>
      </c>
      <c r="BL11" s="2" t="s">
        <v>109</v>
      </c>
      <c r="BM11" s="2">
        <v>2024</v>
      </c>
    </row>
    <row r="12" spans="1:65" ht="409.5" x14ac:dyDescent="0.25">
      <c r="A12" s="2" t="s">
        <v>1189</v>
      </c>
      <c r="B12" s="2" t="s">
        <v>79</v>
      </c>
      <c r="C12" s="2" t="s">
        <v>1192</v>
      </c>
      <c r="D12" s="2" t="s">
        <v>79</v>
      </c>
      <c r="E12" s="2" t="s">
        <v>79</v>
      </c>
      <c r="F12" s="2" t="s">
        <v>1193</v>
      </c>
      <c r="G12" s="2" t="s">
        <v>89</v>
      </c>
      <c r="H12" s="2" t="s">
        <v>79</v>
      </c>
      <c r="I12" s="2" t="s">
        <v>90</v>
      </c>
      <c r="J12" s="2" t="s">
        <v>78</v>
      </c>
      <c r="K12" s="2" t="s">
        <v>79</v>
      </c>
      <c r="L12" s="2" t="s">
        <v>92</v>
      </c>
      <c r="M12" s="2" t="s">
        <v>1194</v>
      </c>
      <c r="N12" s="2"/>
      <c r="O12" s="2" t="s">
        <v>155</v>
      </c>
      <c r="P12" s="2" t="s">
        <v>80</v>
      </c>
      <c r="Q12" s="2"/>
      <c r="R12" s="2" t="s">
        <v>92</v>
      </c>
      <c r="S12" s="2" t="s">
        <v>1190</v>
      </c>
      <c r="T12" s="2" t="s">
        <v>465</v>
      </c>
      <c r="U12" s="2" t="s">
        <v>1195</v>
      </c>
      <c r="V12" s="2" t="s">
        <v>95</v>
      </c>
      <c r="W12" s="2" t="s">
        <v>1196</v>
      </c>
      <c r="X12" s="2" t="s">
        <v>1197</v>
      </c>
      <c r="Y12" s="2" t="s">
        <v>80</v>
      </c>
      <c r="Z12" s="2"/>
      <c r="AA12" s="2"/>
      <c r="AB12" s="2"/>
      <c r="AC12" s="2" t="s">
        <v>79</v>
      </c>
      <c r="AD12" s="2" t="s">
        <v>1198</v>
      </c>
      <c r="AE12" s="2" t="s">
        <v>1191</v>
      </c>
      <c r="AF12" s="2" t="s">
        <v>82</v>
      </c>
      <c r="AG12" s="2">
        <v>8.5</v>
      </c>
      <c r="AH12" s="2" t="s">
        <v>84</v>
      </c>
      <c r="AI12" s="2" t="s">
        <v>84</v>
      </c>
      <c r="AJ12" s="2" t="s">
        <v>84</v>
      </c>
      <c r="AK12" s="2" t="s">
        <v>84</v>
      </c>
      <c r="AL12" s="2" t="s">
        <v>84</v>
      </c>
      <c r="AM12" s="2" t="s">
        <v>84</v>
      </c>
      <c r="AN12" s="2" t="s">
        <v>84</v>
      </c>
      <c r="AO12" s="2" t="s">
        <v>86</v>
      </c>
      <c r="AP12" s="2" t="s">
        <v>84</v>
      </c>
      <c r="AQ12" s="2" t="s">
        <v>85</v>
      </c>
      <c r="AR12" s="2" t="s">
        <v>106</v>
      </c>
      <c r="AS12" s="2" t="s">
        <v>80</v>
      </c>
      <c r="AT12" s="2"/>
      <c r="AU12" s="2" t="s">
        <v>106</v>
      </c>
      <c r="AV12" s="2" t="s">
        <v>79</v>
      </c>
      <c r="AW12" s="2" t="s">
        <v>92</v>
      </c>
      <c r="AX12" s="2" t="s">
        <v>1199</v>
      </c>
      <c r="AY12" s="2" t="s">
        <v>100</v>
      </c>
      <c r="AZ12" s="2" t="s">
        <v>1200</v>
      </c>
      <c r="BA12" s="2" t="s">
        <v>202</v>
      </c>
      <c r="BB12" s="2" t="s">
        <v>79</v>
      </c>
      <c r="BC12" s="2"/>
      <c r="BD12" s="2" t="s">
        <v>1201</v>
      </c>
      <c r="BE12" s="2" t="s">
        <v>104</v>
      </c>
      <c r="BF12" s="2" t="s">
        <v>1202</v>
      </c>
      <c r="BG12" s="2" t="s">
        <v>79</v>
      </c>
      <c r="BH12" s="2" t="s">
        <v>79</v>
      </c>
      <c r="BI12" s="2" t="s">
        <v>367</v>
      </c>
      <c r="BJ12" s="2" t="s">
        <v>1203</v>
      </c>
      <c r="BK12" s="2" t="s">
        <v>79</v>
      </c>
      <c r="BL12" s="2" t="s">
        <v>109</v>
      </c>
      <c r="BM12" s="2">
        <v>2024</v>
      </c>
    </row>
    <row r="13" spans="1:65" ht="409.5" x14ac:dyDescent="0.25">
      <c r="A13" s="2" t="s">
        <v>1219</v>
      </c>
      <c r="B13" s="2" t="s">
        <v>80</v>
      </c>
      <c r="C13" s="2" t="s">
        <v>1221</v>
      </c>
      <c r="D13" s="2" t="s">
        <v>79</v>
      </c>
      <c r="E13" s="2" t="s">
        <v>79</v>
      </c>
      <c r="F13" s="2" t="s">
        <v>1222</v>
      </c>
      <c r="G13" s="2" t="s">
        <v>143</v>
      </c>
      <c r="H13" s="2" t="s">
        <v>106</v>
      </c>
      <c r="I13" s="2" t="s">
        <v>116</v>
      </c>
      <c r="J13" s="2" t="s">
        <v>111</v>
      </c>
      <c r="K13" s="2" t="s">
        <v>79</v>
      </c>
      <c r="L13" s="2" t="s">
        <v>92</v>
      </c>
      <c r="M13" s="2" t="s">
        <v>1223</v>
      </c>
      <c r="N13" s="2"/>
      <c r="O13" s="2" t="s">
        <v>155</v>
      </c>
      <c r="P13" s="2" t="s">
        <v>80</v>
      </c>
      <c r="Q13" s="2"/>
      <c r="R13" s="2" t="s">
        <v>92</v>
      </c>
      <c r="S13" s="2" t="s">
        <v>714</v>
      </c>
      <c r="T13" s="2" t="s">
        <v>118</v>
      </c>
      <c r="U13" s="2" t="s">
        <v>1224</v>
      </c>
      <c r="V13" s="2" t="s">
        <v>95</v>
      </c>
      <c r="W13" s="2" t="s">
        <v>1225</v>
      </c>
      <c r="X13" s="2" t="s">
        <v>1226</v>
      </c>
      <c r="Y13" s="2" t="s">
        <v>80</v>
      </c>
      <c r="Z13" s="2"/>
      <c r="AA13" s="2"/>
      <c r="AB13" s="2"/>
      <c r="AC13" s="2" t="s">
        <v>79</v>
      </c>
      <c r="AD13" s="2" t="s">
        <v>1227</v>
      </c>
      <c r="AE13" s="2" t="s">
        <v>1220</v>
      </c>
      <c r="AF13" s="2" t="s">
        <v>82</v>
      </c>
      <c r="AG13" s="2">
        <v>8.5</v>
      </c>
      <c r="AH13" s="2" t="s">
        <v>84</v>
      </c>
      <c r="AI13" s="2" t="s">
        <v>84</v>
      </c>
      <c r="AJ13" s="2" t="s">
        <v>84</v>
      </c>
      <c r="AK13" s="2" t="s">
        <v>84</v>
      </c>
      <c r="AL13" s="2" t="s">
        <v>84</v>
      </c>
      <c r="AM13" s="2" t="s">
        <v>84</v>
      </c>
      <c r="AN13" s="2" t="s">
        <v>84</v>
      </c>
      <c r="AO13" s="2" t="s">
        <v>86</v>
      </c>
      <c r="AP13" s="2" t="s">
        <v>84</v>
      </c>
      <c r="AQ13" s="2" t="s">
        <v>85</v>
      </c>
      <c r="AR13" s="2" t="s">
        <v>106</v>
      </c>
      <c r="AS13" s="2" t="s">
        <v>80</v>
      </c>
      <c r="AT13" s="2"/>
      <c r="AU13" s="2" t="s">
        <v>106</v>
      </c>
      <c r="AV13" s="2" t="s">
        <v>79</v>
      </c>
      <c r="AW13" s="2" t="s">
        <v>92</v>
      </c>
      <c r="AX13" s="2" t="s">
        <v>1228</v>
      </c>
      <c r="AY13" s="2" t="s">
        <v>100</v>
      </c>
      <c r="AZ13" s="2" t="s">
        <v>1229</v>
      </c>
      <c r="BA13" s="2" t="s">
        <v>426</v>
      </c>
      <c r="BB13" s="2" t="s">
        <v>79</v>
      </c>
      <c r="BC13" s="2"/>
      <c r="BD13" s="2" t="s">
        <v>1230</v>
      </c>
      <c r="BE13" s="2" t="s">
        <v>153</v>
      </c>
      <c r="BF13" s="2" t="s">
        <v>1231</v>
      </c>
      <c r="BG13" s="2" t="s">
        <v>92</v>
      </c>
      <c r="BH13" s="2" t="s">
        <v>79</v>
      </c>
      <c r="BI13" s="2" t="s">
        <v>107</v>
      </c>
      <c r="BJ13" s="2" t="s">
        <v>1232</v>
      </c>
      <c r="BK13" s="2" t="s">
        <v>79</v>
      </c>
      <c r="BL13" s="2" t="s">
        <v>172</v>
      </c>
      <c r="BM13" s="2">
        <v>2024</v>
      </c>
    </row>
    <row r="14" spans="1:65" ht="409.5" x14ac:dyDescent="0.25">
      <c r="A14" s="2" t="s">
        <v>1204</v>
      </c>
      <c r="B14" s="2" t="s">
        <v>79</v>
      </c>
      <c r="C14" s="2" t="s">
        <v>1206</v>
      </c>
      <c r="D14" s="2" t="s">
        <v>79</v>
      </c>
      <c r="E14" s="2" t="s">
        <v>79</v>
      </c>
      <c r="F14" s="2" t="s">
        <v>1207</v>
      </c>
      <c r="G14" s="2" t="s">
        <v>89</v>
      </c>
      <c r="H14" s="2" t="s">
        <v>79</v>
      </c>
      <c r="I14" s="2" t="s">
        <v>116</v>
      </c>
      <c r="J14" s="2" t="s">
        <v>111</v>
      </c>
      <c r="K14" s="2" t="s">
        <v>79</v>
      </c>
      <c r="L14" s="2" t="s">
        <v>92</v>
      </c>
      <c r="M14" s="2" t="s">
        <v>1208</v>
      </c>
      <c r="N14" s="2" t="s">
        <v>143</v>
      </c>
      <c r="O14" s="2" t="s">
        <v>1072</v>
      </c>
      <c r="P14" s="2" t="s">
        <v>79</v>
      </c>
      <c r="Q14" s="2" t="s">
        <v>1209</v>
      </c>
      <c r="R14" s="2" t="s">
        <v>92</v>
      </c>
      <c r="S14" s="2" t="s">
        <v>1190</v>
      </c>
      <c r="T14" s="2" t="s">
        <v>465</v>
      </c>
      <c r="U14" s="2" t="s">
        <v>1210</v>
      </c>
      <c r="V14" s="2" t="s">
        <v>95</v>
      </c>
      <c r="W14" s="2" t="s">
        <v>1211</v>
      </c>
      <c r="X14" s="2" t="s">
        <v>1212</v>
      </c>
      <c r="Y14" s="2" t="s">
        <v>80</v>
      </c>
      <c r="Z14" s="2"/>
      <c r="AA14" s="2"/>
      <c r="AB14" s="2"/>
      <c r="AC14" s="2" t="s">
        <v>79</v>
      </c>
      <c r="AD14" s="2" t="s">
        <v>1213</v>
      </c>
      <c r="AE14" s="2" t="s">
        <v>1205</v>
      </c>
      <c r="AF14" s="2" t="s">
        <v>82</v>
      </c>
      <c r="AG14" s="2">
        <v>10</v>
      </c>
      <c r="AH14" s="2" t="s">
        <v>84</v>
      </c>
      <c r="AI14" s="2" t="s">
        <v>84</v>
      </c>
      <c r="AJ14" s="2" t="s">
        <v>84</v>
      </c>
      <c r="AK14" s="2" t="s">
        <v>84</v>
      </c>
      <c r="AL14" s="2" t="s">
        <v>84</v>
      </c>
      <c r="AM14" s="2" t="s">
        <v>84</v>
      </c>
      <c r="AN14" s="2" t="s">
        <v>84</v>
      </c>
      <c r="AO14" s="2" t="s">
        <v>84</v>
      </c>
      <c r="AP14" s="2" t="s">
        <v>84</v>
      </c>
      <c r="AQ14" s="2" t="s">
        <v>84</v>
      </c>
      <c r="AR14" s="2" t="s">
        <v>106</v>
      </c>
      <c r="AS14" s="2" t="s">
        <v>80</v>
      </c>
      <c r="AT14" s="2"/>
      <c r="AU14" s="2" t="s">
        <v>106</v>
      </c>
      <c r="AV14" s="2" t="s">
        <v>79</v>
      </c>
      <c r="AW14" s="2" t="s">
        <v>92</v>
      </c>
      <c r="AX14" s="2" t="s">
        <v>1214</v>
      </c>
      <c r="AY14" s="2" t="s">
        <v>100</v>
      </c>
      <c r="AZ14" s="2" t="s">
        <v>1215</v>
      </c>
      <c r="BA14" s="2" t="s">
        <v>202</v>
      </c>
      <c r="BB14" s="2" t="s">
        <v>79</v>
      </c>
      <c r="BC14" s="2"/>
      <c r="BD14" s="2" t="s">
        <v>1216</v>
      </c>
      <c r="BE14" s="2" t="s">
        <v>153</v>
      </c>
      <c r="BF14" s="2" t="s">
        <v>1217</v>
      </c>
      <c r="BG14" s="2" t="s">
        <v>79</v>
      </c>
      <c r="BH14" s="2" t="s">
        <v>79</v>
      </c>
      <c r="BI14" s="2" t="s">
        <v>107</v>
      </c>
      <c r="BJ14" s="2" t="s">
        <v>1218</v>
      </c>
      <c r="BK14" s="2" t="s">
        <v>79</v>
      </c>
      <c r="BL14" s="2" t="s">
        <v>109</v>
      </c>
      <c r="BM14" s="2">
        <v>2024</v>
      </c>
    </row>
    <row r="15" spans="1:65" ht="409.5" x14ac:dyDescent="0.25">
      <c r="A15" s="2" t="s">
        <v>1160</v>
      </c>
      <c r="B15" s="2" t="s">
        <v>80</v>
      </c>
      <c r="C15" s="2" t="s">
        <v>1162</v>
      </c>
      <c r="D15" s="2" t="s">
        <v>79</v>
      </c>
      <c r="E15" s="2" t="s">
        <v>79</v>
      </c>
      <c r="F15" s="2" t="s">
        <v>1163</v>
      </c>
      <c r="G15" s="2" t="s">
        <v>842</v>
      </c>
      <c r="H15" s="2" t="s">
        <v>80</v>
      </c>
      <c r="I15" s="2" t="s">
        <v>116</v>
      </c>
      <c r="J15" s="2" t="s">
        <v>111</v>
      </c>
      <c r="K15" s="2" t="s">
        <v>79</v>
      </c>
      <c r="L15" s="2" t="s">
        <v>92</v>
      </c>
      <c r="M15" s="2" t="s">
        <v>1164</v>
      </c>
      <c r="N15" s="2" t="s">
        <v>143</v>
      </c>
      <c r="O15" s="2" t="s">
        <v>1165</v>
      </c>
      <c r="P15" s="2" t="s">
        <v>79</v>
      </c>
      <c r="Q15" s="2" t="s">
        <v>1166</v>
      </c>
      <c r="R15" s="2" t="s">
        <v>92</v>
      </c>
      <c r="S15" s="2" t="s">
        <v>936</v>
      </c>
      <c r="T15" s="2" t="s">
        <v>909</v>
      </c>
      <c r="U15" s="2" t="s">
        <v>1167</v>
      </c>
      <c r="V15" s="2" t="s">
        <v>95</v>
      </c>
      <c r="W15" s="2" t="s">
        <v>1168</v>
      </c>
      <c r="X15" s="2" t="s">
        <v>1169</v>
      </c>
      <c r="Y15" s="2" t="s">
        <v>80</v>
      </c>
      <c r="Z15" s="2"/>
      <c r="AA15" s="2"/>
      <c r="AB15" s="2"/>
      <c r="AC15" s="2" t="s">
        <v>79</v>
      </c>
      <c r="AD15" s="2" t="s">
        <v>1170</v>
      </c>
      <c r="AE15" s="2" t="s">
        <v>1161</v>
      </c>
      <c r="AF15" s="2" t="s">
        <v>82</v>
      </c>
      <c r="AG15" s="2">
        <v>10</v>
      </c>
      <c r="AH15" s="2" t="s">
        <v>84</v>
      </c>
      <c r="AI15" s="2" t="s">
        <v>84</v>
      </c>
      <c r="AJ15" s="2" t="s">
        <v>84</v>
      </c>
      <c r="AK15" s="2" t="s">
        <v>84</v>
      </c>
      <c r="AL15" s="2" t="s">
        <v>84</v>
      </c>
      <c r="AM15" s="2" t="s">
        <v>84</v>
      </c>
      <c r="AN15" s="2" t="s">
        <v>84</v>
      </c>
      <c r="AO15" s="2" t="s">
        <v>84</v>
      </c>
      <c r="AP15" s="2" t="s">
        <v>84</v>
      </c>
      <c r="AQ15" s="2" t="s">
        <v>84</v>
      </c>
      <c r="AR15" s="2" t="s">
        <v>106</v>
      </c>
      <c r="AS15" s="2" t="s">
        <v>80</v>
      </c>
      <c r="AT15" s="2"/>
      <c r="AU15" s="2" t="s">
        <v>106</v>
      </c>
      <c r="AV15" s="2" t="s">
        <v>79</v>
      </c>
      <c r="AW15" s="2" t="s">
        <v>80</v>
      </c>
      <c r="AX15" s="2" t="s">
        <v>1171</v>
      </c>
      <c r="AY15" s="2" t="s">
        <v>100</v>
      </c>
      <c r="AZ15" s="2" t="s">
        <v>1172</v>
      </c>
      <c r="BA15" s="2" t="s">
        <v>102</v>
      </c>
      <c r="BB15" s="2" t="s">
        <v>79</v>
      </c>
      <c r="BC15" s="2"/>
      <c r="BD15" s="2" t="s">
        <v>1173</v>
      </c>
      <c r="BE15" s="2" t="s">
        <v>856</v>
      </c>
      <c r="BF15" s="2"/>
      <c r="BG15" s="2" t="s">
        <v>80</v>
      </c>
      <c r="BH15" s="2" t="s">
        <v>79</v>
      </c>
      <c r="BI15" s="2" t="s">
        <v>107</v>
      </c>
      <c r="BJ15" s="2" t="s">
        <v>1174</v>
      </c>
      <c r="BK15" s="2" t="s">
        <v>79</v>
      </c>
      <c r="BL15" s="2" t="s">
        <v>109</v>
      </c>
      <c r="BM15" s="2">
        <v>2024</v>
      </c>
    </row>
    <row r="16" spans="1:65" ht="409.5" x14ac:dyDescent="0.25">
      <c r="A16" s="2" t="s">
        <v>1591</v>
      </c>
      <c r="B16" s="2" t="s">
        <v>92</v>
      </c>
      <c r="C16" s="2" t="s">
        <v>1593</v>
      </c>
      <c r="D16" s="2" t="s">
        <v>79</v>
      </c>
      <c r="E16" s="2"/>
      <c r="F16" s="2" t="s">
        <v>1594</v>
      </c>
      <c r="G16" s="2" t="s">
        <v>89</v>
      </c>
      <c r="H16" s="2" t="s">
        <v>79</v>
      </c>
      <c r="I16" s="2" t="s">
        <v>116</v>
      </c>
      <c r="J16" s="2" t="s">
        <v>111</v>
      </c>
      <c r="K16" s="2" t="s">
        <v>79</v>
      </c>
      <c r="L16" s="2"/>
      <c r="M16" s="2" t="s">
        <v>1595</v>
      </c>
      <c r="N16" s="2"/>
      <c r="O16" s="2" t="s">
        <v>155</v>
      </c>
      <c r="P16" s="2" t="s">
        <v>80</v>
      </c>
      <c r="Q16" s="2"/>
      <c r="R16" s="2" t="s">
        <v>92</v>
      </c>
      <c r="S16" s="2" t="s">
        <v>1576</v>
      </c>
      <c r="T16" s="2" t="s">
        <v>864</v>
      </c>
      <c r="U16" s="2" t="s">
        <v>1596</v>
      </c>
      <c r="V16" s="2" t="s">
        <v>95</v>
      </c>
      <c r="W16" s="2" t="s">
        <v>1597</v>
      </c>
      <c r="X16" s="2" t="s">
        <v>1598</v>
      </c>
      <c r="Y16" s="2" t="s">
        <v>80</v>
      </c>
      <c r="Z16" s="2"/>
      <c r="AA16" s="2"/>
      <c r="AB16" s="2" t="s">
        <v>1599</v>
      </c>
      <c r="AC16" s="2" t="s">
        <v>79</v>
      </c>
      <c r="AD16" s="2" t="s">
        <v>1600</v>
      </c>
      <c r="AE16" s="2" t="s">
        <v>1592</v>
      </c>
      <c r="AF16" s="2" t="s">
        <v>82</v>
      </c>
      <c r="AG16" s="2">
        <v>9</v>
      </c>
      <c r="AH16" s="2" t="s">
        <v>84</v>
      </c>
      <c r="AI16" s="2" t="s">
        <v>84</v>
      </c>
      <c r="AJ16" s="2" t="s">
        <v>84</v>
      </c>
      <c r="AK16" s="2" t="s">
        <v>84</v>
      </c>
      <c r="AL16" s="2" t="s">
        <v>84</v>
      </c>
      <c r="AM16" s="2" t="s">
        <v>84</v>
      </c>
      <c r="AN16" s="2" t="s">
        <v>84</v>
      </c>
      <c r="AO16" s="2" t="s">
        <v>86</v>
      </c>
      <c r="AP16" s="2" t="s">
        <v>84</v>
      </c>
      <c r="AQ16" s="2" t="s">
        <v>84</v>
      </c>
      <c r="AR16" s="2" t="s">
        <v>106</v>
      </c>
      <c r="AS16" s="2" t="s">
        <v>80</v>
      </c>
      <c r="AT16" s="2"/>
      <c r="AU16" s="2" t="s">
        <v>106</v>
      </c>
      <c r="AV16" s="2" t="s">
        <v>79</v>
      </c>
      <c r="AW16" s="2"/>
      <c r="AX16" s="2" t="s">
        <v>1601</v>
      </c>
      <c r="AY16" s="2" t="s">
        <v>100</v>
      </c>
      <c r="AZ16" s="2" t="s">
        <v>1602</v>
      </c>
      <c r="BA16" s="2" t="s">
        <v>1557</v>
      </c>
      <c r="BB16" s="2" t="s">
        <v>79</v>
      </c>
      <c r="BC16" s="2"/>
      <c r="BD16" s="2" t="s">
        <v>1603</v>
      </c>
      <c r="BE16" s="2" t="s">
        <v>104</v>
      </c>
      <c r="BF16" s="2" t="s">
        <v>1604</v>
      </c>
      <c r="BG16" s="2" t="s">
        <v>92</v>
      </c>
      <c r="BH16" s="2" t="s">
        <v>79</v>
      </c>
      <c r="BI16" s="2" t="s">
        <v>107</v>
      </c>
      <c r="BJ16" s="2" t="s">
        <v>1605</v>
      </c>
      <c r="BK16" s="2" t="s">
        <v>79</v>
      </c>
      <c r="BL16" s="2" t="s">
        <v>109</v>
      </c>
      <c r="BM16" s="2">
        <v>2023</v>
      </c>
    </row>
    <row r="17" spans="1:65" ht="409.5" x14ac:dyDescent="0.25">
      <c r="A17" s="2" t="s">
        <v>1526</v>
      </c>
      <c r="B17" s="2" t="s">
        <v>92</v>
      </c>
      <c r="C17" s="2" t="s">
        <v>1529</v>
      </c>
      <c r="D17" s="2" t="s">
        <v>79</v>
      </c>
      <c r="E17" s="2"/>
      <c r="F17" s="2" t="s">
        <v>1530</v>
      </c>
      <c r="G17" s="2" t="s">
        <v>89</v>
      </c>
      <c r="H17" s="2" t="s">
        <v>79</v>
      </c>
      <c r="I17" s="2" t="s">
        <v>116</v>
      </c>
      <c r="J17" s="2" t="s">
        <v>111</v>
      </c>
      <c r="K17" s="2" t="s">
        <v>79</v>
      </c>
      <c r="L17" s="2"/>
      <c r="M17" s="2" t="s">
        <v>1531</v>
      </c>
      <c r="N17" s="2" t="s">
        <v>143</v>
      </c>
      <c r="O17" s="2" t="s">
        <v>277</v>
      </c>
      <c r="P17" s="2" t="s">
        <v>79</v>
      </c>
      <c r="Q17" s="2" t="s">
        <v>1532</v>
      </c>
      <c r="R17" s="2" t="s">
        <v>92</v>
      </c>
      <c r="S17" s="2" t="s">
        <v>1527</v>
      </c>
      <c r="T17" s="2"/>
      <c r="U17" s="2" t="s">
        <v>1533</v>
      </c>
      <c r="V17" s="2" t="s">
        <v>95</v>
      </c>
      <c r="W17" s="2" t="s">
        <v>1534</v>
      </c>
      <c r="X17" s="2" t="s">
        <v>1535</v>
      </c>
      <c r="Y17" s="2" t="s">
        <v>80</v>
      </c>
      <c r="Z17" s="2"/>
      <c r="AA17" s="2"/>
      <c r="AB17" s="2" t="s">
        <v>1536</v>
      </c>
      <c r="AC17" s="2" t="s">
        <v>79</v>
      </c>
      <c r="AD17" s="2" t="s">
        <v>1537</v>
      </c>
      <c r="AE17" s="2" t="s">
        <v>1528</v>
      </c>
      <c r="AF17" s="2" t="s">
        <v>82</v>
      </c>
      <c r="AG17" s="2">
        <v>9.5</v>
      </c>
      <c r="AH17" s="2" t="s">
        <v>84</v>
      </c>
      <c r="AI17" s="2" t="s">
        <v>84</v>
      </c>
      <c r="AJ17" s="2" t="s">
        <v>84</v>
      </c>
      <c r="AK17" s="2" t="s">
        <v>84</v>
      </c>
      <c r="AL17" s="2" t="s">
        <v>84</v>
      </c>
      <c r="AM17" s="2" t="s">
        <v>84</v>
      </c>
      <c r="AN17" s="2" t="s">
        <v>84</v>
      </c>
      <c r="AO17" s="2" t="s">
        <v>84</v>
      </c>
      <c r="AP17" s="2" t="s">
        <v>84</v>
      </c>
      <c r="AQ17" s="2" t="s">
        <v>85</v>
      </c>
      <c r="AR17" s="2" t="s">
        <v>106</v>
      </c>
      <c r="AS17" s="2" t="s">
        <v>80</v>
      </c>
      <c r="AT17" s="2"/>
      <c r="AU17" s="2" t="s">
        <v>106</v>
      </c>
      <c r="AV17" s="2" t="s">
        <v>79</v>
      </c>
      <c r="AW17" s="2"/>
      <c r="AX17" s="2" t="s">
        <v>1538</v>
      </c>
      <c r="AY17" s="2" t="s">
        <v>100</v>
      </c>
      <c r="AZ17" s="2" t="s">
        <v>1539</v>
      </c>
      <c r="BA17" s="2" t="s">
        <v>102</v>
      </c>
      <c r="BB17" s="2" t="s">
        <v>79</v>
      </c>
      <c r="BC17" s="2"/>
      <c r="BD17" s="2" t="s">
        <v>1540</v>
      </c>
      <c r="BE17" s="2" t="s">
        <v>153</v>
      </c>
      <c r="BF17" s="2" t="s">
        <v>1541</v>
      </c>
      <c r="BG17" s="2" t="s">
        <v>79</v>
      </c>
      <c r="BH17" s="2" t="s">
        <v>79</v>
      </c>
      <c r="BI17" s="2" t="s">
        <v>563</v>
      </c>
      <c r="BJ17" s="2" t="s">
        <v>1542</v>
      </c>
      <c r="BK17" s="2" t="s">
        <v>79</v>
      </c>
      <c r="BL17" s="2" t="s">
        <v>109</v>
      </c>
      <c r="BM17" s="2">
        <v>2023</v>
      </c>
    </row>
    <row r="18" spans="1:65" ht="409.5" x14ac:dyDescent="0.25">
      <c r="A18" s="2" t="s">
        <v>1135</v>
      </c>
      <c r="B18" s="2" t="s">
        <v>80</v>
      </c>
      <c r="C18" s="2" t="s">
        <v>1137</v>
      </c>
      <c r="D18" s="2" t="s">
        <v>79</v>
      </c>
      <c r="E18" s="2" t="s">
        <v>92</v>
      </c>
      <c r="F18" s="2" t="s">
        <v>1138</v>
      </c>
      <c r="G18" s="2" t="s">
        <v>143</v>
      </c>
      <c r="H18" s="2" t="s">
        <v>106</v>
      </c>
      <c r="I18" s="2" t="s">
        <v>90</v>
      </c>
      <c r="J18" s="2" t="s">
        <v>111</v>
      </c>
      <c r="K18" s="2" t="s">
        <v>80</v>
      </c>
      <c r="L18" s="2" t="s">
        <v>80</v>
      </c>
      <c r="M18" s="2"/>
      <c r="N18" s="2"/>
      <c r="O18" s="2"/>
      <c r="P18" s="2" t="s">
        <v>80</v>
      </c>
      <c r="Q18" s="2"/>
      <c r="R18" s="2" t="s">
        <v>92</v>
      </c>
      <c r="S18" s="2" t="s">
        <v>271</v>
      </c>
      <c r="T18" s="2" t="s">
        <v>656</v>
      </c>
      <c r="U18" s="2" t="s">
        <v>1139</v>
      </c>
      <c r="V18" s="2" t="s">
        <v>95</v>
      </c>
      <c r="W18" s="2" t="s">
        <v>1140</v>
      </c>
      <c r="X18" s="2" t="s">
        <v>1141</v>
      </c>
      <c r="Y18" s="2" t="s">
        <v>80</v>
      </c>
      <c r="Z18" s="2"/>
      <c r="AA18" s="2"/>
      <c r="AB18" s="2"/>
      <c r="AC18" s="2" t="s">
        <v>79</v>
      </c>
      <c r="AD18" s="2" t="s">
        <v>1142</v>
      </c>
      <c r="AE18" s="2" t="s">
        <v>1136</v>
      </c>
      <c r="AF18" s="2" t="s">
        <v>82</v>
      </c>
      <c r="AG18" s="2">
        <v>4.5</v>
      </c>
      <c r="AH18" s="2" t="s">
        <v>84</v>
      </c>
      <c r="AI18" s="2" t="s">
        <v>86</v>
      </c>
      <c r="AJ18" s="2" t="s">
        <v>85</v>
      </c>
      <c r="AK18" s="2" t="s">
        <v>86</v>
      </c>
      <c r="AL18" s="2" t="s">
        <v>84</v>
      </c>
      <c r="AM18" s="2" t="s">
        <v>84</v>
      </c>
      <c r="AN18" s="2" t="s">
        <v>86</v>
      </c>
      <c r="AO18" s="2" t="s">
        <v>86</v>
      </c>
      <c r="AP18" s="2" t="s">
        <v>84</v>
      </c>
      <c r="AQ18" s="2" t="s">
        <v>86</v>
      </c>
      <c r="AR18" s="2"/>
      <c r="AS18" s="2" t="s">
        <v>80</v>
      </c>
      <c r="AT18" s="2"/>
      <c r="AU18" s="2"/>
      <c r="AV18" s="2" t="s">
        <v>80</v>
      </c>
      <c r="AW18" s="2" t="s">
        <v>80</v>
      </c>
      <c r="AX18" s="2"/>
      <c r="AY18" s="2" t="s">
        <v>1143</v>
      </c>
      <c r="AZ18" s="2" t="s">
        <v>1144</v>
      </c>
      <c r="BA18" s="2" t="s">
        <v>514</v>
      </c>
      <c r="BB18" s="2" t="s">
        <v>79</v>
      </c>
      <c r="BC18" s="2"/>
      <c r="BD18" s="2" t="s">
        <v>1145</v>
      </c>
      <c r="BE18" s="2" t="s">
        <v>153</v>
      </c>
      <c r="BF18" s="2"/>
      <c r="BG18" s="2" t="s">
        <v>106</v>
      </c>
      <c r="BH18" s="2" t="s">
        <v>106</v>
      </c>
      <c r="BI18" s="2" t="s">
        <v>107</v>
      </c>
      <c r="BJ18" s="2" t="s">
        <v>1146</v>
      </c>
      <c r="BK18" s="2" t="s">
        <v>79</v>
      </c>
      <c r="BL18" s="2" t="s">
        <v>172</v>
      </c>
      <c r="BM18" s="2">
        <v>2023</v>
      </c>
    </row>
    <row r="19" spans="1:65" ht="409.5" x14ac:dyDescent="0.25">
      <c r="A19" s="2" t="s">
        <v>1124</v>
      </c>
      <c r="B19" s="2" t="s">
        <v>80</v>
      </c>
      <c r="C19" s="2" t="s">
        <v>1126</v>
      </c>
      <c r="D19" s="2" t="s">
        <v>79</v>
      </c>
      <c r="E19" s="2" t="s">
        <v>92</v>
      </c>
      <c r="F19" s="2" t="s">
        <v>1127</v>
      </c>
      <c r="G19" s="2" t="s">
        <v>143</v>
      </c>
      <c r="H19" s="2" t="s">
        <v>80</v>
      </c>
      <c r="I19" s="2" t="s">
        <v>90</v>
      </c>
      <c r="J19" s="2" t="s">
        <v>111</v>
      </c>
      <c r="K19" s="2" t="s">
        <v>80</v>
      </c>
      <c r="L19" s="2" t="s">
        <v>80</v>
      </c>
      <c r="M19" s="2"/>
      <c r="N19" s="2"/>
      <c r="O19" s="2"/>
      <c r="P19" s="2" t="s">
        <v>80</v>
      </c>
      <c r="Q19" s="2"/>
      <c r="R19" s="2" t="s">
        <v>92</v>
      </c>
      <c r="S19" s="2" t="s">
        <v>714</v>
      </c>
      <c r="T19" s="2" t="s">
        <v>465</v>
      </c>
      <c r="U19" s="2" t="s">
        <v>1128</v>
      </c>
      <c r="V19" s="2" t="s">
        <v>95</v>
      </c>
      <c r="W19" s="2" t="s">
        <v>1129</v>
      </c>
      <c r="X19" s="2" t="s">
        <v>1130</v>
      </c>
      <c r="Y19" s="2" t="s">
        <v>80</v>
      </c>
      <c r="Z19" s="2"/>
      <c r="AA19" s="2"/>
      <c r="AB19" s="2"/>
      <c r="AC19" s="2" t="s">
        <v>79</v>
      </c>
      <c r="AD19" s="2" t="s">
        <v>1131</v>
      </c>
      <c r="AE19" s="2" t="s">
        <v>1125</v>
      </c>
      <c r="AF19" s="2" t="s">
        <v>82</v>
      </c>
      <c r="AG19" s="2">
        <v>6.5</v>
      </c>
      <c r="AH19" s="2" t="s">
        <v>84</v>
      </c>
      <c r="AI19" s="2" t="s">
        <v>86</v>
      </c>
      <c r="AJ19" s="2" t="s">
        <v>84</v>
      </c>
      <c r="AK19" s="2" t="s">
        <v>84</v>
      </c>
      <c r="AL19" s="2" t="s">
        <v>84</v>
      </c>
      <c r="AM19" s="2" t="s">
        <v>84</v>
      </c>
      <c r="AN19" s="2" t="s">
        <v>85</v>
      </c>
      <c r="AO19" s="2" t="s">
        <v>86</v>
      </c>
      <c r="AP19" s="2" t="s">
        <v>84</v>
      </c>
      <c r="AQ19" s="2" t="s">
        <v>86</v>
      </c>
      <c r="AR19" s="2"/>
      <c r="AS19" s="2" t="s">
        <v>80</v>
      </c>
      <c r="AT19" s="2"/>
      <c r="AU19" s="2"/>
      <c r="AV19" s="2" t="s">
        <v>80</v>
      </c>
      <c r="AW19" s="2" t="s">
        <v>80</v>
      </c>
      <c r="AX19" s="2"/>
      <c r="AY19" s="2" t="s">
        <v>100</v>
      </c>
      <c r="AZ19" s="2" t="s">
        <v>1132</v>
      </c>
      <c r="BA19" s="2" t="s">
        <v>102</v>
      </c>
      <c r="BB19" s="2" t="s">
        <v>79</v>
      </c>
      <c r="BC19" s="2"/>
      <c r="BD19" s="2" t="s">
        <v>1133</v>
      </c>
      <c r="BE19" s="2" t="s">
        <v>153</v>
      </c>
      <c r="BF19" s="2"/>
      <c r="BG19" s="2" t="s">
        <v>80</v>
      </c>
      <c r="BH19" s="2" t="s">
        <v>79</v>
      </c>
      <c r="BI19" s="2" t="s">
        <v>107</v>
      </c>
      <c r="BJ19" s="2" t="s">
        <v>1134</v>
      </c>
      <c r="BK19" s="2" t="s">
        <v>79</v>
      </c>
      <c r="BL19" s="2" t="s">
        <v>109</v>
      </c>
      <c r="BM19" s="2">
        <v>2023</v>
      </c>
    </row>
    <row r="20" spans="1:65" ht="409.5" x14ac:dyDescent="0.25">
      <c r="A20" s="2" t="s">
        <v>1110</v>
      </c>
      <c r="B20" s="2" t="s">
        <v>80</v>
      </c>
      <c r="C20" s="2" t="s">
        <v>1112</v>
      </c>
      <c r="D20" s="2" t="s">
        <v>79</v>
      </c>
      <c r="E20" s="2" t="s">
        <v>79</v>
      </c>
      <c r="F20" s="2" t="s">
        <v>1113</v>
      </c>
      <c r="G20" s="2" t="s">
        <v>143</v>
      </c>
      <c r="H20" s="2" t="s">
        <v>79</v>
      </c>
      <c r="I20" s="2" t="s">
        <v>116</v>
      </c>
      <c r="J20" s="2" t="s">
        <v>111</v>
      </c>
      <c r="K20" s="2" t="s">
        <v>79</v>
      </c>
      <c r="L20" s="2" t="s">
        <v>92</v>
      </c>
      <c r="M20" s="2" t="s">
        <v>1114</v>
      </c>
      <c r="N20" s="2"/>
      <c r="O20" s="2" t="s">
        <v>155</v>
      </c>
      <c r="P20" s="2" t="s">
        <v>80</v>
      </c>
      <c r="Q20" s="2"/>
      <c r="R20" s="2" t="s">
        <v>92</v>
      </c>
      <c r="S20" s="2" t="s">
        <v>1000</v>
      </c>
      <c r="T20" s="2" t="s">
        <v>465</v>
      </c>
      <c r="U20" s="2" t="s">
        <v>1115</v>
      </c>
      <c r="V20" s="2" t="s">
        <v>95</v>
      </c>
      <c r="W20" s="2" t="s">
        <v>1116</v>
      </c>
      <c r="X20" s="2" t="s">
        <v>1117</v>
      </c>
      <c r="Y20" s="2" t="s">
        <v>80</v>
      </c>
      <c r="Z20" s="2"/>
      <c r="AA20" s="2"/>
      <c r="AB20" s="2"/>
      <c r="AC20" s="2" t="s">
        <v>79</v>
      </c>
      <c r="AD20" s="2" t="s">
        <v>1118</v>
      </c>
      <c r="AE20" s="2" t="s">
        <v>1111</v>
      </c>
      <c r="AF20" s="2" t="s">
        <v>82</v>
      </c>
      <c r="AG20" s="2">
        <v>8.5</v>
      </c>
      <c r="AH20" s="2" t="s">
        <v>84</v>
      </c>
      <c r="AI20" s="2" t="s">
        <v>84</v>
      </c>
      <c r="AJ20" s="2" t="s">
        <v>84</v>
      </c>
      <c r="AK20" s="2" t="s">
        <v>84</v>
      </c>
      <c r="AL20" s="2" t="s">
        <v>84</v>
      </c>
      <c r="AM20" s="2" t="s">
        <v>84</v>
      </c>
      <c r="AN20" s="2" t="s">
        <v>84</v>
      </c>
      <c r="AO20" s="2" t="s">
        <v>86</v>
      </c>
      <c r="AP20" s="2" t="s">
        <v>84</v>
      </c>
      <c r="AQ20" s="2" t="s">
        <v>85</v>
      </c>
      <c r="AR20" s="2" t="s">
        <v>106</v>
      </c>
      <c r="AS20" s="2" t="s">
        <v>80</v>
      </c>
      <c r="AT20" s="2"/>
      <c r="AU20" s="2" t="s">
        <v>106</v>
      </c>
      <c r="AV20" s="2" t="s">
        <v>79</v>
      </c>
      <c r="AW20" s="2" t="s">
        <v>92</v>
      </c>
      <c r="AX20" s="2" t="s">
        <v>1119</v>
      </c>
      <c r="AY20" s="2" t="s">
        <v>100</v>
      </c>
      <c r="AZ20" s="2" t="s">
        <v>1120</v>
      </c>
      <c r="BA20" s="2" t="s">
        <v>286</v>
      </c>
      <c r="BB20" s="2" t="s">
        <v>79</v>
      </c>
      <c r="BC20" s="2" t="s">
        <v>168</v>
      </c>
      <c r="BD20" s="2" t="s">
        <v>1121</v>
      </c>
      <c r="BE20" s="2" t="s">
        <v>153</v>
      </c>
      <c r="BF20" s="2" t="s">
        <v>1122</v>
      </c>
      <c r="BG20" s="2" t="s">
        <v>92</v>
      </c>
      <c r="BH20" s="2" t="s">
        <v>79</v>
      </c>
      <c r="BI20" s="2" t="s">
        <v>107</v>
      </c>
      <c r="BJ20" s="2" t="s">
        <v>1123</v>
      </c>
      <c r="BK20" s="2" t="s">
        <v>79</v>
      </c>
      <c r="BL20" s="2" t="s">
        <v>109</v>
      </c>
      <c r="BM20" s="2">
        <v>2023</v>
      </c>
    </row>
    <row r="21" spans="1:65" ht="409.5" x14ac:dyDescent="0.25">
      <c r="A21" s="2" t="s">
        <v>1066</v>
      </c>
      <c r="B21" s="2" t="s">
        <v>80</v>
      </c>
      <c r="C21" s="2" t="s">
        <v>1068</v>
      </c>
      <c r="D21" s="2" t="s">
        <v>79</v>
      </c>
      <c r="E21" s="2" t="s">
        <v>79</v>
      </c>
      <c r="F21" s="2" t="s">
        <v>1069</v>
      </c>
      <c r="G21" s="2" t="s">
        <v>89</v>
      </c>
      <c r="H21" s="2" t="s">
        <v>79</v>
      </c>
      <c r="I21" s="2" t="s">
        <v>116</v>
      </c>
      <c r="J21" s="2" t="s">
        <v>111</v>
      </c>
      <c r="K21" s="2" t="s">
        <v>79</v>
      </c>
      <c r="L21" s="2" t="s">
        <v>92</v>
      </c>
      <c r="M21" s="2" t="s">
        <v>1070</v>
      </c>
      <c r="N21" s="2" t="s">
        <v>1071</v>
      </c>
      <c r="O21" s="2" t="s">
        <v>1072</v>
      </c>
      <c r="P21" s="2" t="s">
        <v>79</v>
      </c>
      <c r="Q21" s="2" t="s">
        <v>1073</v>
      </c>
      <c r="R21" s="2" t="s">
        <v>92</v>
      </c>
      <c r="S21" s="2" t="s">
        <v>838</v>
      </c>
      <c r="T21" s="2" t="s">
        <v>803</v>
      </c>
      <c r="U21" s="2" t="s">
        <v>1074</v>
      </c>
      <c r="V21" s="2" t="s">
        <v>95</v>
      </c>
      <c r="W21" s="2" t="s">
        <v>1075</v>
      </c>
      <c r="X21" s="2" t="s">
        <v>1076</v>
      </c>
      <c r="Y21" s="2" t="s">
        <v>80</v>
      </c>
      <c r="Z21" s="2"/>
      <c r="AA21" s="2"/>
      <c r="AB21" s="2"/>
      <c r="AC21" s="2" t="s">
        <v>79</v>
      </c>
      <c r="AD21" s="2" t="s">
        <v>1077</v>
      </c>
      <c r="AE21" s="2" t="s">
        <v>1067</v>
      </c>
      <c r="AF21" s="2" t="s">
        <v>82</v>
      </c>
      <c r="AG21" s="2">
        <v>10</v>
      </c>
      <c r="AH21" s="2" t="s">
        <v>84</v>
      </c>
      <c r="AI21" s="2" t="s">
        <v>84</v>
      </c>
      <c r="AJ21" s="2" t="s">
        <v>84</v>
      </c>
      <c r="AK21" s="2" t="s">
        <v>84</v>
      </c>
      <c r="AL21" s="2" t="s">
        <v>84</v>
      </c>
      <c r="AM21" s="2" t="s">
        <v>84</v>
      </c>
      <c r="AN21" s="2" t="s">
        <v>84</v>
      </c>
      <c r="AO21" s="2" t="s">
        <v>84</v>
      </c>
      <c r="AP21" s="2" t="s">
        <v>84</v>
      </c>
      <c r="AQ21" s="2" t="s">
        <v>84</v>
      </c>
      <c r="AR21" s="2" t="s">
        <v>106</v>
      </c>
      <c r="AS21" s="2" t="s">
        <v>80</v>
      </c>
      <c r="AT21" s="2"/>
      <c r="AU21" s="2" t="s">
        <v>106</v>
      </c>
      <c r="AV21" s="2" t="s">
        <v>79</v>
      </c>
      <c r="AW21" s="2" t="s">
        <v>92</v>
      </c>
      <c r="AX21" s="2" t="s">
        <v>1078</v>
      </c>
      <c r="AY21" s="2" t="s">
        <v>100</v>
      </c>
      <c r="AZ21" s="2" t="s">
        <v>1079</v>
      </c>
      <c r="BA21" s="2" t="s">
        <v>286</v>
      </c>
      <c r="BB21" s="2" t="s">
        <v>79</v>
      </c>
      <c r="BC21" s="2" t="s">
        <v>1080</v>
      </c>
      <c r="BD21" s="2" t="s">
        <v>1081</v>
      </c>
      <c r="BE21" s="2" t="s">
        <v>104</v>
      </c>
      <c r="BF21" s="2"/>
      <c r="BG21" s="2" t="s">
        <v>80</v>
      </c>
      <c r="BH21" s="2" t="s">
        <v>79</v>
      </c>
      <c r="BI21" s="2" t="s">
        <v>289</v>
      </c>
      <c r="BJ21" s="2" t="s">
        <v>1082</v>
      </c>
      <c r="BK21" s="2" t="s">
        <v>79</v>
      </c>
      <c r="BL21" s="2" t="s">
        <v>172</v>
      </c>
      <c r="BM21" s="2">
        <v>2023</v>
      </c>
    </row>
    <row r="22" spans="1:65" ht="409.5" x14ac:dyDescent="0.25">
      <c r="A22" s="2" t="s">
        <v>1147</v>
      </c>
      <c r="B22" s="2" t="s">
        <v>80</v>
      </c>
      <c r="C22" s="2" t="s">
        <v>1149</v>
      </c>
      <c r="D22" s="2" t="s">
        <v>79</v>
      </c>
      <c r="E22" s="2" t="s">
        <v>79</v>
      </c>
      <c r="F22" s="2" t="s">
        <v>1150</v>
      </c>
      <c r="G22" s="2" t="s">
        <v>143</v>
      </c>
      <c r="H22" s="2" t="s">
        <v>106</v>
      </c>
      <c r="I22" s="2" t="s">
        <v>90</v>
      </c>
      <c r="J22" s="2" t="s">
        <v>111</v>
      </c>
      <c r="K22" s="2" t="s">
        <v>79</v>
      </c>
      <c r="L22" s="2" t="s">
        <v>92</v>
      </c>
      <c r="M22" s="2" t="s">
        <v>1151</v>
      </c>
      <c r="N22" s="2"/>
      <c r="O22" s="2" t="s">
        <v>155</v>
      </c>
      <c r="P22" s="2" t="s">
        <v>80</v>
      </c>
      <c r="Q22" s="2"/>
      <c r="R22" s="2" t="s">
        <v>92</v>
      </c>
      <c r="S22" s="2" t="s">
        <v>613</v>
      </c>
      <c r="T22" s="2" t="s">
        <v>243</v>
      </c>
      <c r="U22" s="2" t="s">
        <v>1152</v>
      </c>
      <c r="V22" s="2" t="s">
        <v>95</v>
      </c>
      <c r="W22" s="2" t="s">
        <v>1153</v>
      </c>
      <c r="X22" s="2" t="s">
        <v>1154</v>
      </c>
      <c r="Y22" s="2" t="s">
        <v>80</v>
      </c>
      <c r="Z22" s="2"/>
      <c r="AA22" s="2"/>
      <c r="AB22" s="2"/>
      <c r="AC22" s="2" t="s">
        <v>79</v>
      </c>
      <c r="AD22" s="2" t="s">
        <v>1155</v>
      </c>
      <c r="AE22" s="2" t="s">
        <v>1148</v>
      </c>
      <c r="AF22" s="2" t="s">
        <v>82</v>
      </c>
      <c r="AG22" s="2">
        <v>9.5</v>
      </c>
      <c r="AH22" s="2" t="s">
        <v>84</v>
      </c>
      <c r="AI22" s="2" t="s">
        <v>84</v>
      </c>
      <c r="AJ22" s="2" t="s">
        <v>84</v>
      </c>
      <c r="AK22" s="2" t="s">
        <v>84</v>
      </c>
      <c r="AL22" s="2" t="s">
        <v>84</v>
      </c>
      <c r="AM22" s="2" t="s">
        <v>84</v>
      </c>
      <c r="AN22" s="2" t="s">
        <v>84</v>
      </c>
      <c r="AO22" s="2" t="s">
        <v>84</v>
      </c>
      <c r="AP22" s="2" t="s">
        <v>84</v>
      </c>
      <c r="AQ22" s="2" t="s">
        <v>85</v>
      </c>
      <c r="AR22" s="2" t="s">
        <v>106</v>
      </c>
      <c r="AS22" s="2" t="s">
        <v>80</v>
      </c>
      <c r="AT22" s="2"/>
      <c r="AU22" s="2" t="s">
        <v>106</v>
      </c>
      <c r="AV22" s="2" t="s">
        <v>79</v>
      </c>
      <c r="AW22" s="2" t="s">
        <v>92</v>
      </c>
      <c r="AX22" s="2" t="s">
        <v>1156</v>
      </c>
      <c r="AY22" s="2" t="s">
        <v>303</v>
      </c>
      <c r="AZ22" s="2" t="s">
        <v>1157</v>
      </c>
      <c r="BA22" s="2" t="s">
        <v>143</v>
      </c>
      <c r="BB22" s="2" t="s">
        <v>79</v>
      </c>
      <c r="BC22" s="2" t="s">
        <v>364</v>
      </c>
      <c r="BD22" s="2" t="s">
        <v>1158</v>
      </c>
      <c r="BE22" s="2" t="s">
        <v>104</v>
      </c>
      <c r="BF22" s="2"/>
      <c r="BG22" s="2" t="s">
        <v>80</v>
      </c>
      <c r="BH22" s="2" t="s">
        <v>79</v>
      </c>
      <c r="BI22" s="2" t="s">
        <v>429</v>
      </c>
      <c r="BJ22" s="2" t="s">
        <v>1159</v>
      </c>
      <c r="BK22" s="2" t="s">
        <v>79</v>
      </c>
      <c r="BL22" s="2" t="s">
        <v>172</v>
      </c>
      <c r="BM22" s="2">
        <v>2023</v>
      </c>
    </row>
    <row r="23" spans="1:65" ht="409.5" x14ac:dyDescent="0.25">
      <c r="A23" s="2" t="s">
        <v>935</v>
      </c>
      <c r="B23" s="2" t="s">
        <v>92</v>
      </c>
      <c r="C23" s="2" t="s">
        <v>938</v>
      </c>
      <c r="D23" s="2" t="s">
        <v>79</v>
      </c>
      <c r="E23" s="2" t="s">
        <v>79</v>
      </c>
      <c r="F23" s="2" t="s">
        <v>939</v>
      </c>
      <c r="G23" s="2" t="s">
        <v>89</v>
      </c>
      <c r="H23" s="2" t="s">
        <v>79</v>
      </c>
      <c r="I23" s="2" t="s">
        <v>116</v>
      </c>
      <c r="J23" s="2" t="s">
        <v>111</v>
      </c>
      <c r="K23" s="2" t="s">
        <v>79</v>
      </c>
      <c r="L23" s="2" t="s">
        <v>92</v>
      </c>
      <c r="M23" s="2" t="s">
        <v>940</v>
      </c>
      <c r="N23" s="2"/>
      <c r="O23" s="2" t="s">
        <v>155</v>
      </c>
      <c r="P23" s="2" t="s">
        <v>80</v>
      </c>
      <c r="Q23" s="2"/>
      <c r="R23" s="2" t="s">
        <v>92</v>
      </c>
      <c r="S23" s="2" t="s">
        <v>936</v>
      </c>
      <c r="T23" s="2" t="s">
        <v>279</v>
      </c>
      <c r="U23" s="2" t="s">
        <v>941</v>
      </c>
      <c r="V23" s="2" t="s">
        <v>95</v>
      </c>
      <c r="W23" s="2" t="s">
        <v>942</v>
      </c>
      <c r="X23" s="2" t="s">
        <v>943</v>
      </c>
      <c r="Y23" s="2" t="s">
        <v>80</v>
      </c>
      <c r="Z23" s="2"/>
      <c r="AA23" s="2"/>
      <c r="AB23" s="2"/>
      <c r="AC23" s="2" t="s">
        <v>79</v>
      </c>
      <c r="AD23" s="2" t="s">
        <v>944</v>
      </c>
      <c r="AE23" s="2" t="s">
        <v>937</v>
      </c>
      <c r="AF23" s="2" t="s">
        <v>82</v>
      </c>
      <c r="AG23" s="2">
        <v>8.5</v>
      </c>
      <c r="AH23" s="2" t="s">
        <v>84</v>
      </c>
      <c r="AI23" s="2" t="s">
        <v>84</v>
      </c>
      <c r="AJ23" s="2" t="s">
        <v>84</v>
      </c>
      <c r="AK23" s="2" t="s">
        <v>84</v>
      </c>
      <c r="AL23" s="2" t="s">
        <v>84</v>
      </c>
      <c r="AM23" s="2" t="s">
        <v>84</v>
      </c>
      <c r="AN23" s="2" t="s">
        <v>84</v>
      </c>
      <c r="AO23" s="2" t="s">
        <v>86</v>
      </c>
      <c r="AP23" s="2" t="s">
        <v>84</v>
      </c>
      <c r="AQ23" s="2" t="s">
        <v>85</v>
      </c>
      <c r="AR23" s="2" t="s">
        <v>106</v>
      </c>
      <c r="AS23" s="2" t="s">
        <v>80</v>
      </c>
      <c r="AT23" s="2"/>
      <c r="AU23" s="2" t="s">
        <v>80</v>
      </c>
      <c r="AV23" s="2" t="s">
        <v>79</v>
      </c>
      <c r="AW23" s="2" t="s">
        <v>92</v>
      </c>
      <c r="AX23" s="2" t="s">
        <v>945</v>
      </c>
      <c r="AY23" s="2" t="s">
        <v>100</v>
      </c>
      <c r="AZ23" s="2" t="s">
        <v>946</v>
      </c>
      <c r="BA23" s="2" t="s">
        <v>286</v>
      </c>
      <c r="BB23" s="2" t="s">
        <v>79</v>
      </c>
      <c r="BC23" s="2" t="s">
        <v>854</v>
      </c>
      <c r="BD23" s="2" t="s">
        <v>947</v>
      </c>
      <c r="BE23" s="2" t="s">
        <v>153</v>
      </c>
      <c r="BF23" s="2" t="s">
        <v>948</v>
      </c>
      <c r="BG23" s="2" t="s">
        <v>92</v>
      </c>
      <c r="BH23" s="2" t="s">
        <v>79</v>
      </c>
      <c r="BI23" s="2" t="s">
        <v>107</v>
      </c>
      <c r="BJ23" s="2" t="s">
        <v>949</v>
      </c>
      <c r="BK23" s="2" t="s">
        <v>79</v>
      </c>
      <c r="BL23" s="2" t="s">
        <v>109</v>
      </c>
      <c r="BM23" s="2">
        <v>2023</v>
      </c>
    </row>
    <row r="24" spans="1:65" ht="409.5" x14ac:dyDescent="0.25">
      <c r="A24" s="2" t="s">
        <v>1606</v>
      </c>
      <c r="B24" s="2" t="s">
        <v>80</v>
      </c>
      <c r="C24" s="2" t="s">
        <v>1608</v>
      </c>
      <c r="D24" s="2" t="s">
        <v>79</v>
      </c>
      <c r="E24" s="2"/>
      <c r="F24" s="2" t="s">
        <v>1609</v>
      </c>
      <c r="G24" s="2" t="s">
        <v>478</v>
      </c>
      <c r="H24" s="2" t="s">
        <v>79</v>
      </c>
      <c r="I24" s="2" t="s">
        <v>116</v>
      </c>
      <c r="J24" s="2" t="s">
        <v>111</v>
      </c>
      <c r="K24" s="2" t="s">
        <v>80</v>
      </c>
      <c r="L24" s="2"/>
      <c r="M24" s="2"/>
      <c r="N24" s="2"/>
      <c r="O24" s="2"/>
      <c r="P24" s="2" t="s">
        <v>80</v>
      </c>
      <c r="Q24" s="2"/>
      <c r="R24" s="2" t="s">
        <v>92</v>
      </c>
      <c r="S24" s="2" t="s">
        <v>112</v>
      </c>
      <c r="T24" s="2" t="s">
        <v>453</v>
      </c>
      <c r="U24" s="2" t="s">
        <v>1610</v>
      </c>
      <c r="V24" s="2" t="s">
        <v>95</v>
      </c>
      <c r="W24" s="2" t="s">
        <v>1611</v>
      </c>
      <c r="X24" s="2" t="s">
        <v>1612</v>
      </c>
      <c r="Y24" s="2" t="s">
        <v>80</v>
      </c>
      <c r="Z24" s="2"/>
      <c r="AA24" s="2"/>
      <c r="AB24" s="2"/>
      <c r="AC24" s="2" t="s">
        <v>79</v>
      </c>
      <c r="AD24" s="2" t="s">
        <v>1613</v>
      </c>
      <c r="AE24" s="2" t="s">
        <v>1607</v>
      </c>
      <c r="AF24" s="2" t="s">
        <v>82</v>
      </c>
      <c r="AG24" s="2">
        <v>7.5</v>
      </c>
      <c r="AH24" s="2" t="s">
        <v>84</v>
      </c>
      <c r="AI24" s="2" t="s">
        <v>86</v>
      </c>
      <c r="AJ24" s="2" t="s">
        <v>84</v>
      </c>
      <c r="AK24" s="2" t="s">
        <v>84</v>
      </c>
      <c r="AL24" s="2" t="s">
        <v>84</v>
      </c>
      <c r="AM24" s="2" t="s">
        <v>84</v>
      </c>
      <c r="AN24" s="2" t="s">
        <v>85</v>
      </c>
      <c r="AO24" s="2" t="s">
        <v>86</v>
      </c>
      <c r="AP24" s="2" t="s">
        <v>84</v>
      </c>
      <c r="AQ24" s="2" t="s">
        <v>84</v>
      </c>
      <c r="AR24" s="2"/>
      <c r="AS24" s="2" t="s">
        <v>80</v>
      </c>
      <c r="AT24" s="2"/>
      <c r="AU24" s="2"/>
      <c r="AV24" s="2" t="s">
        <v>80</v>
      </c>
      <c r="AW24" s="2"/>
      <c r="AX24" s="2"/>
      <c r="AY24" s="2" t="s">
        <v>100</v>
      </c>
      <c r="AZ24" s="2" t="s">
        <v>1614</v>
      </c>
      <c r="BA24" s="2" t="s">
        <v>102</v>
      </c>
      <c r="BB24" s="2" t="s">
        <v>79</v>
      </c>
      <c r="BC24" s="2"/>
      <c r="BD24" s="2" t="s">
        <v>1615</v>
      </c>
      <c r="BE24" s="2" t="s">
        <v>153</v>
      </c>
      <c r="BF24" s="2" t="s">
        <v>1616</v>
      </c>
      <c r="BG24" s="2" t="s">
        <v>92</v>
      </c>
      <c r="BH24" s="2" t="s">
        <v>106</v>
      </c>
      <c r="BI24" s="2" t="s">
        <v>107</v>
      </c>
      <c r="BJ24" s="2" t="s">
        <v>1617</v>
      </c>
      <c r="BK24" s="2" t="s">
        <v>79</v>
      </c>
      <c r="BL24" s="2" t="s">
        <v>109</v>
      </c>
      <c r="BM24" s="2">
        <v>2022</v>
      </c>
    </row>
    <row r="25" spans="1:65" ht="409.5" x14ac:dyDescent="0.25">
      <c r="A25" s="2" t="s">
        <v>1618</v>
      </c>
      <c r="B25" s="2" t="s">
        <v>80</v>
      </c>
      <c r="C25" s="2" t="s">
        <v>1620</v>
      </c>
      <c r="D25" s="2" t="s">
        <v>79</v>
      </c>
      <c r="E25" s="2" t="s">
        <v>92</v>
      </c>
      <c r="F25" s="2"/>
      <c r="G25" s="2" t="s">
        <v>143</v>
      </c>
      <c r="H25" s="2" t="s">
        <v>80</v>
      </c>
      <c r="I25" s="2" t="s">
        <v>90</v>
      </c>
      <c r="J25" s="2" t="s">
        <v>111</v>
      </c>
      <c r="K25" s="2" t="s">
        <v>79</v>
      </c>
      <c r="L25" s="2" t="s">
        <v>92</v>
      </c>
      <c r="M25" s="2"/>
      <c r="N25" s="2"/>
      <c r="O25" s="2" t="s">
        <v>155</v>
      </c>
      <c r="P25" s="2" t="s">
        <v>80</v>
      </c>
      <c r="Q25" s="2"/>
      <c r="R25" s="2"/>
      <c r="S25" s="2" t="s">
        <v>143</v>
      </c>
      <c r="T25" s="2" t="s">
        <v>639</v>
      </c>
      <c r="U25" s="2" t="s">
        <v>1621</v>
      </c>
      <c r="V25" s="2" t="s">
        <v>95</v>
      </c>
      <c r="W25" s="2" t="s">
        <v>1622</v>
      </c>
      <c r="X25" s="2" t="s">
        <v>1623</v>
      </c>
      <c r="Y25" s="2" t="s">
        <v>80</v>
      </c>
      <c r="Z25" s="2"/>
      <c r="AA25" s="2"/>
      <c r="AB25" s="2"/>
      <c r="AC25" s="2" t="s">
        <v>80</v>
      </c>
      <c r="AD25" s="2" t="s">
        <v>1624</v>
      </c>
      <c r="AE25" s="2" t="s">
        <v>1619</v>
      </c>
      <c r="AF25" s="2" t="s">
        <v>82</v>
      </c>
      <c r="AG25" s="2">
        <v>8</v>
      </c>
      <c r="AH25" s="2" t="s">
        <v>84</v>
      </c>
      <c r="AI25" s="2" t="s">
        <v>84</v>
      </c>
      <c r="AJ25" s="2" t="s">
        <v>84</v>
      </c>
      <c r="AK25" s="2" t="s">
        <v>86</v>
      </c>
      <c r="AL25" s="2" t="s">
        <v>84</v>
      </c>
      <c r="AM25" s="2" t="s">
        <v>84</v>
      </c>
      <c r="AN25" s="2" t="s">
        <v>84</v>
      </c>
      <c r="AO25" s="2" t="s">
        <v>84</v>
      </c>
      <c r="AP25" s="2" t="s">
        <v>85</v>
      </c>
      <c r="AQ25" s="2" t="s">
        <v>85</v>
      </c>
      <c r="AR25" s="2" t="s">
        <v>106</v>
      </c>
      <c r="AS25" s="2" t="s">
        <v>80</v>
      </c>
      <c r="AT25" s="2"/>
      <c r="AU25" s="2" t="s">
        <v>106</v>
      </c>
      <c r="AV25" s="2" t="s">
        <v>79</v>
      </c>
      <c r="AW25" s="2" t="s">
        <v>79</v>
      </c>
      <c r="AX25" s="2"/>
      <c r="AY25" s="2" t="s">
        <v>303</v>
      </c>
      <c r="AZ25" s="2" t="s">
        <v>1625</v>
      </c>
      <c r="BA25" s="2" t="s">
        <v>1626</v>
      </c>
      <c r="BB25" s="2" t="s">
        <v>79</v>
      </c>
      <c r="BC25" s="2" t="s">
        <v>1627</v>
      </c>
      <c r="BD25" s="2" t="s">
        <v>1628</v>
      </c>
      <c r="BE25" s="2" t="s">
        <v>732</v>
      </c>
      <c r="BF25" s="2"/>
      <c r="BG25" s="2" t="s">
        <v>80</v>
      </c>
      <c r="BH25" s="2" t="s">
        <v>79</v>
      </c>
      <c r="BI25" s="2" t="s">
        <v>155</v>
      </c>
      <c r="BJ25" s="2" t="s">
        <v>1629</v>
      </c>
      <c r="BK25" s="2" t="s">
        <v>80</v>
      </c>
      <c r="BL25" s="2" t="s">
        <v>109</v>
      </c>
      <c r="BM25" s="2">
        <v>2022</v>
      </c>
    </row>
    <row r="26" spans="1:65" ht="409.5" x14ac:dyDescent="0.25">
      <c r="A26" s="2" t="s">
        <v>1051</v>
      </c>
      <c r="B26" s="2" t="s">
        <v>80</v>
      </c>
      <c r="C26" s="2" t="s">
        <v>1054</v>
      </c>
      <c r="D26" s="2" t="s">
        <v>79</v>
      </c>
      <c r="E26" s="2" t="s">
        <v>79</v>
      </c>
      <c r="F26" s="2" t="s">
        <v>1055</v>
      </c>
      <c r="G26" s="2" t="s">
        <v>842</v>
      </c>
      <c r="H26" s="2" t="s">
        <v>106</v>
      </c>
      <c r="I26" s="2" t="s">
        <v>116</v>
      </c>
      <c r="J26" s="2" t="s">
        <v>111</v>
      </c>
      <c r="K26" s="2" t="s">
        <v>79</v>
      </c>
      <c r="L26" s="2" t="s">
        <v>92</v>
      </c>
      <c r="M26" s="2" t="s">
        <v>1056</v>
      </c>
      <c r="N26" s="2"/>
      <c r="O26" s="2" t="s">
        <v>155</v>
      </c>
      <c r="P26" s="2" t="s">
        <v>80</v>
      </c>
      <c r="Q26" s="2"/>
      <c r="R26" s="2" t="s">
        <v>92</v>
      </c>
      <c r="S26" s="2" t="s">
        <v>1052</v>
      </c>
      <c r="T26" s="2" t="s">
        <v>118</v>
      </c>
      <c r="U26" s="2" t="s">
        <v>1057</v>
      </c>
      <c r="V26" s="2" t="s">
        <v>95</v>
      </c>
      <c r="W26" s="2" t="s">
        <v>1058</v>
      </c>
      <c r="X26" s="2" t="s">
        <v>1059</v>
      </c>
      <c r="Y26" s="2" t="s">
        <v>80</v>
      </c>
      <c r="Z26" s="2"/>
      <c r="AA26" s="2"/>
      <c r="AB26" s="2"/>
      <c r="AC26" s="2" t="s">
        <v>79</v>
      </c>
      <c r="AD26" s="2" t="s">
        <v>1060</v>
      </c>
      <c r="AE26" s="2" t="s">
        <v>1053</v>
      </c>
      <c r="AF26" s="2" t="s">
        <v>82</v>
      </c>
      <c r="AG26" s="2">
        <v>9</v>
      </c>
      <c r="AH26" s="2" t="s">
        <v>84</v>
      </c>
      <c r="AI26" s="2" t="s">
        <v>84</v>
      </c>
      <c r="AJ26" s="2" t="s">
        <v>84</v>
      </c>
      <c r="AK26" s="2" t="s">
        <v>84</v>
      </c>
      <c r="AL26" s="2" t="s">
        <v>84</v>
      </c>
      <c r="AM26" s="2" t="s">
        <v>84</v>
      </c>
      <c r="AN26" s="2" t="s">
        <v>84</v>
      </c>
      <c r="AO26" s="2" t="s">
        <v>86</v>
      </c>
      <c r="AP26" s="2" t="s">
        <v>84</v>
      </c>
      <c r="AQ26" s="2" t="s">
        <v>84</v>
      </c>
      <c r="AR26" s="2" t="s">
        <v>106</v>
      </c>
      <c r="AS26" s="2" t="s">
        <v>80</v>
      </c>
      <c r="AT26" s="2"/>
      <c r="AU26" s="2" t="s">
        <v>106</v>
      </c>
      <c r="AV26" s="2" t="s">
        <v>79</v>
      </c>
      <c r="AW26" s="2" t="s">
        <v>92</v>
      </c>
      <c r="AX26" s="2" t="s">
        <v>1061</v>
      </c>
      <c r="AY26" s="2" t="s">
        <v>100</v>
      </c>
      <c r="AZ26" s="2" t="s">
        <v>1062</v>
      </c>
      <c r="BA26" s="2" t="s">
        <v>143</v>
      </c>
      <c r="BB26" s="2" t="s">
        <v>79</v>
      </c>
      <c r="BC26" s="2" t="s">
        <v>1063</v>
      </c>
      <c r="BD26" s="2" t="s">
        <v>1064</v>
      </c>
      <c r="BE26" s="2" t="s">
        <v>856</v>
      </c>
      <c r="BF26" s="2"/>
      <c r="BG26" s="2" t="s">
        <v>80</v>
      </c>
      <c r="BH26" s="2" t="s">
        <v>79</v>
      </c>
      <c r="BI26" s="2" t="s">
        <v>206</v>
      </c>
      <c r="BJ26" s="2" t="s">
        <v>1065</v>
      </c>
      <c r="BK26" s="2" t="s">
        <v>79</v>
      </c>
      <c r="BL26" s="2" t="s">
        <v>172</v>
      </c>
      <c r="BM26" s="2">
        <v>2022</v>
      </c>
    </row>
    <row r="27" spans="1:65" ht="409.5" x14ac:dyDescent="0.25">
      <c r="A27" s="2" t="s">
        <v>999</v>
      </c>
      <c r="B27" s="2" t="s">
        <v>92</v>
      </c>
      <c r="C27" s="2" t="s">
        <v>1002</v>
      </c>
      <c r="D27" s="2" t="s">
        <v>79</v>
      </c>
      <c r="E27" s="2" t="s">
        <v>79</v>
      </c>
      <c r="F27" s="2" t="s">
        <v>1003</v>
      </c>
      <c r="G27" s="2" t="s">
        <v>143</v>
      </c>
      <c r="H27" s="2" t="s">
        <v>106</v>
      </c>
      <c r="I27" s="2" t="s">
        <v>90</v>
      </c>
      <c r="J27" s="2" t="s">
        <v>111</v>
      </c>
      <c r="K27" s="2" t="s">
        <v>79</v>
      </c>
      <c r="L27" s="2" t="s">
        <v>92</v>
      </c>
      <c r="M27" s="2" t="s">
        <v>1004</v>
      </c>
      <c r="N27" s="2" t="s">
        <v>1005</v>
      </c>
      <c r="O27" s="2" t="s">
        <v>1006</v>
      </c>
      <c r="P27" s="2" t="s">
        <v>79</v>
      </c>
      <c r="Q27" s="2" t="s">
        <v>1007</v>
      </c>
      <c r="R27" s="2" t="s">
        <v>92</v>
      </c>
      <c r="S27" s="2" t="s">
        <v>1000</v>
      </c>
      <c r="T27" s="2" t="s">
        <v>1008</v>
      </c>
      <c r="U27" s="2" t="s">
        <v>1009</v>
      </c>
      <c r="V27" s="2" t="s">
        <v>95</v>
      </c>
      <c r="W27" s="2" t="s">
        <v>1010</v>
      </c>
      <c r="X27" s="2" t="s">
        <v>1011</v>
      </c>
      <c r="Y27" s="2" t="s">
        <v>80</v>
      </c>
      <c r="Z27" s="2"/>
      <c r="AA27" s="2"/>
      <c r="AB27" s="2"/>
      <c r="AC27" s="2" t="s">
        <v>79</v>
      </c>
      <c r="AD27" s="2" t="s">
        <v>1012</v>
      </c>
      <c r="AE27" s="2" t="s">
        <v>1001</v>
      </c>
      <c r="AF27" s="2" t="s">
        <v>82</v>
      </c>
      <c r="AG27" s="2">
        <v>8.5</v>
      </c>
      <c r="AH27" s="2" t="s">
        <v>84</v>
      </c>
      <c r="AI27" s="2" t="s">
        <v>84</v>
      </c>
      <c r="AJ27" s="2" t="s">
        <v>84</v>
      </c>
      <c r="AK27" s="2" t="s">
        <v>86</v>
      </c>
      <c r="AL27" s="2" t="s">
        <v>84</v>
      </c>
      <c r="AM27" s="2" t="s">
        <v>84</v>
      </c>
      <c r="AN27" s="2" t="s">
        <v>84</v>
      </c>
      <c r="AO27" s="2" t="s">
        <v>84</v>
      </c>
      <c r="AP27" s="2" t="s">
        <v>85</v>
      </c>
      <c r="AQ27" s="2" t="s">
        <v>84</v>
      </c>
      <c r="AR27" s="2" t="s">
        <v>106</v>
      </c>
      <c r="AS27" s="2" t="s">
        <v>79</v>
      </c>
      <c r="AT27" s="2" t="s">
        <v>1013</v>
      </c>
      <c r="AU27" s="2" t="s">
        <v>106</v>
      </c>
      <c r="AV27" s="2" t="s">
        <v>79</v>
      </c>
      <c r="AW27" s="2" t="s">
        <v>79</v>
      </c>
      <c r="AX27" s="2" t="s">
        <v>1014</v>
      </c>
      <c r="AY27" s="2" t="s">
        <v>303</v>
      </c>
      <c r="AZ27" s="2" t="s">
        <v>1015</v>
      </c>
      <c r="BA27" s="2" t="s">
        <v>709</v>
      </c>
      <c r="BB27" s="2" t="s">
        <v>79</v>
      </c>
      <c r="BC27" s="2" t="s">
        <v>1016</v>
      </c>
      <c r="BD27" s="2" t="s">
        <v>1017</v>
      </c>
      <c r="BE27" s="2" t="s">
        <v>153</v>
      </c>
      <c r="BF27" s="2" t="s">
        <v>1018</v>
      </c>
      <c r="BG27" s="2" t="s">
        <v>92</v>
      </c>
      <c r="BH27" s="2" t="s">
        <v>79</v>
      </c>
      <c r="BI27" s="2" t="s">
        <v>143</v>
      </c>
      <c r="BJ27" s="2" t="s">
        <v>1019</v>
      </c>
      <c r="BK27" s="2" t="s">
        <v>79</v>
      </c>
      <c r="BL27" s="2" t="s">
        <v>109</v>
      </c>
      <c r="BM27" s="2">
        <v>2022</v>
      </c>
    </row>
    <row r="28" spans="1:65" ht="409.5" x14ac:dyDescent="0.25">
      <c r="A28" s="2" t="s">
        <v>1020</v>
      </c>
      <c r="B28" s="2" t="s">
        <v>80</v>
      </c>
      <c r="C28" s="2" t="s">
        <v>1023</v>
      </c>
      <c r="D28" s="2" t="s">
        <v>79</v>
      </c>
      <c r="E28" s="2" t="s">
        <v>79</v>
      </c>
      <c r="F28" s="2" t="s">
        <v>1024</v>
      </c>
      <c r="G28" s="2" t="s">
        <v>478</v>
      </c>
      <c r="H28" s="2" t="s">
        <v>80</v>
      </c>
      <c r="I28" s="2" t="s">
        <v>116</v>
      </c>
      <c r="J28" s="2" t="s">
        <v>143</v>
      </c>
      <c r="K28" s="2" t="s">
        <v>79</v>
      </c>
      <c r="L28" s="2" t="s">
        <v>92</v>
      </c>
      <c r="M28" s="2" t="s">
        <v>1025</v>
      </c>
      <c r="N28" s="2"/>
      <c r="O28" s="2" t="s">
        <v>155</v>
      </c>
      <c r="P28" s="2" t="s">
        <v>80</v>
      </c>
      <c r="Q28" s="2"/>
      <c r="R28" s="2" t="s">
        <v>92</v>
      </c>
      <c r="S28" s="2" t="s">
        <v>1021</v>
      </c>
      <c r="T28" s="2" t="s">
        <v>328</v>
      </c>
      <c r="U28" s="2" t="s">
        <v>1026</v>
      </c>
      <c r="V28" s="2" t="s">
        <v>95</v>
      </c>
      <c r="W28" s="2" t="s">
        <v>1027</v>
      </c>
      <c r="X28" s="2" t="s">
        <v>1028</v>
      </c>
      <c r="Y28" s="2" t="s">
        <v>80</v>
      </c>
      <c r="Z28" s="2"/>
      <c r="AA28" s="2"/>
      <c r="AB28" s="2"/>
      <c r="AC28" s="2" t="s">
        <v>79</v>
      </c>
      <c r="AD28" s="2" t="s">
        <v>1029</v>
      </c>
      <c r="AE28" s="2" t="s">
        <v>1022</v>
      </c>
      <c r="AF28" s="2" t="s">
        <v>82</v>
      </c>
      <c r="AG28" s="2">
        <v>8.5</v>
      </c>
      <c r="AH28" s="2" t="s">
        <v>84</v>
      </c>
      <c r="AI28" s="2" t="s">
        <v>84</v>
      </c>
      <c r="AJ28" s="2" t="s">
        <v>84</v>
      </c>
      <c r="AK28" s="2" t="s">
        <v>84</v>
      </c>
      <c r="AL28" s="2" t="s">
        <v>84</v>
      </c>
      <c r="AM28" s="2" t="s">
        <v>84</v>
      </c>
      <c r="AN28" s="2" t="s">
        <v>85</v>
      </c>
      <c r="AO28" s="2" t="s">
        <v>86</v>
      </c>
      <c r="AP28" s="2" t="s">
        <v>84</v>
      </c>
      <c r="AQ28" s="2" t="s">
        <v>84</v>
      </c>
      <c r="AR28" s="2" t="s">
        <v>106</v>
      </c>
      <c r="AS28" s="2" t="s">
        <v>79</v>
      </c>
      <c r="AT28" s="2" t="s">
        <v>1030</v>
      </c>
      <c r="AU28" s="2" t="s">
        <v>80</v>
      </c>
      <c r="AV28" s="2" t="s">
        <v>79</v>
      </c>
      <c r="AW28" s="2" t="s">
        <v>79</v>
      </c>
      <c r="AX28" s="2" t="s">
        <v>1031</v>
      </c>
      <c r="AY28" s="2" t="s">
        <v>100</v>
      </c>
      <c r="AZ28" s="2" t="s">
        <v>1032</v>
      </c>
      <c r="BA28" s="2" t="s">
        <v>286</v>
      </c>
      <c r="BB28" s="2" t="s">
        <v>79</v>
      </c>
      <c r="BC28" s="2" t="s">
        <v>287</v>
      </c>
      <c r="BD28" s="2" t="s">
        <v>1033</v>
      </c>
      <c r="BE28" s="2" t="s">
        <v>153</v>
      </c>
      <c r="BF28" s="2"/>
      <c r="BG28" s="2" t="s">
        <v>80</v>
      </c>
      <c r="BH28" s="2" t="s">
        <v>79</v>
      </c>
      <c r="BI28" s="2" t="s">
        <v>206</v>
      </c>
      <c r="BJ28" s="2" t="s">
        <v>1034</v>
      </c>
      <c r="BK28" s="2" t="s">
        <v>79</v>
      </c>
      <c r="BL28" s="2" t="s">
        <v>109</v>
      </c>
      <c r="BM28" s="2">
        <v>2022</v>
      </c>
    </row>
    <row r="29" spans="1:65" ht="409.5" x14ac:dyDescent="0.25">
      <c r="A29" s="2" t="s">
        <v>984</v>
      </c>
      <c r="B29" s="2" t="s">
        <v>92</v>
      </c>
      <c r="C29" s="2" t="s">
        <v>987</v>
      </c>
      <c r="D29" s="2" t="s">
        <v>79</v>
      </c>
      <c r="E29" s="2" t="s">
        <v>79</v>
      </c>
      <c r="F29" s="2" t="s">
        <v>988</v>
      </c>
      <c r="G29" s="2" t="s">
        <v>89</v>
      </c>
      <c r="H29" s="2" t="s">
        <v>79</v>
      </c>
      <c r="I29" s="2" t="s">
        <v>116</v>
      </c>
      <c r="J29" s="2" t="s">
        <v>111</v>
      </c>
      <c r="K29" s="2" t="s">
        <v>79</v>
      </c>
      <c r="L29" s="2" t="s">
        <v>92</v>
      </c>
      <c r="M29" s="2" t="s">
        <v>989</v>
      </c>
      <c r="N29" s="2"/>
      <c r="O29" s="2" t="s">
        <v>155</v>
      </c>
      <c r="P29" s="2" t="s">
        <v>80</v>
      </c>
      <c r="Q29" s="2"/>
      <c r="R29" s="2" t="s">
        <v>92</v>
      </c>
      <c r="S29" s="2" t="s">
        <v>985</v>
      </c>
      <c r="T29" s="2" t="s">
        <v>465</v>
      </c>
      <c r="U29" s="2" t="s">
        <v>990</v>
      </c>
      <c r="V29" s="2" t="s">
        <v>95</v>
      </c>
      <c r="W29" s="2" t="s">
        <v>991</v>
      </c>
      <c r="X29" s="2" t="s">
        <v>992</v>
      </c>
      <c r="Y29" s="2" t="s">
        <v>80</v>
      </c>
      <c r="Z29" s="2"/>
      <c r="AA29" s="2"/>
      <c r="AB29" s="2"/>
      <c r="AC29" s="2" t="s">
        <v>79</v>
      </c>
      <c r="AD29" s="2" t="s">
        <v>993</v>
      </c>
      <c r="AE29" s="2" t="s">
        <v>986</v>
      </c>
      <c r="AF29" s="2" t="s">
        <v>82</v>
      </c>
      <c r="AG29" s="2">
        <v>8.5</v>
      </c>
      <c r="AH29" s="2" t="s">
        <v>84</v>
      </c>
      <c r="AI29" s="2" t="s">
        <v>84</v>
      </c>
      <c r="AJ29" s="2" t="s">
        <v>84</v>
      </c>
      <c r="AK29" s="2" t="s">
        <v>84</v>
      </c>
      <c r="AL29" s="2" t="s">
        <v>84</v>
      </c>
      <c r="AM29" s="2" t="s">
        <v>84</v>
      </c>
      <c r="AN29" s="2" t="s">
        <v>84</v>
      </c>
      <c r="AO29" s="2" t="s">
        <v>86</v>
      </c>
      <c r="AP29" s="2" t="s">
        <v>84</v>
      </c>
      <c r="AQ29" s="2" t="s">
        <v>85</v>
      </c>
      <c r="AR29" s="2" t="s">
        <v>106</v>
      </c>
      <c r="AS29" s="2" t="s">
        <v>80</v>
      </c>
      <c r="AT29" s="2"/>
      <c r="AU29" s="2" t="s">
        <v>80</v>
      </c>
      <c r="AV29" s="2" t="s">
        <v>79</v>
      </c>
      <c r="AW29" s="2" t="s">
        <v>92</v>
      </c>
      <c r="AX29" s="2" t="s">
        <v>994</v>
      </c>
      <c r="AY29" s="2" t="s">
        <v>100</v>
      </c>
      <c r="AZ29" s="2" t="s">
        <v>995</v>
      </c>
      <c r="BA29" s="2" t="s">
        <v>286</v>
      </c>
      <c r="BB29" s="2" t="s">
        <v>79</v>
      </c>
      <c r="BC29" s="2" t="s">
        <v>203</v>
      </c>
      <c r="BD29" s="2" t="s">
        <v>996</v>
      </c>
      <c r="BE29" s="2" t="s">
        <v>153</v>
      </c>
      <c r="BF29" s="2" t="s">
        <v>997</v>
      </c>
      <c r="BG29" s="2" t="s">
        <v>92</v>
      </c>
      <c r="BH29" s="2" t="s">
        <v>79</v>
      </c>
      <c r="BI29" s="2" t="s">
        <v>107</v>
      </c>
      <c r="BJ29" s="2" t="s">
        <v>998</v>
      </c>
      <c r="BK29" s="2" t="s">
        <v>79</v>
      </c>
      <c r="BL29" s="2" t="s">
        <v>109</v>
      </c>
      <c r="BM29" s="2">
        <v>2022</v>
      </c>
    </row>
    <row r="30" spans="1:65" ht="409.5" x14ac:dyDescent="0.25">
      <c r="A30" s="2" t="s">
        <v>950</v>
      </c>
      <c r="B30" s="2" t="s">
        <v>79</v>
      </c>
      <c r="C30" s="2" t="s">
        <v>953</v>
      </c>
      <c r="D30" s="2" t="s">
        <v>79</v>
      </c>
      <c r="E30" s="2" t="s">
        <v>79</v>
      </c>
      <c r="F30" s="2" t="s">
        <v>954</v>
      </c>
      <c r="G30" s="2" t="s">
        <v>143</v>
      </c>
      <c r="H30" s="2" t="s">
        <v>79</v>
      </c>
      <c r="I30" s="2" t="s">
        <v>90</v>
      </c>
      <c r="J30" s="2" t="s">
        <v>111</v>
      </c>
      <c r="K30" s="2" t="s">
        <v>79</v>
      </c>
      <c r="L30" s="2" t="s">
        <v>92</v>
      </c>
      <c r="M30" s="2" t="s">
        <v>955</v>
      </c>
      <c r="N30" s="2"/>
      <c r="O30" s="2" t="s">
        <v>155</v>
      </c>
      <c r="P30" s="2" t="s">
        <v>80</v>
      </c>
      <c r="Q30" s="2"/>
      <c r="R30" s="2" t="s">
        <v>92</v>
      </c>
      <c r="S30" s="2" t="s">
        <v>951</v>
      </c>
      <c r="T30" s="2" t="s">
        <v>956</v>
      </c>
      <c r="U30" s="2" t="s">
        <v>957</v>
      </c>
      <c r="V30" s="2" t="s">
        <v>95</v>
      </c>
      <c r="W30" s="2" t="s">
        <v>958</v>
      </c>
      <c r="X30" s="2" t="s">
        <v>959</v>
      </c>
      <c r="Y30" s="2" t="s">
        <v>80</v>
      </c>
      <c r="Z30" s="2"/>
      <c r="AA30" s="2"/>
      <c r="AB30" s="2"/>
      <c r="AC30" s="2" t="s">
        <v>79</v>
      </c>
      <c r="AD30" s="2" t="s">
        <v>960</v>
      </c>
      <c r="AE30" s="2" t="s">
        <v>952</v>
      </c>
      <c r="AF30" s="2" t="s">
        <v>82</v>
      </c>
      <c r="AG30" s="2">
        <v>8.5</v>
      </c>
      <c r="AH30" s="2" t="s">
        <v>84</v>
      </c>
      <c r="AI30" s="2" t="s">
        <v>84</v>
      </c>
      <c r="AJ30" s="2" t="s">
        <v>84</v>
      </c>
      <c r="AK30" s="2" t="s">
        <v>84</v>
      </c>
      <c r="AL30" s="2" t="s">
        <v>84</v>
      </c>
      <c r="AM30" s="2" t="s">
        <v>84</v>
      </c>
      <c r="AN30" s="2" t="s">
        <v>84</v>
      </c>
      <c r="AO30" s="2" t="s">
        <v>86</v>
      </c>
      <c r="AP30" s="2" t="s">
        <v>84</v>
      </c>
      <c r="AQ30" s="2" t="s">
        <v>85</v>
      </c>
      <c r="AR30" s="2" t="s">
        <v>106</v>
      </c>
      <c r="AS30" s="2" t="s">
        <v>80</v>
      </c>
      <c r="AT30" s="2"/>
      <c r="AU30" s="2" t="s">
        <v>80</v>
      </c>
      <c r="AV30" s="2" t="s">
        <v>79</v>
      </c>
      <c r="AW30" s="2" t="s">
        <v>92</v>
      </c>
      <c r="AX30" s="2" t="s">
        <v>961</v>
      </c>
      <c r="AY30" s="2" t="s">
        <v>100</v>
      </c>
      <c r="AZ30" s="2" t="s">
        <v>962</v>
      </c>
      <c r="BA30" s="2" t="s">
        <v>963</v>
      </c>
      <c r="BB30" s="2" t="s">
        <v>79</v>
      </c>
      <c r="BC30" s="2" t="s">
        <v>964</v>
      </c>
      <c r="BD30" s="2" t="s">
        <v>965</v>
      </c>
      <c r="BE30" s="2" t="s">
        <v>758</v>
      </c>
      <c r="BF30" s="2" t="s">
        <v>966</v>
      </c>
      <c r="BG30" s="2" t="s">
        <v>79</v>
      </c>
      <c r="BH30" s="2" t="s">
        <v>79</v>
      </c>
      <c r="BI30" s="2" t="s">
        <v>429</v>
      </c>
      <c r="BJ30" s="2" t="s">
        <v>967</v>
      </c>
      <c r="BK30" s="2" t="s">
        <v>79</v>
      </c>
      <c r="BL30" s="2" t="s">
        <v>109</v>
      </c>
      <c r="BM30" s="2">
        <v>2022</v>
      </c>
    </row>
    <row r="31" spans="1:65" ht="409.5" x14ac:dyDescent="0.25">
      <c r="A31" s="2" t="s">
        <v>968</v>
      </c>
      <c r="B31" s="2" t="s">
        <v>80</v>
      </c>
      <c r="C31" s="2" t="s">
        <v>970</v>
      </c>
      <c r="D31" s="2" t="s">
        <v>79</v>
      </c>
      <c r="E31" s="2" t="s">
        <v>79</v>
      </c>
      <c r="F31" s="2" t="s">
        <v>971</v>
      </c>
      <c r="G31" s="2" t="s">
        <v>143</v>
      </c>
      <c r="H31" s="2" t="s">
        <v>80</v>
      </c>
      <c r="I31" s="2" t="s">
        <v>90</v>
      </c>
      <c r="J31" s="2" t="s">
        <v>143</v>
      </c>
      <c r="K31" s="2" t="s">
        <v>79</v>
      </c>
      <c r="L31" s="2" t="s">
        <v>92</v>
      </c>
      <c r="M31" s="2" t="s">
        <v>972</v>
      </c>
      <c r="N31" s="2" t="s">
        <v>276</v>
      </c>
      <c r="O31" s="2" t="s">
        <v>973</v>
      </c>
      <c r="P31" s="2" t="s">
        <v>79</v>
      </c>
      <c r="Q31" s="2" t="s">
        <v>974</v>
      </c>
      <c r="R31" s="2" t="s">
        <v>92</v>
      </c>
      <c r="S31" s="2" t="s">
        <v>951</v>
      </c>
      <c r="T31" s="2" t="s">
        <v>734</v>
      </c>
      <c r="U31" s="2" t="s">
        <v>975</v>
      </c>
      <c r="V31" s="2" t="s">
        <v>95</v>
      </c>
      <c r="W31" s="2" t="s">
        <v>976</v>
      </c>
      <c r="X31" s="2" t="s">
        <v>977</v>
      </c>
      <c r="Y31" s="2" t="s">
        <v>80</v>
      </c>
      <c r="Z31" s="2"/>
      <c r="AA31" s="2"/>
      <c r="AB31" s="2"/>
      <c r="AC31" s="2" t="s">
        <v>79</v>
      </c>
      <c r="AD31" s="2" t="s">
        <v>978</v>
      </c>
      <c r="AE31" s="2" t="s">
        <v>969</v>
      </c>
      <c r="AF31" s="2" t="s">
        <v>82</v>
      </c>
      <c r="AG31" s="2">
        <v>8.5</v>
      </c>
      <c r="AH31" s="2" t="s">
        <v>84</v>
      </c>
      <c r="AI31" s="2" t="s">
        <v>84</v>
      </c>
      <c r="AJ31" s="2" t="s">
        <v>84</v>
      </c>
      <c r="AK31" s="2" t="s">
        <v>86</v>
      </c>
      <c r="AL31" s="2" t="s">
        <v>84</v>
      </c>
      <c r="AM31" s="2" t="s">
        <v>84</v>
      </c>
      <c r="AN31" s="2" t="s">
        <v>84</v>
      </c>
      <c r="AO31" s="2" t="s">
        <v>84</v>
      </c>
      <c r="AP31" s="2" t="s">
        <v>85</v>
      </c>
      <c r="AQ31" s="2" t="s">
        <v>84</v>
      </c>
      <c r="AR31" s="2" t="s">
        <v>106</v>
      </c>
      <c r="AS31" s="2" t="s">
        <v>80</v>
      </c>
      <c r="AT31" s="2"/>
      <c r="AU31" s="2" t="s">
        <v>80</v>
      </c>
      <c r="AV31" s="2" t="s">
        <v>79</v>
      </c>
      <c r="AW31" s="2" t="s">
        <v>79</v>
      </c>
      <c r="AX31" s="2" t="s">
        <v>979</v>
      </c>
      <c r="AY31" s="2" t="s">
        <v>303</v>
      </c>
      <c r="AZ31" s="2" t="s">
        <v>980</v>
      </c>
      <c r="BA31" s="2" t="s">
        <v>514</v>
      </c>
      <c r="BB31" s="2" t="s">
        <v>79</v>
      </c>
      <c r="BC31" s="2" t="s">
        <v>981</v>
      </c>
      <c r="BD31" s="2" t="s">
        <v>982</v>
      </c>
      <c r="BE31" s="2" t="s">
        <v>648</v>
      </c>
      <c r="BF31" s="2"/>
      <c r="BG31" s="2" t="s">
        <v>80</v>
      </c>
      <c r="BH31" s="2" t="s">
        <v>79</v>
      </c>
      <c r="BI31" s="2" t="s">
        <v>143</v>
      </c>
      <c r="BJ31" s="2" t="s">
        <v>983</v>
      </c>
      <c r="BK31" s="2" t="s">
        <v>79</v>
      </c>
      <c r="BL31" s="2" t="s">
        <v>172</v>
      </c>
      <c r="BM31" s="2">
        <v>2022</v>
      </c>
    </row>
    <row r="32" spans="1:65" ht="409.5" x14ac:dyDescent="0.25">
      <c r="A32" s="2" t="s">
        <v>919</v>
      </c>
      <c r="B32" s="2" t="s">
        <v>92</v>
      </c>
      <c r="C32" s="2" t="s">
        <v>921</v>
      </c>
      <c r="D32" s="2" t="s">
        <v>79</v>
      </c>
      <c r="E32" s="2" t="s">
        <v>79</v>
      </c>
      <c r="F32" s="2" t="s">
        <v>922</v>
      </c>
      <c r="G32" s="2" t="s">
        <v>842</v>
      </c>
      <c r="H32" s="2" t="s">
        <v>79</v>
      </c>
      <c r="I32" s="2" t="s">
        <v>116</v>
      </c>
      <c r="J32" s="2" t="s">
        <v>111</v>
      </c>
      <c r="K32" s="2" t="s">
        <v>79</v>
      </c>
      <c r="L32" s="2" t="s">
        <v>79</v>
      </c>
      <c r="M32" s="2" t="s">
        <v>923</v>
      </c>
      <c r="N32" s="2" t="s">
        <v>143</v>
      </c>
      <c r="O32" s="2" t="s">
        <v>924</v>
      </c>
      <c r="P32" s="2" t="s">
        <v>79</v>
      </c>
      <c r="Q32" s="2" t="s">
        <v>925</v>
      </c>
      <c r="R32" s="2" t="s">
        <v>92</v>
      </c>
      <c r="S32" s="2" t="s">
        <v>502</v>
      </c>
      <c r="T32" s="2" t="s">
        <v>465</v>
      </c>
      <c r="U32" s="2" t="s">
        <v>926</v>
      </c>
      <c r="V32" s="2" t="s">
        <v>95</v>
      </c>
      <c r="W32" s="2" t="s">
        <v>927</v>
      </c>
      <c r="X32" s="2" t="s">
        <v>928</v>
      </c>
      <c r="Y32" s="2" t="s">
        <v>80</v>
      </c>
      <c r="Z32" s="2"/>
      <c r="AA32" s="2"/>
      <c r="AB32" s="2"/>
      <c r="AC32" s="2" t="s">
        <v>79</v>
      </c>
      <c r="AD32" s="2" t="s">
        <v>929</v>
      </c>
      <c r="AE32" s="2" t="s">
        <v>920</v>
      </c>
      <c r="AF32" s="2" t="s">
        <v>82</v>
      </c>
      <c r="AG32" s="2">
        <v>9</v>
      </c>
      <c r="AH32" s="2" t="s">
        <v>84</v>
      </c>
      <c r="AI32" s="2" t="s">
        <v>84</v>
      </c>
      <c r="AJ32" s="2" t="s">
        <v>84</v>
      </c>
      <c r="AK32" s="2" t="s">
        <v>84</v>
      </c>
      <c r="AL32" s="2" t="s">
        <v>84</v>
      </c>
      <c r="AM32" s="2" t="s">
        <v>84</v>
      </c>
      <c r="AN32" s="2" t="s">
        <v>85</v>
      </c>
      <c r="AO32" s="2" t="s">
        <v>84</v>
      </c>
      <c r="AP32" s="2" t="s">
        <v>84</v>
      </c>
      <c r="AQ32" s="2" t="s">
        <v>85</v>
      </c>
      <c r="AR32" s="2" t="s">
        <v>79</v>
      </c>
      <c r="AS32" s="2" t="s">
        <v>79</v>
      </c>
      <c r="AT32" s="2" t="s">
        <v>930</v>
      </c>
      <c r="AU32" s="2" t="s">
        <v>106</v>
      </c>
      <c r="AV32" s="2" t="s">
        <v>79</v>
      </c>
      <c r="AW32" s="2" t="s">
        <v>79</v>
      </c>
      <c r="AX32" s="2" t="s">
        <v>931</v>
      </c>
      <c r="AY32" s="2" t="s">
        <v>100</v>
      </c>
      <c r="AZ32" s="2" t="s">
        <v>932</v>
      </c>
      <c r="BA32" s="2" t="s">
        <v>709</v>
      </c>
      <c r="BB32" s="2" t="s">
        <v>79</v>
      </c>
      <c r="BC32" s="2" t="s">
        <v>287</v>
      </c>
      <c r="BD32" s="2" t="s">
        <v>933</v>
      </c>
      <c r="BE32" s="2" t="s">
        <v>856</v>
      </c>
      <c r="BF32" s="2"/>
      <c r="BG32" s="2" t="s">
        <v>80</v>
      </c>
      <c r="BH32" s="2" t="s">
        <v>79</v>
      </c>
      <c r="BI32" s="2" t="s">
        <v>206</v>
      </c>
      <c r="BJ32" s="2" t="s">
        <v>934</v>
      </c>
      <c r="BK32" s="2" t="s">
        <v>79</v>
      </c>
      <c r="BL32" s="2" t="s">
        <v>109</v>
      </c>
      <c r="BM32" s="2">
        <v>2021</v>
      </c>
    </row>
    <row r="33" spans="1:65" ht="409.5" x14ac:dyDescent="0.25">
      <c r="A33" s="2" t="s">
        <v>903</v>
      </c>
      <c r="B33" s="2" t="s">
        <v>92</v>
      </c>
      <c r="C33" s="2" t="s">
        <v>906</v>
      </c>
      <c r="D33" s="2" t="s">
        <v>79</v>
      </c>
      <c r="E33" s="2" t="s">
        <v>79</v>
      </c>
      <c r="F33" s="2" t="s">
        <v>907</v>
      </c>
      <c r="G33" s="2" t="s">
        <v>842</v>
      </c>
      <c r="H33" s="2" t="s">
        <v>79</v>
      </c>
      <c r="I33" s="2" t="s">
        <v>116</v>
      </c>
      <c r="J33" s="2" t="s">
        <v>189</v>
      </c>
      <c r="K33" s="2" t="s">
        <v>79</v>
      </c>
      <c r="L33" s="2" t="s">
        <v>79</v>
      </c>
      <c r="M33" s="2" t="s">
        <v>908</v>
      </c>
      <c r="N33" s="2"/>
      <c r="O33" s="2" t="s">
        <v>155</v>
      </c>
      <c r="P33" s="2" t="s">
        <v>80</v>
      </c>
      <c r="Q33" s="2"/>
      <c r="R33" s="2" t="s">
        <v>92</v>
      </c>
      <c r="S33" s="2" t="s">
        <v>904</v>
      </c>
      <c r="T33" s="2" t="s">
        <v>909</v>
      </c>
      <c r="U33" s="2" t="s">
        <v>910</v>
      </c>
      <c r="V33" s="2" t="s">
        <v>95</v>
      </c>
      <c r="W33" s="2" t="s">
        <v>911</v>
      </c>
      <c r="X33" s="2" t="s">
        <v>912</v>
      </c>
      <c r="Y33" s="2" t="s">
        <v>80</v>
      </c>
      <c r="Z33" s="2"/>
      <c r="AA33" s="2"/>
      <c r="AB33" s="2"/>
      <c r="AC33" s="2" t="s">
        <v>79</v>
      </c>
      <c r="AD33" s="2" t="s">
        <v>913</v>
      </c>
      <c r="AE33" s="2" t="s">
        <v>905</v>
      </c>
      <c r="AF33" s="2" t="s">
        <v>82</v>
      </c>
      <c r="AG33" s="2">
        <v>8.5</v>
      </c>
      <c r="AH33" s="2" t="s">
        <v>84</v>
      </c>
      <c r="AI33" s="2" t="s">
        <v>84</v>
      </c>
      <c r="AJ33" s="2" t="s">
        <v>84</v>
      </c>
      <c r="AK33" s="2" t="s">
        <v>84</v>
      </c>
      <c r="AL33" s="2" t="s">
        <v>84</v>
      </c>
      <c r="AM33" s="2" t="s">
        <v>84</v>
      </c>
      <c r="AN33" s="2" t="s">
        <v>84</v>
      </c>
      <c r="AO33" s="2" t="s">
        <v>86</v>
      </c>
      <c r="AP33" s="2" t="s">
        <v>84</v>
      </c>
      <c r="AQ33" s="2" t="s">
        <v>85</v>
      </c>
      <c r="AR33" s="2" t="s">
        <v>80</v>
      </c>
      <c r="AS33" s="2" t="s">
        <v>80</v>
      </c>
      <c r="AT33" s="2"/>
      <c r="AU33" s="2" t="s">
        <v>80</v>
      </c>
      <c r="AV33" s="2" t="s">
        <v>79</v>
      </c>
      <c r="AW33" s="2" t="s">
        <v>79</v>
      </c>
      <c r="AX33" s="2" t="s">
        <v>914</v>
      </c>
      <c r="AY33" s="2" t="s">
        <v>100</v>
      </c>
      <c r="AZ33" s="2" t="s">
        <v>915</v>
      </c>
      <c r="BA33" s="2" t="s">
        <v>286</v>
      </c>
      <c r="BB33" s="2" t="s">
        <v>79</v>
      </c>
      <c r="BC33" s="2" t="s">
        <v>287</v>
      </c>
      <c r="BD33" s="2" t="s">
        <v>916</v>
      </c>
      <c r="BE33" s="2" t="s">
        <v>856</v>
      </c>
      <c r="BF33" s="2" t="s">
        <v>917</v>
      </c>
      <c r="BG33" s="2" t="s">
        <v>92</v>
      </c>
      <c r="BH33" s="2" t="s">
        <v>79</v>
      </c>
      <c r="BI33" s="2" t="s">
        <v>107</v>
      </c>
      <c r="BJ33" s="2" t="s">
        <v>918</v>
      </c>
      <c r="BK33" s="2" t="s">
        <v>79</v>
      </c>
      <c r="BL33" s="2" t="s">
        <v>109</v>
      </c>
      <c r="BM33" s="2">
        <v>2021</v>
      </c>
    </row>
    <row r="34" spans="1:65" ht="409.5" x14ac:dyDescent="0.25">
      <c r="A34" s="2" t="s">
        <v>888</v>
      </c>
      <c r="B34" s="2" t="s">
        <v>92</v>
      </c>
      <c r="C34" s="2" t="s">
        <v>891</v>
      </c>
      <c r="D34" s="2" t="s">
        <v>79</v>
      </c>
      <c r="E34" s="2" t="s">
        <v>79</v>
      </c>
      <c r="F34" s="2" t="s">
        <v>892</v>
      </c>
      <c r="G34" s="2" t="s">
        <v>89</v>
      </c>
      <c r="H34" s="2" t="s">
        <v>79</v>
      </c>
      <c r="I34" s="2" t="s">
        <v>90</v>
      </c>
      <c r="J34" s="2" t="s">
        <v>111</v>
      </c>
      <c r="K34" s="2" t="s">
        <v>79</v>
      </c>
      <c r="L34" s="2" t="s">
        <v>79</v>
      </c>
      <c r="M34" s="2" t="s">
        <v>893</v>
      </c>
      <c r="N34" s="2"/>
      <c r="O34" s="2" t="s">
        <v>155</v>
      </c>
      <c r="P34" s="2" t="s">
        <v>80</v>
      </c>
      <c r="Q34" s="2"/>
      <c r="R34" s="2" t="s">
        <v>92</v>
      </c>
      <c r="S34" s="2" t="s">
        <v>889</v>
      </c>
      <c r="T34" s="2" t="s">
        <v>243</v>
      </c>
      <c r="U34" s="2" t="s">
        <v>894</v>
      </c>
      <c r="V34" s="2" t="s">
        <v>95</v>
      </c>
      <c r="W34" s="2" t="s">
        <v>895</v>
      </c>
      <c r="X34" s="2" t="s">
        <v>896</v>
      </c>
      <c r="Y34" s="2" t="s">
        <v>80</v>
      </c>
      <c r="Z34" s="2"/>
      <c r="AA34" s="2"/>
      <c r="AB34" s="2"/>
      <c r="AC34" s="2" t="s">
        <v>79</v>
      </c>
      <c r="AD34" s="2" t="s">
        <v>897</v>
      </c>
      <c r="AE34" s="2" t="s">
        <v>890</v>
      </c>
      <c r="AF34" s="2" t="s">
        <v>82</v>
      </c>
      <c r="AG34" s="2">
        <v>8.5</v>
      </c>
      <c r="AH34" s="2" t="s">
        <v>84</v>
      </c>
      <c r="AI34" s="2" t="s">
        <v>84</v>
      </c>
      <c r="AJ34" s="2" t="s">
        <v>84</v>
      </c>
      <c r="AK34" s="2" t="s">
        <v>84</v>
      </c>
      <c r="AL34" s="2" t="s">
        <v>84</v>
      </c>
      <c r="AM34" s="2" t="s">
        <v>84</v>
      </c>
      <c r="AN34" s="2" t="s">
        <v>84</v>
      </c>
      <c r="AO34" s="2" t="s">
        <v>86</v>
      </c>
      <c r="AP34" s="2" t="s">
        <v>85</v>
      </c>
      <c r="AQ34" s="2" t="s">
        <v>84</v>
      </c>
      <c r="AR34" s="2" t="s">
        <v>80</v>
      </c>
      <c r="AS34" s="2" t="s">
        <v>80</v>
      </c>
      <c r="AT34" s="2"/>
      <c r="AU34" s="2" t="s">
        <v>80</v>
      </c>
      <c r="AV34" s="2" t="s">
        <v>79</v>
      </c>
      <c r="AW34" s="2" t="s">
        <v>79</v>
      </c>
      <c r="AX34" s="2" t="s">
        <v>898</v>
      </c>
      <c r="AY34" s="2" t="s">
        <v>100</v>
      </c>
      <c r="AZ34" s="2" t="s">
        <v>899</v>
      </c>
      <c r="BA34" s="2" t="s">
        <v>709</v>
      </c>
      <c r="BB34" s="2" t="s">
        <v>79</v>
      </c>
      <c r="BC34" s="2" t="s">
        <v>168</v>
      </c>
      <c r="BD34" s="2" t="s">
        <v>900</v>
      </c>
      <c r="BE34" s="2" t="s">
        <v>153</v>
      </c>
      <c r="BF34" s="2" t="s">
        <v>901</v>
      </c>
      <c r="BG34" s="2" t="s">
        <v>92</v>
      </c>
      <c r="BH34" s="2" t="s">
        <v>79</v>
      </c>
      <c r="BI34" s="2" t="s">
        <v>143</v>
      </c>
      <c r="BJ34" s="2" t="s">
        <v>902</v>
      </c>
      <c r="BK34" s="2" t="s">
        <v>79</v>
      </c>
      <c r="BL34" s="2" t="s">
        <v>109</v>
      </c>
      <c r="BM34" s="2">
        <v>2021</v>
      </c>
    </row>
    <row r="35" spans="1:65" ht="409.5" x14ac:dyDescent="0.25">
      <c r="A35" s="2" t="s">
        <v>874</v>
      </c>
      <c r="B35" s="2" t="s">
        <v>80</v>
      </c>
      <c r="C35" s="2" t="s">
        <v>876</v>
      </c>
      <c r="D35" s="2" t="s">
        <v>79</v>
      </c>
      <c r="E35" s="2" t="s">
        <v>79</v>
      </c>
      <c r="F35" s="2" t="s">
        <v>877</v>
      </c>
      <c r="G35" s="2" t="s">
        <v>143</v>
      </c>
      <c r="H35" s="2" t="s">
        <v>106</v>
      </c>
      <c r="I35" s="2" t="s">
        <v>116</v>
      </c>
      <c r="J35" s="2" t="s">
        <v>143</v>
      </c>
      <c r="K35" s="2" t="s">
        <v>79</v>
      </c>
      <c r="L35" s="2" t="s">
        <v>79</v>
      </c>
      <c r="M35" s="2" t="s">
        <v>878</v>
      </c>
      <c r="N35" s="2"/>
      <c r="O35" s="2" t="s">
        <v>155</v>
      </c>
      <c r="P35" s="2" t="s">
        <v>80</v>
      </c>
      <c r="Q35" s="2"/>
      <c r="R35" s="2" t="s">
        <v>92</v>
      </c>
      <c r="S35" s="2" t="s">
        <v>112</v>
      </c>
      <c r="T35" s="2" t="s">
        <v>864</v>
      </c>
      <c r="U35" s="2" t="s">
        <v>879</v>
      </c>
      <c r="V35" s="2" t="s">
        <v>95</v>
      </c>
      <c r="W35" s="2" t="s">
        <v>880</v>
      </c>
      <c r="X35" s="2" t="s">
        <v>881</v>
      </c>
      <c r="Y35" s="2" t="s">
        <v>80</v>
      </c>
      <c r="Z35" s="2"/>
      <c r="AA35" s="2"/>
      <c r="AB35" s="2"/>
      <c r="AC35" s="2" t="s">
        <v>79</v>
      </c>
      <c r="AD35" s="2" t="s">
        <v>882</v>
      </c>
      <c r="AE35" s="2" t="s">
        <v>875</v>
      </c>
      <c r="AF35" s="2" t="s">
        <v>82</v>
      </c>
      <c r="AG35" s="2">
        <v>8.5</v>
      </c>
      <c r="AH35" s="2" t="s">
        <v>84</v>
      </c>
      <c r="AI35" s="2" t="s">
        <v>84</v>
      </c>
      <c r="AJ35" s="2" t="s">
        <v>84</v>
      </c>
      <c r="AK35" s="2" t="s">
        <v>84</v>
      </c>
      <c r="AL35" s="2" t="s">
        <v>84</v>
      </c>
      <c r="AM35" s="2" t="s">
        <v>84</v>
      </c>
      <c r="AN35" s="2" t="s">
        <v>84</v>
      </c>
      <c r="AO35" s="2" t="s">
        <v>86</v>
      </c>
      <c r="AP35" s="2" t="s">
        <v>84</v>
      </c>
      <c r="AQ35" s="2" t="s">
        <v>85</v>
      </c>
      <c r="AR35" s="2" t="s">
        <v>80</v>
      </c>
      <c r="AS35" s="2" t="s">
        <v>80</v>
      </c>
      <c r="AT35" s="2"/>
      <c r="AU35" s="2" t="s">
        <v>80</v>
      </c>
      <c r="AV35" s="2" t="s">
        <v>79</v>
      </c>
      <c r="AW35" s="2" t="s">
        <v>92</v>
      </c>
      <c r="AX35" s="2" t="s">
        <v>883</v>
      </c>
      <c r="AY35" s="2" t="s">
        <v>100</v>
      </c>
      <c r="AZ35" s="2" t="s">
        <v>884</v>
      </c>
      <c r="BA35" s="2" t="s">
        <v>202</v>
      </c>
      <c r="BB35" s="2" t="s">
        <v>79</v>
      </c>
      <c r="BC35" s="2" t="s">
        <v>854</v>
      </c>
      <c r="BD35" s="2" t="s">
        <v>885</v>
      </c>
      <c r="BE35" s="2" t="s">
        <v>648</v>
      </c>
      <c r="BF35" s="2" t="s">
        <v>886</v>
      </c>
      <c r="BG35" s="2" t="s">
        <v>92</v>
      </c>
      <c r="BH35" s="2" t="s">
        <v>79</v>
      </c>
      <c r="BI35" s="2" t="s">
        <v>107</v>
      </c>
      <c r="BJ35" s="2" t="s">
        <v>887</v>
      </c>
      <c r="BK35" s="2" t="s">
        <v>79</v>
      </c>
      <c r="BL35" s="2" t="s">
        <v>109</v>
      </c>
      <c r="BM35" s="2">
        <v>2021</v>
      </c>
    </row>
    <row r="36" spans="1:65" ht="409.5" x14ac:dyDescent="0.25">
      <c r="A36" s="2" t="s">
        <v>837</v>
      </c>
      <c r="B36" s="2" t="s">
        <v>80</v>
      </c>
      <c r="C36" s="2" t="s">
        <v>840</v>
      </c>
      <c r="D36" s="2" t="s">
        <v>79</v>
      </c>
      <c r="E36" s="2" t="s">
        <v>79</v>
      </c>
      <c r="F36" s="2" t="s">
        <v>841</v>
      </c>
      <c r="G36" s="2" t="s">
        <v>842</v>
      </c>
      <c r="H36" s="2" t="s">
        <v>80</v>
      </c>
      <c r="I36" s="2" t="s">
        <v>116</v>
      </c>
      <c r="J36" s="2" t="s">
        <v>143</v>
      </c>
      <c r="K36" s="2" t="s">
        <v>79</v>
      </c>
      <c r="L36" s="2" t="s">
        <v>79</v>
      </c>
      <c r="M36" s="2" t="s">
        <v>843</v>
      </c>
      <c r="N36" s="2" t="s">
        <v>143</v>
      </c>
      <c r="O36" s="2" t="s">
        <v>844</v>
      </c>
      <c r="P36" s="2" t="s">
        <v>79</v>
      </c>
      <c r="Q36" s="2" t="s">
        <v>845</v>
      </c>
      <c r="R36" s="2" t="s">
        <v>92</v>
      </c>
      <c r="S36" s="2" t="s">
        <v>838</v>
      </c>
      <c r="T36" s="2" t="s">
        <v>437</v>
      </c>
      <c r="U36" s="2" t="s">
        <v>846</v>
      </c>
      <c r="V36" s="2" t="s">
        <v>95</v>
      </c>
      <c r="W36" s="2" t="s">
        <v>847</v>
      </c>
      <c r="X36" s="2" t="s">
        <v>848</v>
      </c>
      <c r="Y36" s="2" t="s">
        <v>80</v>
      </c>
      <c r="Z36" s="2"/>
      <c r="AA36" s="2"/>
      <c r="AB36" s="2" t="s">
        <v>849</v>
      </c>
      <c r="AC36" s="2" t="s">
        <v>79</v>
      </c>
      <c r="AD36" s="2" t="s">
        <v>850</v>
      </c>
      <c r="AE36" s="2" t="s">
        <v>839</v>
      </c>
      <c r="AF36" s="2" t="s">
        <v>82</v>
      </c>
      <c r="AG36" s="2">
        <v>10</v>
      </c>
      <c r="AH36" s="2" t="s">
        <v>84</v>
      </c>
      <c r="AI36" s="2" t="s">
        <v>84</v>
      </c>
      <c r="AJ36" s="2" t="s">
        <v>84</v>
      </c>
      <c r="AK36" s="2" t="s">
        <v>84</v>
      </c>
      <c r="AL36" s="2" t="s">
        <v>84</v>
      </c>
      <c r="AM36" s="2" t="s">
        <v>84</v>
      </c>
      <c r="AN36" s="2" t="s">
        <v>84</v>
      </c>
      <c r="AO36" s="2" t="s">
        <v>84</v>
      </c>
      <c r="AP36" s="2" t="s">
        <v>84</v>
      </c>
      <c r="AQ36" s="2" t="s">
        <v>84</v>
      </c>
      <c r="AR36" s="2" t="s">
        <v>80</v>
      </c>
      <c r="AS36" s="2" t="s">
        <v>80</v>
      </c>
      <c r="AT36" s="2"/>
      <c r="AU36" s="2" t="s">
        <v>80</v>
      </c>
      <c r="AV36" s="2" t="s">
        <v>79</v>
      </c>
      <c r="AW36" s="2" t="s">
        <v>79</v>
      </c>
      <c r="AX36" s="2" t="s">
        <v>851</v>
      </c>
      <c r="AY36" s="2" t="s">
        <v>100</v>
      </c>
      <c r="AZ36" s="2" t="s">
        <v>852</v>
      </c>
      <c r="BA36" s="2" t="s">
        <v>853</v>
      </c>
      <c r="BB36" s="2" t="s">
        <v>79</v>
      </c>
      <c r="BC36" s="2" t="s">
        <v>854</v>
      </c>
      <c r="BD36" s="2" t="s">
        <v>855</v>
      </c>
      <c r="BE36" s="2" t="s">
        <v>856</v>
      </c>
      <c r="BF36" s="2"/>
      <c r="BG36" s="2" t="s">
        <v>80</v>
      </c>
      <c r="BH36" s="2" t="s">
        <v>79</v>
      </c>
      <c r="BI36" s="2" t="s">
        <v>107</v>
      </c>
      <c r="BJ36" s="2" t="s">
        <v>857</v>
      </c>
      <c r="BK36" s="2" t="s">
        <v>79</v>
      </c>
      <c r="BL36" s="2" t="s">
        <v>109</v>
      </c>
      <c r="BM36" s="2">
        <v>2021</v>
      </c>
    </row>
    <row r="37" spans="1:65" ht="409.5" x14ac:dyDescent="0.25">
      <c r="A37" s="2" t="s">
        <v>795</v>
      </c>
      <c r="B37" s="2" t="s">
        <v>92</v>
      </c>
      <c r="C37" s="2" t="s">
        <v>798</v>
      </c>
      <c r="D37" s="2" t="s">
        <v>79</v>
      </c>
      <c r="E37" s="2" t="s">
        <v>79</v>
      </c>
      <c r="F37" s="2" t="s">
        <v>799</v>
      </c>
      <c r="G37" s="2" t="s">
        <v>89</v>
      </c>
      <c r="H37" s="2" t="s">
        <v>79</v>
      </c>
      <c r="I37" s="2" t="s">
        <v>90</v>
      </c>
      <c r="J37" s="2" t="s">
        <v>111</v>
      </c>
      <c r="K37" s="2" t="s">
        <v>79</v>
      </c>
      <c r="L37" s="2" t="s">
        <v>92</v>
      </c>
      <c r="M37" s="2" t="s">
        <v>800</v>
      </c>
      <c r="N37" s="2"/>
      <c r="O37" s="2"/>
      <c r="P37" s="2" t="s">
        <v>79</v>
      </c>
      <c r="Q37" s="2" t="s">
        <v>801</v>
      </c>
      <c r="R37" s="2" t="s">
        <v>802</v>
      </c>
      <c r="S37" s="2" t="s">
        <v>796</v>
      </c>
      <c r="T37" s="2" t="s">
        <v>803</v>
      </c>
      <c r="U37" s="2" t="s">
        <v>804</v>
      </c>
      <c r="V37" s="2" t="s">
        <v>805</v>
      </c>
      <c r="W37" s="2" t="s">
        <v>806</v>
      </c>
      <c r="X37" s="2" t="s">
        <v>807</v>
      </c>
      <c r="Y37" s="2" t="s">
        <v>79</v>
      </c>
      <c r="Z37" s="2" t="s">
        <v>808</v>
      </c>
      <c r="AA37" s="2" t="s">
        <v>809</v>
      </c>
      <c r="AB37" s="2" t="s">
        <v>810</v>
      </c>
      <c r="AC37" s="2" t="s">
        <v>79</v>
      </c>
      <c r="AD37" s="2" t="s">
        <v>811</v>
      </c>
      <c r="AE37" s="2" t="s">
        <v>797</v>
      </c>
      <c r="AF37" s="2" t="s">
        <v>82</v>
      </c>
      <c r="AG37" s="2">
        <v>10</v>
      </c>
      <c r="AH37" s="2" t="s">
        <v>84</v>
      </c>
      <c r="AI37" s="2" t="s">
        <v>84</v>
      </c>
      <c r="AJ37" s="2" t="s">
        <v>84</v>
      </c>
      <c r="AK37" s="2" t="s">
        <v>84</v>
      </c>
      <c r="AL37" s="2" t="s">
        <v>84</v>
      </c>
      <c r="AM37" s="2" t="s">
        <v>84</v>
      </c>
      <c r="AN37" s="2" t="s">
        <v>84</v>
      </c>
      <c r="AO37" s="2" t="s">
        <v>84</v>
      </c>
      <c r="AP37" s="2" t="s">
        <v>84</v>
      </c>
      <c r="AQ37" s="2" t="s">
        <v>84</v>
      </c>
      <c r="AR37" s="2" t="s">
        <v>106</v>
      </c>
      <c r="AS37" s="2" t="s">
        <v>79</v>
      </c>
      <c r="AT37" s="2" t="s">
        <v>812</v>
      </c>
      <c r="AU37" s="2" t="s">
        <v>106</v>
      </c>
      <c r="AV37" s="2" t="s">
        <v>79</v>
      </c>
      <c r="AW37" s="2" t="s">
        <v>79</v>
      </c>
      <c r="AX37" s="2" t="s">
        <v>813</v>
      </c>
      <c r="AY37" s="2" t="s">
        <v>100</v>
      </c>
      <c r="AZ37" s="2" t="s">
        <v>814</v>
      </c>
      <c r="BA37" s="2" t="s">
        <v>286</v>
      </c>
      <c r="BB37" s="2" t="s">
        <v>79</v>
      </c>
      <c r="BC37" s="2" t="s">
        <v>364</v>
      </c>
      <c r="BD37" s="2" t="s">
        <v>815</v>
      </c>
      <c r="BE37" s="2" t="s">
        <v>153</v>
      </c>
      <c r="BF37" s="2" t="s">
        <v>816</v>
      </c>
      <c r="BG37" s="2" t="s">
        <v>92</v>
      </c>
      <c r="BH37" s="2" t="s">
        <v>79</v>
      </c>
      <c r="BI37" s="2" t="s">
        <v>143</v>
      </c>
      <c r="BJ37" s="2" t="s">
        <v>817</v>
      </c>
      <c r="BK37" s="2" t="s">
        <v>79</v>
      </c>
      <c r="BL37" s="2" t="s">
        <v>172</v>
      </c>
      <c r="BM37" s="2">
        <v>2021</v>
      </c>
    </row>
    <row r="38" spans="1:65" ht="409.5" x14ac:dyDescent="0.25">
      <c r="A38" s="2" t="s">
        <v>858</v>
      </c>
      <c r="B38" s="2" t="s">
        <v>92</v>
      </c>
      <c r="C38" s="2" t="s">
        <v>861</v>
      </c>
      <c r="D38" s="2" t="s">
        <v>79</v>
      </c>
      <c r="E38" s="2" t="s">
        <v>79</v>
      </c>
      <c r="F38" s="2" t="s">
        <v>862</v>
      </c>
      <c r="G38" s="2" t="s">
        <v>89</v>
      </c>
      <c r="H38" s="2" t="s">
        <v>79</v>
      </c>
      <c r="I38" s="2" t="s">
        <v>116</v>
      </c>
      <c r="J38" s="2" t="s">
        <v>111</v>
      </c>
      <c r="K38" s="2" t="s">
        <v>79</v>
      </c>
      <c r="L38" s="2" t="s">
        <v>79</v>
      </c>
      <c r="M38" s="2" t="s">
        <v>863</v>
      </c>
      <c r="N38" s="2"/>
      <c r="O38" s="2" t="s">
        <v>155</v>
      </c>
      <c r="P38" s="2" t="s">
        <v>80</v>
      </c>
      <c r="Q38" s="2"/>
      <c r="R38" s="2" t="s">
        <v>92</v>
      </c>
      <c r="S38" s="2" t="s">
        <v>859</v>
      </c>
      <c r="T38" s="2" t="s">
        <v>864</v>
      </c>
      <c r="U38" s="2" t="s">
        <v>865</v>
      </c>
      <c r="V38" s="2" t="s">
        <v>95</v>
      </c>
      <c r="W38" s="2" t="s">
        <v>866</v>
      </c>
      <c r="X38" s="2" t="s">
        <v>867</v>
      </c>
      <c r="Y38" s="2" t="s">
        <v>80</v>
      </c>
      <c r="Z38" s="2"/>
      <c r="AA38" s="2"/>
      <c r="AB38" s="2"/>
      <c r="AC38" s="2" t="s">
        <v>79</v>
      </c>
      <c r="AD38" s="2" t="s">
        <v>868</v>
      </c>
      <c r="AE38" s="2" t="s">
        <v>860</v>
      </c>
      <c r="AF38" s="2" t="s">
        <v>82</v>
      </c>
      <c r="AG38" s="2">
        <v>8.5</v>
      </c>
      <c r="AH38" s="2" t="s">
        <v>84</v>
      </c>
      <c r="AI38" s="2" t="s">
        <v>84</v>
      </c>
      <c r="AJ38" s="2" t="s">
        <v>84</v>
      </c>
      <c r="AK38" s="2" t="s">
        <v>84</v>
      </c>
      <c r="AL38" s="2" t="s">
        <v>84</v>
      </c>
      <c r="AM38" s="2" t="s">
        <v>84</v>
      </c>
      <c r="AN38" s="2" t="s">
        <v>84</v>
      </c>
      <c r="AO38" s="2" t="s">
        <v>86</v>
      </c>
      <c r="AP38" s="2" t="s">
        <v>84</v>
      </c>
      <c r="AQ38" s="2" t="s">
        <v>85</v>
      </c>
      <c r="AR38" s="2" t="s">
        <v>80</v>
      </c>
      <c r="AS38" s="2" t="s">
        <v>80</v>
      </c>
      <c r="AT38" s="2"/>
      <c r="AU38" s="2" t="s">
        <v>80</v>
      </c>
      <c r="AV38" s="2" t="s">
        <v>79</v>
      </c>
      <c r="AW38" s="2" t="s">
        <v>79</v>
      </c>
      <c r="AX38" s="2" t="s">
        <v>869</v>
      </c>
      <c r="AY38" s="2" t="s">
        <v>100</v>
      </c>
      <c r="AZ38" s="2" t="s">
        <v>870</v>
      </c>
      <c r="BA38" s="2" t="s">
        <v>202</v>
      </c>
      <c r="BB38" s="2" t="s">
        <v>79</v>
      </c>
      <c r="BC38" s="2" t="s">
        <v>168</v>
      </c>
      <c r="BD38" s="2" t="s">
        <v>871</v>
      </c>
      <c r="BE38" s="2" t="s">
        <v>153</v>
      </c>
      <c r="BF38" s="2" t="s">
        <v>872</v>
      </c>
      <c r="BG38" s="2" t="s">
        <v>92</v>
      </c>
      <c r="BH38" s="2" t="s">
        <v>79</v>
      </c>
      <c r="BI38" s="2" t="s">
        <v>107</v>
      </c>
      <c r="BJ38" s="2" t="s">
        <v>873</v>
      </c>
      <c r="BK38" s="2" t="s">
        <v>79</v>
      </c>
      <c r="BL38" s="2" t="s">
        <v>109</v>
      </c>
      <c r="BM38" s="2">
        <v>2021</v>
      </c>
    </row>
    <row r="39" spans="1:65" ht="409.5" x14ac:dyDescent="0.25">
      <c r="A39" s="2" t="s">
        <v>1487</v>
      </c>
      <c r="B39" s="2" t="s">
        <v>80</v>
      </c>
      <c r="C39" s="2" t="s">
        <v>1490</v>
      </c>
      <c r="D39" s="2" t="s">
        <v>79</v>
      </c>
      <c r="E39" s="2"/>
      <c r="F39" s="2" t="s">
        <v>1491</v>
      </c>
      <c r="G39" s="2"/>
      <c r="H39" s="2" t="s">
        <v>106</v>
      </c>
      <c r="I39" s="2"/>
      <c r="J39" s="2" t="s">
        <v>111</v>
      </c>
      <c r="K39" s="2" t="s">
        <v>79</v>
      </c>
      <c r="L39" s="2"/>
      <c r="M39" s="2" t="s">
        <v>1492</v>
      </c>
      <c r="N39" s="2"/>
      <c r="O39" s="2"/>
      <c r="P39" s="2" t="s">
        <v>80</v>
      </c>
      <c r="Q39" s="2"/>
      <c r="R39" s="2" t="s">
        <v>92</v>
      </c>
      <c r="S39" s="2" t="s">
        <v>1488</v>
      </c>
      <c r="T39" s="2" t="s">
        <v>93</v>
      </c>
      <c r="U39" s="2" t="s">
        <v>1493</v>
      </c>
      <c r="V39" s="2" t="s">
        <v>95</v>
      </c>
      <c r="W39" s="2" t="s">
        <v>1494</v>
      </c>
      <c r="X39" s="2" t="s">
        <v>1495</v>
      </c>
      <c r="Y39" s="2" t="s">
        <v>80</v>
      </c>
      <c r="Z39" s="2"/>
      <c r="AA39" s="2"/>
      <c r="AB39" s="2" t="s">
        <v>1496</v>
      </c>
      <c r="AC39" s="2" t="s">
        <v>79</v>
      </c>
      <c r="AD39" s="2" t="s">
        <v>1497</v>
      </c>
      <c r="AE39" s="2" t="s">
        <v>1489</v>
      </c>
      <c r="AF39" s="2" t="s">
        <v>82</v>
      </c>
      <c r="AG39" s="2">
        <v>8</v>
      </c>
      <c r="AH39" s="2" t="s">
        <v>84</v>
      </c>
      <c r="AI39" s="2" t="s">
        <v>84</v>
      </c>
      <c r="AJ39" s="2" t="s">
        <v>84</v>
      </c>
      <c r="AK39" s="2" t="s">
        <v>86</v>
      </c>
      <c r="AL39" s="2" t="s">
        <v>84</v>
      </c>
      <c r="AM39" s="2" t="s">
        <v>84</v>
      </c>
      <c r="AN39" s="2" t="s">
        <v>84</v>
      </c>
      <c r="AO39" s="2" t="s">
        <v>84</v>
      </c>
      <c r="AP39" s="2" t="s">
        <v>86</v>
      </c>
      <c r="AQ39" s="2" t="s">
        <v>84</v>
      </c>
      <c r="AR39" s="2"/>
      <c r="AS39" s="2" t="s">
        <v>80</v>
      </c>
      <c r="AT39" s="2"/>
      <c r="AU39" s="2"/>
      <c r="AV39" s="2" t="s">
        <v>79</v>
      </c>
      <c r="AW39" s="2"/>
      <c r="AX39" s="2" t="s">
        <v>1498</v>
      </c>
      <c r="AY39" s="2" t="s">
        <v>303</v>
      </c>
      <c r="AZ39" s="2" t="s">
        <v>1499</v>
      </c>
      <c r="BA39" s="2" t="s">
        <v>514</v>
      </c>
      <c r="BB39" s="2" t="s">
        <v>79</v>
      </c>
      <c r="BC39" s="2"/>
      <c r="BD39" s="2" t="s">
        <v>1500</v>
      </c>
      <c r="BE39" s="2"/>
      <c r="BF39" s="2"/>
      <c r="BG39" s="2" t="s">
        <v>80</v>
      </c>
      <c r="BH39" s="2" t="s">
        <v>79</v>
      </c>
      <c r="BI39" s="2" t="s">
        <v>155</v>
      </c>
      <c r="BJ39" s="2"/>
      <c r="BK39" s="2" t="s">
        <v>80</v>
      </c>
      <c r="BL39" s="2" t="s">
        <v>172</v>
      </c>
      <c r="BM39" s="2">
        <v>2020</v>
      </c>
    </row>
    <row r="40" spans="1:65" ht="409.5" x14ac:dyDescent="0.25">
      <c r="A40" s="2" t="s">
        <v>1630</v>
      </c>
      <c r="B40" s="2" t="s">
        <v>92</v>
      </c>
      <c r="C40" s="2" t="s">
        <v>1632</v>
      </c>
      <c r="D40" s="2" t="s">
        <v>79</v>
      </c>
      <c r="E40" s="2" t="s">
        <v>79</v>
      </c>
      <c r="F40" s="2"/>
      <c r="G40" s="2" t="s">
        <v>89</v>
      </c>
      <c r="H40" s="2" t="s">
        <v>79</v>
      </c>
      <c r="I40" s="2" t="s">
        <v>116</v>
      </c>
      <c r="J40" s="2" t="s">
        <v>111</v>
      </c>
      <c r="K40" s="2" t="s">
        <v>79</v>
      </c>
      <c r="L40" s="2" t="s">
        <v>92</v>
      </c>
      <c r="M40" s="2"/>
      <c r="N40" s="2"/>
      <c r="O40" s="2" t="s">
        <v>155</v>
      </c>
      <c r="P40" s="2" t="s">
        <v>80</v>
      </c>
      <c r="Q40" s="2"/>
      <c r="R40" s="2" t="s">
        <v>92</v>
      </c>
      <c r="S40" s="2" t="s">
        <v>112</v>
      </c>
      <c r="T40" s="2" t="s">
        <v>213</v>
      </c>
      <c r="U40" s="2" t="s">
        <v>1633</v>
      </c>
      <c r="V40" s="2" t="s">
        <v>95</v>
      </c>
      <c r="W40" s="2" t="s">
        <v>1634</v>
      </c>
      <c r="X40" s="2" t="s">
        <v>1635</v>
      </c>
      <c r="Y40" s="2" t="s">
        <v>80</v>
      </c>
      <c r="Z40" s="2"/>
      <c r="AA40" s="2"/>
      <c r="AB40" s="2"/>
      <c r="AC40" s="2" t="s">
        <v>79</v>
      </c>
      <c r="AD40" s="2" t="s">
        <v>1636</v>
      </c>
      <c r="AE40" s="2" t="s">
        <v>1631</v>
      </c>
      <c r="AF40" s="2" t="s">
        <v>82</v>
      </c>
      <c r="AG40" s="2">
        <v>8</v>
      </c>
      <c r="AH40" s="2" t="s">
        <v>84</v>
      </c>
      <c r="AI40" s="2" t="s">
        <v>84</v>
      </c>
      <c r="AJ40" s="2" t="s">
        <v>84</v>
      </c>
      <c r="AK40" s="2" t="s">
        <v>84</v>
      </c>
      <c r="AL40" s="2" t="s">
        <v>84</v>
      </c>
      <c r="AM40" s="2" t="s">
        <v>84</v>
      </c>
      <c r="AN40" s="2" t="s">
        <v>85</v>
      </c>
      <c r="AO40" s="2" t="s">
        <v>86</v>
      </c>
      <c r="AP40" s="2" t="s">
        <v>84</v>
      </c>
      <c r="AQ40" s="2" t="s">
        <v>85</v>
      </c>
      <c r="AR40" s="2" t="s">
        <v>80</v>
      </c>
      <c r="AS40" s="2" t="s">
        <v>80</v>
      </c>
      <c r="AT40" s="2"/>
      <c r="AU40" s="2" t="s">
        <v>80</v>
      </c>
      <c r="AV40" s="2" t="s">
        <v>79</v>
      </c>
      <c r="AW40" s="2" t="s">
        <v>92</v>
      </c>
      <c r="AX40" s="2"/>
      <c r="AY40" s="2" t="s">
        <v>100</v>
      </c>
      <c r="AZ40" s="2" t="s">
        <v>1637</v>
      </c>
      <c r="BA40" s="2" t="s">
        <v>1638</v>
      </c>
      <c r="BB40" s="2" t="s">
        <v>79</v>
      </c>
      <c r="BC40" s="2" t="s">
        <v>444</v>
      </c>
      <c r="BD40" s="2" t="s">
        <v>1639</v>
      </c>
      <c r="BE40" s="2" t="s">
        <v>153</v>
      </c>
      <c r="BF40" s="2" t="s">
        <v>1640</v>
      </c>
      <c r="BG40" s="2" t="s">
        <v>92</v>
      </c>
      <c r="BH40" s="2" t="s">
        <v>79</v>
      </c>
      <c r="BI40" s="2" t="s">
        <v>107</v>
      </c>
      <c r="BJ40" s="2" t="s">
        <v>1641</v>
      </c>
      <c r="BK40" s="2" t="s">
        <v>79</v>
      </c>
      <c r="BL40" s="2" t="s">
        <v>109</v>
      </c>
      <c r="BM40" s="2">
        <v>2020</v>
      </c>
    </row>
    <row r="41" spans="1:65" ht="409.5" x14ac:dyDescent="0.25">
      <c r="A41" s="2" t="s">
        <v>1543</v>
      </c>
      <c r="B41" s="2" t="s">
        <v>92</v>
      </c>
      <c r="C41" s="2" t="s">
        <v>1546</v>
      </c>
      <c r="D41" s="2" t="s">
        <v>79</v>
      </c>
      <c r="E41" s="2"/>
      <c r="F41" s="2" t="s">
        <v>1547</v>
      </c>
      <c r="G41" s="2" t="s">
        <v>89</v>
      </c>
      <c r="H41" s="2" t="s">
        <v>106</v>
      </c>
      <c r="I41" s="2" t="s">
        <v>116</v>
      </c>
      <c r="J41" s="2" t="s">
        <v>111</v>
      </c>
      <c r="K41" s="2" t="s">
        <v>79</v>
      </c>
      <c r="L41" s="2"/>
      <c r="M41" s="2" t="s">
        <v>1548</v>
      </c>
      <c r="N41" s="2"/>
      <c r="O41" s="2" t="s">
        <v>155</v>
      </c>
      <c r="P41" s="2" t="s">
        <v>79</v>
      </c>
      <c r="Q41" s="2" t="s">
        <v>1549</v>
      </c>
      <c r="R41" s="2" t="s">
        <v>92</v>
      </c>
      <c r="S41" s="2" t="s">
        <v>1544</v>
      </c>
      <c r="T41" s="2" t="s">
        <v>465</v>
      </c>
      <c r="U41" s="2" t="s">
        <v>1550</v>
      </c>
      <c r="V41" s="2" t="s">
        <v>95</v>
      </c>
      <c r="W41" s="2" t="s">
        <v>1551</v>
      </c>
      <c r="X41" s="2" t="s">
        <v>1552</v>
      </c>
      <c r="Y41" s="2" t="s">
        <v>80</v>
      </c>
      <c r="Z41" s="2"/>
      <c r="AA41" s="2"/>
      <c r="AB41" s="2" t="s">
        <v>1553</v>
      </c>
      <c r="AC41" s="2" t="s">
        <v>79</v>
      </c>
      <c r="AD41" s="2" t="s">
        <v>1554</v>
      </c>
      <c r="AE41" s="2" t="s">
        <v>1545</v>
      </c>
      <c r="AF41" s="2" t="s">
        <v>82</v>
      </c>
      <c r="AG41" s="2">
        <v>9</v>
      </c>
      <c r="AH41" s="2" t="s">
        <v>84</v>
      </c>
      <c r="AI41" s="2" t="s">
        <v>84</v>
      </c>
      <c r="AJ41" s="2" t="s">
        <v>84</v>
      </c>
      <c r="AK41" s="2" t="s">
        <v>84</v>
      </c>
      <c r="AL41" s="2" t="s">
        <v>84</v>
      </c>
      <c r="AM41" s="2" t="s">
        <v>84</v>
      </c>
      <c r="AN41" s="2" t="s">
        <v>84</v>
      </c>
      <c r="AO41" s="2" t="s">
        <v>86</v>
      </c>
      <c r="AP41" s="2" t="s">
        <v>84</v>
      </c>
      <c r="AQ41" s="2" t="s">
        <v>84</v>
      </c>
      <c r="AR41" s="2" t="s">
        <v>106</v>
      </c>
      <c r="AS41" s="2" t="s">
        <v>80</v>
      </c>
      <c r="AT41" s="2"/>
      <c r="AU41" s="2" t="s">
        <v>106</v>
      </c>
      <c r="AV41" s="2" t="s">
        <v>79</v>
      </c>
      <c r="AW41" s="2"/>
      <c r="AX41" s="2" t="s">
        <v>1555</v>
      </c>
      <c r="AY41" s="2" t="s">
        <v>100</v>
      </c>
      <c r="AZ41" s="2" t="s">
        <v>1556</v>
      </c>
      <c r="BA41" s="2" t="s">
        <v>1557</v>
      </c>
      <c r="BB41" s="2" t="s">
        <v>79</v>
      </c>
      <c r="BC41" s="2"/>
      <c r="BD41" s="2" t="s">
        <v>1558</v>
      </c>
      <c r="BE41" s="2" t="s">
        <v>153</v>
      </c>
      <c r="BF41" s="2" t="s">
        <v>1559</v>
      </c>
      <c r="BG41" s="2" t="s">
        <v>92</v>
      </c>
      <c r="BH41" s="2" t="s">
        <v>79</v>
      </c>
      <c r="BI41" s="2" t="s">
        <v>107</v>
      </c>
      <c r="BJ41" s="2" t="s">
        <v>1560</v>
      </c>
      <c r="BK41" s="2" t="s">
        <v>79</v>
      </c>
      <c r="BL41" s="2" t="s">
        <v>109</v>
      </c>
      <c r="BM41" s="2">
        <v>2020</v>
      </c>
    </row>
    <row r="42" spans="1:65" ht="409.5" x14ac:dyDescent="0.25">
      <c r="A42" s="2" t="s">
        <v>1501</v>
      </c>
      <c r="B42" s="2" t="s">
        <v>80</v>
      </c>
      <c r="C42" s="2" t="s">
        <v>1503</v>
      </c>
      <c r="D42" s="2" t="s">
        <v>79</v>
      </c>
      <c r="E42" s="2"/>
      <c r="F42" s="2" t="s">
        <v>1504</v>
      </c>
      <c r="G42" s="2"/>
      <c r="H42" s="2" t="s">
        <v>106</v>
      </c>
      <c r="I42" s="2"/>
      <c r="J42" s="2" t="s">
        <v>111</v>
      </c>
      <c r="K42" s="2" t="s">
        <v>79</v>
      </c>
      <c r="L42" s="2"/>
      <c r="M42" s="2" t="s">
        <v>1505</v>
      </c>
      <c r="N42" s="2"/>
      <c r="O42" s="2" t="s">
        <v>155</v>
      </c>
      <c r="P42" s="2" t="s">
        <v>80</v>
      </c>
      <c r="Q42" s="2"/>
      <c r="R42" s="2" t="s">
        <v>92</v>
      </c>
      <c r="S42" s="2" t="s">
        <v>1488</v>
      </c>
      <c r="T42" s="2"/>
      <c r="U42" s="2" t="s">
        <v>1506</v>
      </c>
      <c r="V42" s="2" t="s">
        <v>95</v>
      </c>
      <c r="W42" s="2" t="s">
        <v>1507</v>
      </c>
      <c r="X42" s="2" t="s">
        <v>1508</v>
      </c>
      <c r="Y42" s="2" t="s">
        <v>80</v>
      </c>
      <c r="Z42" s="2"/>
      <c r="AA42" s="2"/>
      <c r="AB42" s="2"/>
      <c r="AC42" s="2" t="s">
        <v>79</v>
      </c>
      <c r="AD42" s="2" t="s">
        <v>1509</v>
      </c>
      <c r="AE42" s="2" t="s">
        <v>1502</v>
      </c>
      <c r="AF42" s="2" t="s">
        <v>82</v>
      </c>
      <c r="AG42" s="2">
        <v>9</v>
      </c>
      <c r="AH42" s="2" t="s">
        <v>84</v>
      </c>
      <c r="AI42" s="2" t="s">
        <v>84</v>
      </c>
      <c r="AJ42" s="2" t="s">
        <v>84</v>
      </c>
      <c r="AK42" s="2" t="s">
        <v>84</v>
      </c>
      <c r="AL42" s="2" t="s">
        <v>84</v>
      </c>
      <c r="AM42" s="2" t="s">
        <v>84</v>
      </c>
      <c r="AN42" s="2" t="s">
        <v>84</v>
      </c>
      <c r="AO42" s="2" t="s">
        <v>84</v>
      </c>
      <c r="AP42" s="2" t="s">
        <v>86</v>
      </c>
      <c r="AQ42" s="2" t="s">
        <v>84</v>
      </c>
      <c r="AR42" s="2" t="s">
        <v>106</v>
      </c>
      <c r="AS42" s="2" t="s">
        <v>80</v>
      </c>
      <c r="AT42" s="2"/>
      <c r="AU42" s="2" t="s">
        <v>106</v>
      </c>
      <c r="AV42" s="2" t="s">
        <v>79</v>
      </c>
      <c r="AW42" s="2"/>
      <c r="AX42" s="2" t="s">
        <v>1510</v>
      </c>
      <c r="AY42" s="2" t="s">
        <v>303</v>
      </c>
      <c r="AZ42" s="2" t="s">
        <v>1511</v>
      </c>
      <c r="BA42" s="2" t="s">
        <v>514</v>
      </c>
      <c r="BB42" s="2" t="s">
        <v>79</v>
      </c>
      <c r="BC42" s="2"/>
      <c r="BD42" s="2" t="s">
        <v>1512</v>
      </c>
      <c r="BE42" s="2"/>
      <c r="BF42" s="2"/>
      <c r="BG42" s="2" t="s">
        <v>80</v>
      </c>
      <c r="BH42" s="2" t="s">
        <v>79</v>
      </c>
      <c r="BI42" s="2" t="s">
        <v>155</v>
      </c>
      <c r="BJ42" s="2"/>
      <c r="BK42" s="2" t="s">
        <v>80</v>
      </c>
      <c r="BL42" s="2" t="s">
        <v>172</v>
      </c>
      <c r="BM42" s="2">
        <v>2020</v>
      </c>
    </row>
    <row r="43" spans="1:65" ht="409.5" x14ac:dyDescent="0.25">
      <c r="A43" s="2" t="s">
        <v>1561</v>
      </c>
      <c r="B43" s="2" t="s">
        <v>80</v>
      </c>
      <c r="C43" s="2" t="s">
        <v>1563</v>
      </c>
      <c r="D43" s="2" t="s">
        <v>79</v>
      </c>
      <c r="E43" s="2"/>
      <c r="F43" s="2" t="s">
        <v>1564</v>
      </c>
      <c r="G43" s="2" t="s">
        <v>143</v>
      </c>
      <c r="H43" s="2" t="s">
        <v>106</v>
      </c>
      <c r="I43" s="2" t="s">
        <v>90</v>
      </c>
      <c r="J43" s="2" t="s">
        <v>111</v>
      </c>
      <c r="K43" s="2" t="s">
        <v>79</v>
      </c>
      <c r="L43" s="2"/>
      <c r="M43" s="2" t="s">
        <v>1565</v>
      </c>
      <c r="N43" s="2"/>
      <c r="O43" s="2" t="s">
        <v>155</v>
      </c>
      <c r="P43" s="2" t="s">
        <v>80</v>
      </c>
      <c r="Q43" s="2"/>
      <c r="R43" s="2" t="s">
        <v>92</v>
      </c>
      <c r="S43" s="2" t="s">
        <v>1527</v>
      </c>
      <c r="T43" s="2"/>
      <c r="U43" s="2" t="s">
        <v>1566</v>
      </c>
      <c r="V43" s="2" t="s">
        <v>95</v>
      </c>
      <c r="W43" s="2" t="s">
        <v>1567</v>
      </c>
      <c r="X43" s="2" t="s">
        <v>1568</v>
      </c>
      <c r="Y43" s="2" t="s">
        <v>80</v>
      </c>
      <c r="Z43" s="2"/>
      <c r="AA43" s="2"/>
      <c r="AB43" s="2" t="s">
        <v>1569</v>
      </c>
      <c r="AC43" s="2" t="s">
        <v>79</v>
      </c>
      <c r="AD43" s="2" t="s">
        <v>1570</v>
      </c>
      <c r="AE43" s="2" t="s">
        <v>1562</v>
      </c>
      <c r="AF43" s="2" t="s">
        <v>82</v>
      </c>
      <c r="AG43" s="2">
        <v>8</v>
      </c>
      <c r="AH43" s="2" t="s">
        <v>84</v>
      </c>
      <c r="AI43" s="2" t="s">
        <v>84</v>
      </c>
      <c r="AJ43" s="2" t="s">
        <v>84</v>
      </c>
      <c r="AK43" s="2" t="s">
        <v>84</v>
      </c>
      <c r="AL43" s="2" t="s">
        <v>84</v>
      </c>
      <c r="AM43" s="2" t="s">
        <v>84</v>
      </c>
      <c r="AN43" s="2" t="s">
        <v>84</v>
      </c>
      <c r="AO43" s="2" t="s">
        <v>86</v>
      </c>
      <c r="AP43" s="2" t="s">
        <v>86</v>
      </c>
      <c r="AQ43" s="2" t="s">
        <v>84</v>
      </c>
      <c r="AR43" s="2" t="s">
        <v>106</v>
      </c>
      <c r="AS43" s="2" t="s">
        <v>80</v>
      </c>
      <c r="AT43" s="2"/>
      <c r="AU43" s="2" t="s">
        <v>106</v>
      </c>
      <c r="AV43" s="2" t="s">
        <v>79</v>
      </c>
      <c r="AW43" s="2"/>
      <c r="AX43" s="2" t="s">
        <v>1571</v>
      </c>
      <c r="AY43" s="2" t="s">
        <v>100</v>
      </c>
      <c r="AZ43" s="2" t="s">
        <v>1572</v>
      </c>
      <c r="BA43" s="2" t="s">
        <v>286</v>
      </c>
      <c r="BB43" s="2" t="s">
        <v>79</v>
      </c>
      <c r="BC43" s="2"/>
      <c r="BD43" s="2" t="s">
        <v>1573</v>
      </c>
      <c r="BE43" s="2" t="s">
        <v>153</v>
      </c>
      <c r="BF43" s="2" t="s">
        <v>1574</v>
      </c>
      <c r="BG43" s="2" t="s">
        <v>79</v>
      </c>
      <c r="BH43" s="2" t="s">
        <v>79</v>
      </c>
      <c r="BI43" s="2" t="s">
        <v>155</v>
      </c>
      <c r="BJ43" s="2"/>
      <c r="BK43" s="2" t="s">
        <v>80</v>
      </c>
      <c r="BL43" s="2" t="s">
        <v>268</v>
      </c>
      <c r="BM43" s="2">
        <v>2020</v>
      </c>
    </row>
    <row r="44" spans="1:65" ht="409.5" x14ac:dyDescent="0.25">
      <c r="A44" s="2" t="s">
        <v>1513</v>
      </c>
      <c r="B44" s="2" t="s">
        <v>80</v>
      </c>
      <c r="C44" s="2" t="s">
        <v>1515</v>
      </c>
      <c r="D44" s="2" t="s">
        <v>79</v>
      </c>
      <c r="E44" s="2"/>
      <c r="F44" s="2" t="s">
        <v>1516</v>
      </c>
      <c r="G44" s="2"/>
      <c r="H44" s="2" t="s">
        <v>80</v>
      </c>
      <c r="I44" s="2"/>
      <c r="J44" s="2" t="s">
        <v>111</v>
      </c>
      <c r="K44" s="2" t="s">
        <v>79</v>
      </c>
      <c r="L44" s="2"/>
      <c r="M44" s="2" t="s">
        <v>1517</v>
      </c>
      <c r="N44" s="2"/>
      <c r="O44" s="2" t="s">
        <v>155</v>
      </c>
      <c r="P44" s="2" t="s">
        <v>80</v>
      </c>
      <c r="Q44" s="2"/>
      <c r="R44" s="2"/>
      <c r="S44" s="2" t="s">
        <v>1488</v>
      </c>
      <c r="T44" s="2"/>
      <c r="U44" s="2" t="s">
        <v>1518</v>
      </c>
      <c r="V44" s="2" t="s">
        <v>95</v>
      </c>
      <c r="W44" s="2" t="s">
        <v>1519</v>
      </c>
      <c r="X44" s="2" t="s">
        <v>1520</v>
      </c>
      <c r="Y44" s="2" t="s">
        <v>80</v>
      </c>
      <c r="Z44" s="2"/>
      <c r="AA44" s="2"/>
      <c r="AB44" s="2" t="s">
        <v>1521</v>
      </c>
      <c r="AC44" s="2" t="s">
        <v>80</v>
      </c>
      <c r="AD44" s="2" t="s">
        <v>1522</v>
      </c>
      <c r="AE44" s="2" t="s">
        <v>1514</v>
      </c>
      <c r="AF44" s="2" t="s">
        <v>82</v>
      </c>
      <c r="AG44" s="2">
        <v>8</v>
      </c>
      <c r="AH44" s="2" t="s">
        <v>84</v>
      </c>
      <c r="AI44" s="2" t="s">
        <v>84</v>
      </c>
      <c r="AJ44" s="2" t="s">
        <v>84</v>
      </c>
      <c r="AK44" s="2" t="s">
        <v>86</v>
      </c>
      <c r="AL44" s="2" t="s">
        <v>84</v>
      </c>
      <c r="AM44" s="2" t="s">
        <v>84</v>
      </c>
      <c r="AN44" s="2" t="s">
        <v>84</v>
      </c>
      <c r="AO44" s="2" t="s">
        <v>84</v>
      </c>
      <c r="AP44" s="2" t="s">
        <v>86</v>
      </c>
      <c r="AQ44" s="2" t="s">
        <v>84</v>
      </c>
      <c r="AR44" s="2" t="s">
        <v>106</v>
      </c>
      <c r="AS44" s="2" t="s">
        <v>80</v>
      </c>
      <c r="AT44" s="2"/>
      <c r="AU44" s="2" t="s">
        <v>106</v>
      </c>
      <c r="AV44" s="2" t="s">
        <v>79</v>
      </c>
      <c r="AW44" s="2"/>
      <c r="AX44" s="2" t="s">
        <v>1523</v>
      </c>
      <c r="AY44" s="2" t="s">
        <v>1143</v>
      </c>
      <c r="AZ44" s="2" t="s">
        <v>1524</v>
      </c>
      <c r="BA44" s="2" t="s">
        <v>514</v>
      </c>
      <c r="BB44" s="2" t="s">
        <v>79</v>
      </c>
      <c r="BC44" s="2"/>
      <c r="BD44" s="2" t="s">
        <v>1525</v>
      </c>
      <c r="BE44" s="2"/>
      <c r="BF44" s="2"/>
      <c r="BG44" s="2" t="s">
        <v>80</v>
      </c>
      <c r="BH44" s="2" t="s">
        <v>79</v>
      </c>
      <c r="BI44" s="2" t="s">
        <v>155</v>
      </c>
      <c r="BJ44" s="2"/>
      <c r="BK44" s="2" t="s">
        <v>80</v>
      </c>
      <c r="BL44" s="2" t="s">
        <v>109</v>
      </c>
      <c r="BM44" s="2">
        <v>2020</v>
      </c>
    </row>
    <row r="45" spans="1:65" ht="409.5" x14ac:dyDescent="0.25">
      <c r="A45" s="2" t="s">
        <v>1371</v>
      </c>
      <c r="B45" s="2" t="s">
        <v>80</v>
      </c>
      <c r="C45" s="2" t="s">
        <v>1373</v>
      </c>
      <c r="D45" s="2" t="s">
        <v>79</v>
      </c>
      <c r="E45" s="2"/>
      <c r="F45" s="2" t="s">
        <v>1374</v>
      </c>
      <c r="G45" s="2" t="s">
        <v>89</v>
      </c>
      <c r="H45" s="2" t="s">
        <v>80</v>
      </c>
      <c r="I45" s="2" t="s">
        <v>116</v>
      </c>
      <c r="J45" s="2" t="s">
        <v>111</v>
      </c>
      <c r="K45" s="2" t="s">
        <v>79</v>
      </c>
      <c r="L45" s="2"/>
      <c r="M45" s="2" t="s">
        <v>1375</v>
      </c>
      <c r="N45" s="2"/>
      <c r="O45" s="2"/>
      <c r="P45" s="2" t="s">
        <v>80</v>
      </c>
      <c r="Q45" s="2"/>
      <c r="R45" s="2" t="s">
        <v>92</v>
      </c>
      <c r="S45" s="2" t="s">
        <v>1344</v>
      </c>
      <c r="T45" s="2"/>
      <c r="U45" s="2" t="s">
        <v>1376</v>
      </c>
      <c r="V45" s="2" t="s">
        <v>95</v>
      </c>
      <c r="W45" s="2" t="s">
        <v>1377</v>
      </c>
      <c r="X45" s="2" t="s">
        <v>1378</v>
      </c>
      <c r="Y45" s="2" t="s">
        <v>80</v>
      </c>
      <c r="Z45" s="2"/>
      <c r="AA45" s="2"/>
      <c r="AB45" s="2" t="s">
        <v>1379</v>
      </c>
      <c r="AC45" s="2" t="s">
        <v>79</v>
      </c>
      <c r="AD45" s="2" t="s">
        <v>1380</v>
      </c>
      <c r="AE45" s="2" t="s">
        <v>1372</v>
      </c>
      <c r="AF45" s="2" t="s">
        <v>82</v>
      </c>
      <c r="AG45" s="2">
        <v>8.5</v>
      </c>
      <c r="AH45" s="2" t="s">
        <v>84</v>
      </c>
      <c r="AI45" s="2" t="s">
        <v>84</v>
      </c>
      <c r="AJ45" s="2" t="s">
        <v>84</v>
      </c>
      <c r="AK45" s="2" t="s">
        <v>84</v>
      </c>
      <c r="AL45" s="2" t="s">
        <v>84</v>
      </c>
      <c r="AM45" s="2" t="s">
        <v>84</v>
      </c>
      <c r="AN45" s="2" t="s">
        <v>84</v>
      </c>
      <c r="AO45" s="2" t="s">
        <v>86</v>
      </c>
      <c r="AP45" s="2" t="s">
        <v>84</v>
      </c>
      <c r="AQ45" s="2" t="s">
        <v>85</v>
      </c>
      <c r="AR45" s="2" t="s">
        <v>80</v>
      </c>
      <c r="AS45" s="2" t="s">
        <v>80</v>
      </c>
      <c r="AT45" s="2"/>
      <c r="AU45" s="2" t="s">
        <v>80</v>
      </c>
      <c r="AV45" s="2" t="s">
        <v>80</v>
      </c>
      <c r="AW45" s="2"/>
      <c r="AX45" s="2"/>
      <c r="AY45" s="2" t="s">
        <v>100</v>
      </c>
      <c r="AZ45" s="2" t="s">
        <v>1381</v>
      </c>
      <c r="BA45" s="2" t="s">
        <v>102</v>
      </c>
      <c r="BB45" s="2" t="s">
        <v>79</v>
      </c>
      <c r="BC45" s="2"/>
      <c r="BD45" s="2" t="s">
        <v>1382</v>
      </c>
      <c r="BE45" s="2" t="s">
        <v>153</v>
      </c>
      <c r="BF45" s="2"/>
      <c r="BG45" s="2" t="s">
        <v>80</v>
      </c>
      <c r="BH45" s="2" t="s">
        <v>79</v>
      </c>
      <c r="BI45" s="2" t="s">
        <v>107</v>
      </c>
      <c r="BJ45" s="2" t="s">
        <v>1383</v>
      </c>
      <c r="BK45" s="2" t="s">
        <v>79</v>
      </c>
      <c r="BL45" s="2" t="s">
        <v>109</v>
      </c>
      <c r="BM45" s="2">
        <v>2020</v>
      </c>
    </row>
    <row r="46" spans="1:65" ht="409.5" x14ac:dyDescent="0.25">
      <c r="A46" s="2" t="s">
        <v>1300</v>
      </c>
      <c r="B46" s="2" t="s">
        <v>80</v>
      </c>
      <c r="C46" s="2" t="s">
        <v>1303</v>
      </c>
      <c r="D46" s="2" t="s">
        <v>79</v>
      </c>
      <c r="E46" s="2" t="s">
        <v>92</v>
      </c>
      <c r="F46" s="2" t="s">
        <v>1304</v>
      </c>
      <c r="G46" s="2" t="s">
        <v>143</v>
      </c>
      <c r="H46" s="2" t="s">
        <v>80</v>
      </c>
      <c r="I46" s="2" t="s">
        <v>194</v>
      </c>
      <c r="J46" s="2" t="s">
        <v>111</v>
      </c>
      <c r="K46" s="2" t="s">
        <v>79</v>
      </c>
      <c r="L46" s="2" t="s">
        <v>92</v>
      </c>
      <c r="M46" s="2" t="s">
        <v>1305</v>
      </c>
      <c r="N46" s="2" t="s">
        <v>1306</v>
      </c>
      <c r="O46" s="2" t="s">
        <v>1307</v>
      </c>
      <c r="P46" s="2" t="s">
        <v>79</v>
      </c>
      <c r="Q46" s="2" t="s">
        <v>1308</v>
      </c>
      <c r="R46" s="2" t="s">
        <v>92</v>
      </c>
      <c r="S46" s="2" t="s">
        <v>1301</v>
      </c>
      <c r="T46" s="2" t="s">
        <v>553</v>
      </c>
      <c r="U46" s="2" t="s">
        <v>1309</v>
      </c>
      <c r="V46" s="2" t="s">
        <v>95</v>
      </c>
      <c r="W46" s="2"/>
      <c r="X46" s="2"/>
      <c r="Y46" s="2" t="s">
        <v>79</v>
      </c>
      <c r="Z46" s="2" t="s">
        <v>1310</v>
      </c>
      <c r="AA46" s="2" t="s">
        <v>1311</v>
      </c>
      <c r="AB46" s="2"/>
      <c r="AC46" s="2" t="s">
        <v>80</v>
      </c>
      <c r="AD46" s="2" t="s">
        <v>1312</v>
      </c>
      <c r="AE46" s="2" t="s">
        <v>1302</v>
      </c>
      <c r="AF46" s="2" t="s">
        <v>82</v>
      </c>
      <c r="AG46" s="2">
        <v>8.5</v>
      </c>
      <c r="AH46" s="2" t="s">
        <v>84</v>
      </c>
      <c r="AI46" s="2" t="s">
        <v>84</v>
      </c>
      <c r="AJ46" s="2" t="s">
        <v>84</v>
      </c>
      <c r="AK46" s="2" t="s">
        <v>86</v>
      </c>
      <c r="AL46" s="2" t="s">
        <v>84</v>
      </c>
      <c r="AM46" s="2" t="s">
        <v>84</v>
      </c>
      <c r="AN46" s="2" t="s">
        <v>84</v>
      </c>
      <c r="AO46" s="2" t="s">
        <v>84</v>
      </c>
      <c r="AP46" s="2" t="s">
        <v>84</v>
      </c>
      <c r="AQ46" s="2" t="s">
        <v>85</v>
      </c>
      <c r="AR46" s="2" t="s">
        <v>80</v>
      </c>
      <c r="AS46" s="2" t="s">
        <v>80</v>
      </c>
      <c r="AT46" s="2"/>
      <c r="AU46" s="2" t="s">
        <v>80</v>
      </c>
      <c r="AV46" s="2" t="s">
        <v>79</v>
      </c>
      <c r="AW46" s="2" t="s">
        <v>79</v>
      </c>
      <c r="AX46" s="2" t="s">
        <v>1313</v>
      </c>
      <c r="AY46" s="2" t="s">
        <v>303</v>
      </c>
      <c r="AZ46" s="2" t="s">
        <v>1314</v>
      </c>
      <c r="BA46" s="2" t="s">
        <v>1315</v>
      </c>
      <c r="BB46" s="2" t="s">
        <v>79</v>
      </c>
      <c r="BC46" s="2" t="s">
        <v>756</v>
      </c>
      <c r="BD46" s="2" t="s">
        <v>1316</v>
      </c>
      <c r="BE46" s="2" t="s">
        <v>648</v>
      </c>
      <c r="BF46" s="2"/>
      <c r="BG46" s="2" t="s">
        <v>80</v>
      </c>
      <c r="BH46" s="2" t="s">
        <v>79</v>
      </c>
      <c r="BI46" s="2" t="s">
        <v>1298</v>
      </c>
      <c r="BJ46" s="2" t="s">
        <v>1317</v>
      </c>
      <c r="BK46" s="2" t="s">
        <v>79</v>
      </c>
      <c r="BL46" s="2" t="s">
        <v>109</v>
      </c>
      <c r="BM46" s="2">
        <v>2020</v>
      </c>
    </row>
    <row r="47" spans="1:65" ht="409.5" x14ac:dyDescent="0.25">
      <c r="A47" s="2" t="s">
        <v>1318</v>
      </c>
      <c r="B47" s="2" t="s">
        <v>80</v>
      </c>
      <c r="C47" s="2" t="s">
        <v>1320</v>
      </c>
      <c r="D47" s="2" t="s">
        <v>79</v>
      </c>
      <c r="E47" s="2" t="s">
        <v>79</v>
      </c>
      <c r="F47" s="2" t="s">
        <v>1321</v>
      </c>
      <c r="G47" s="2" t="s">
        <v>89</v>
      </c>
      <c r="H47" s="2" t="s">
        <v>80</v>
      </c>
      <c r="I47" s="2" t="s">
        <v>116</v>
      </c>
      <c r="J47" s="2" t="s">
        <v>111</v>
      </c>
      <c r="K47" s="2" t="s">
        <v>79</v>
      </c>
      <c r="L47" s="2" t="s">
        <v>92</v>
      </c>
      <c r="M47" s="2" t="s">
        <v>1322</v>
      </c>
      <c r="N47" s="2"/>
      <c r="O47" s="2" t="s">
        <v>155</v>
      </c>
      <c r="P47" s="2" t="s">
        <v>80</v>
      </c>
      <c r="Q47" s="2"/>
      <c r="R47" s="2" t="s">
        <v>92</v>
      </c>
      <c r="S47" s="2" t="s">
        <v>271</v>
      </c>
      <c r="T47" s="2" t="s">
        <v>453</v>
      </c>
      <c r="U47" s="2" t="s">
        <v>1323</v>
      </c>
      <c r="V47" s="2" t="s">
        <v>95</v>
      </c>
      <c r="W47" s="2" t="s">
        <v>1324</v>
      </c>
      <c r="X47" s="2" t="s">
        <v>1325</v>
      </c>
      <c r="Y47" s="2" t="s">
        <v>80</v>
      </c>
      <c r="Z47" s="2"/>
      <c r="AA47" s="2"/>
      <c r="AB47" s="2"/>
      <c r="AC47" s="2" t="s">
        <v>79</v>
      </c>
      <c r="AD47" s="2" t="s">
        <v>1326</v>
      </c>
      <c r="AE47" s="2" t="s">
        <v>1319</v>
      </c>
      <c r="AF47" s="2" t="s">
        <v>82</v>
      </c>
      <c r="AG47" s="2">
        <v>8</v>
      </c>
      <c r="AH47" s="2" t="s">
        <v>84</v>
      </c>
      <c r="AI47" s="2" t="s">
        <v>84</v>
      </c>
      <c r="AJ47" s="2" t="s">
        <v>84</v>
      </c>
      <c r="AK47" s="2" t="s">
        <v>84</v>
      </c>
      <c r="AL47" s="2" t="s">
        <v>84</v>
      </c>
      <c r="AM47" s="2" t="s">
        <v>84</v>
      </c>
      <c r="AN47" s="2" t="s">
        <v>85</v>
      </c>
      <c r="AO47" s="2" t="s">
        <v>86</v>
      </c>
      <c r="AP47" s="2" t="s">
        <v>84</v>
      </c>
      <c r="AQ47" s="2" t="s">
        <v>85</v>
      </c>
      <c r="AR47" s="2" t="s">
        <v>80</v>
      </c>
      <c r="AS47" s="2" t="s">
        <v>80</v>
      </c>
      <c r="AT47" s="2"/>
      <c r="AU47" s="2" t="s">
        <v>80</v>
      </c>
      <c r="AV47" s="2" t="s">
        <v>80</v>
      </c>
      <c r="AW47" s="2" t="s">
        <v>80</v>
      </c>
      <c r="AX47" s="2"/>
      <c r="AY47" s="2" t="s">
        <v>100</v>
      </c>
      <c r="AZ47" s="2" t="s">
        <v>1327</v>
      </c>
      <c r="BA47" s="2" t="s">
        <v>102</v>
      </c>
      <c r="BB47" s="2" t="s">
        <v>79</v>
      </c>
      <c r="BC47" s="2" t="s">
        <v>854</v>
      </c>
      <c r="BD47" s="2" t="s">
        <v>1328</v>
      </c>
      <c r="BE47" s="2" t="s">
        <v>153</v>
      </c>
      <c r="BF47" s="2"/>
      <c r="BG47" s="2" t="s">
        <v>80</v>
      </c>
      <c r="BH47" s="2" t="s">
        <v>106</v>
      </c>
      <c r="BI47" s="2" t="s">
        <v>429</v>
      </c>
      <c r="BJ47" s="2" t="s">
        <v>1329</v>
      </c>
      <c r="BK47" s="2" t="s">
        <v>79</v>
      </c>
      <c r="BL47" s="2" t="s">
        <v>109</v>
      </c>
      <c r="BM47" s="2">
        <v>2020</v>
      </c>
    </row>
    <row r="48" spans="1:65" ht="409.5" x14ac:dyDescent="0.25">
      <c r="A48" s="2" t="s">
        <v>727</v>
      </c>
      <c r="B48" s="2" t="s">
        <v>92</v>
      </c>
      <c r="C48" s="2" t="s">
        <v>730</v>
      </c>
      <c r="D48" s="2" t="s">
        <v>79</v>
      </c>
      <c r="E48" s="2" t="s">
        <v>92</v>
      </c>
      <c r="F48" s="2" t="s">
        <v>731</v>
      </c>
      <c r="G48" s="2" t="s">
        <v>732</v>
      </c>
      <c r="H48" s="2" t="s">
        <v>106</v>
      </c>
      <c r="I48" s="2" t="s">
        <v>90</v>
      </c>
      <c r="J48" s="2" t="s">
        <v>111</v>
      </c>
      <c r="K48" s="2" t="s">
        <v>79</v>
      </c>
      <c r="L48" s="2" t="s">
        <v>92</v>
      </c>
      <c r="M48" s="2" t="s">
        <v>733</v>
      </c>
      <c r="N48" s="2"/>
      <c r="O48" s="2"/>
      <c r="P48" s="2" t="s">
        <v>80</v>
      </c>
      <c r="Q48" s="2"/>
      <c r="R48" s="2" t="s">
        <v>92</v>
      </c>
      <c r="S48" s="2" t="s">
        <v>728</v>
      </c>
      <c r="T48" s="2" t="s">
        <v>734</v>
      </c>
      <c r="U48" s="2" t="s">
        <v>735</v>
      </c>
      <c r="V48" s="2" t="s">
        <v>95</v>
      </c>
      <c r="W48" s="2" t="s">
        <v>736</v>
      </c>
      <c r="X48" s="2" t="s">
        <v>737</v>
      </c>
      <c r="Y48" s="2" t="s">
        <v>80</v>
      </c>
      <c r="Z48" s="2"/>
      <c r="AA48" s="2"/>
      <c r="AB48" s="2" t="s">
        <v>738</v>
      </c>
      <c r="AC48" s="2" t="s">
        <v>79</v>
      </c>
      <c r="AD48" s="2" t="s">
        <v>739</v>
      </c>
      <c r="AE48" s="2" t="s">
        <v>729</v>
      </c>
      <c r="AF48" s="2" t="s">
        <v>82</v>
      </c>
      <c r="AG48" s="2">
        <v>9</v>
      </c>
      <c r="AH48" s="2" t="s">
        <v>84</v>
      </c>
      <c r="AI48" s="2" t="s">
        <v>84</v>
      </c>
      <c r="AJ48" s="2" t="s">
        <v>84</v>
      </c>
      <c r="AK48" s="2" t="s">
        <v>84</v>
      </c>
      <c r="AL48" s="2" t="s">
        <v>84</v>
      </c>
      <c r="AM48" s="2" t="s">
        <v>84</v>
      </c>
      <c r="AN48" s="2" t="s">
        <v>84</v>
      </c>
      <c r="AO48" s="2" t="s">
        <v>84</v>
      </c>
      <c r="AP48" s="2" t="s">
        <v>85</v>
      </c>
      <c r="AQ48" s="2" t="s">
        <v>85</v>
      </c>
      <c r="AR48" s="2" t="s">
        <v>106</v>
      </c>
      <c r="AS48" s="2" t="s">
        <v>80</v>
      </c>
      <c r="AT48" s="2"/>
      <c r="AU48" s="2" t="s">
        <v>106</v>
      </c>
      <c r="AV48" s="2" t="s">
        <v>79</v>
      </c>
      <c r="AW48" s="2" t="s">
        <v>92</v>
      </c>
      <c r="AX48" s="2" t="s">
        <v>740</v>
      </c>
      <c r="AY48" s="2" t="s">
        <v>303</v>
      </c>
      <c r="AZ48" s="2" t="s">
        <v>741</v>
      </c>
      <c r="BA48" s="2" t="s">
        <v>426</v>
      </c>
      <c r="BB48" s="2" t="s">
        <v>79</v>
      </c>
      <c r="BC48" s="2" t="s">
        <v>364</v>
      </c>
      <c r="BD48" s="2" t="s">
        <v>742</v>
      </c>
      <c r="BE48" s="2" t="s">
        <v>153</v>
      </c>
      <c r="BF48" s="2" t="s">
        <v>743</v>
      </c>
      <c r="BG48" s="2" t="s">
        <v>79</v>
      </c>
      <c r="BH48" s="2" t="s">
        <v>106</v>
      </c>
      <c r="BI48" s="2" t="s">
        <v>155</v>
      </c>
      <c r="BJ48" s="2"/>
      <c r="BK48" s="2" t="s">
        <v>80</v>
      </c>
      <c r="BL48" s="2" t="s">
        <v>143</v>
      </c>
      <c r="BM48" s="2">
        <v>2020</v>
      </c>
    </row>
    <row r="49" spans="1:65" ht="409.5" x14ac:dyDescent="0.25">
      <c r="A49" s="2" t="s">
        <v>761</v>
      </c>
      <c r="B49" s="2" t="s">
        <v>80</v>
      </c>
      <c r="C49" s="2" t="s">
        <v>764</v>
      </c>
      <c r="D49" s="2" t="s">
        <v>79</v>
      </c>
      <c r="E49" s="2" t="s">
        <v>92</v>
      </c>
      <c r="F49" s="2" t="s">
        <v>765</v>
      </c>
      <c r="G49" s="2" t="s">
        <v>143</v>
      </c>
      <c r="H49" s="2" t="s">
        <v>79</v>
      </c>
      <c r="I49" s="2" t="s">
        <v>90</v>
      </c>
      <c r="J49" s="2" t="s">
        <v>111</v>
      </c>
      <c r="K49" s="2" t="s">
        <v>79</v>
      </c>
      <c r="L49" s="2" t="s">
        <v>92</v>
      </c>
      <c r="M49" s="2" t="s">
        <v>766</v>
      </c>
      <c r="N49" s="2"/>
      <c r="O49" s="2"/>
      <c r="P49" s="2" t="s">
        <v>80</v>
      </c>
      <c r="Q49" s="2"/>
      <c r="R49" s="2" t="s">
        <v>92</v>
      </c>
      <c r="S49" s="2" t="s">
        <v>762</v>
      </c>
      <c r="T49" s="2" t="s">
        <v>767</v>
      </c>
      <c r="U49" s="2" t="s">
        <v>768</v>
      </c>
      <c r="V49" s="2" t="s">
        <v>95</v>
      </c>
      <c r="W49" s="2" t="s">
        <v>769</v>
      </c>
      <c r="X49" s="2" t="s">
        <v>770</v>
      </c>
      <c r="Y49" s="2" t="s">
        <v>80</v>
      </c>
      <c r="Z49" s="2"/>
      <c r="AA49" s="2"/>
      <c r="AB49" s="2" t="s">
        <v>771</v>
      </c>
      <c r="AC49" s="2" t="s">
        <v>79</v>
      </c>
      <c r="AD49" s="2" t="s">
        <v>772</v>
      </c>
      <c r="AE49" s="2" t="s">
        <v>763</v>
      </c>
      <c r="AF49" s="2" t="s">
        <v>82</v>
      </c>
      <c r="AG49" s="2">
        <v>9</v>
      </c>
      <c r="AH49" s="2" t="s">
        <v>84</v>
      </c>
      <c r="AI49" s="2" t="s">
        <v>84</v>
      </c>
      <c r="AJ49" s="2" t="s">
        <v>84</v>
      </c>
      <c r="AK49" s="2" t="s">
        <v>84</v>
      </c>
      <c r="AL49" s="2" t="s">
        <v>84</v>
      </c>
      <c r="AM49" s="2" t="s">
        <v>84</v>
      </c>
      <c r="AN49" s="2" t="s">
        <v>84</v>
      </c>
      <c r="AO49" s="2" t="s">
        <v>86</v>
      </c>
      <c r="AP49" s="2" t="s">
        <v>84</v>
      </c>
      <c r="AQ49" s="2" t="s">
        <v>84</v>
      </c>
      <c r="AR49" s="2" t="s">
        <v>80</v>
      </c>
      <c r="AS49" s="2" t="s">
        <v>80</v>
      </c>
      <c r="AT49" s="2"/>
      <c r="AU49" s="2" t="s">
        <v>80</v>
      </c>
      <c r="AV49" s="2" t="s">
        <v>79</v>
      </c>
      <c r="AW49" s="2" t="s">
        <v>92</v>
      </c>
      <c r="AX49" s="2" t="s">
        <v>773</v>
      </c>
      <c r="AY49" s="2" t="s">
        <v>303</v>
      </c>
      <c r="AZ49" s="2" t="s">
        <v>774</v>
      </c>
      <c r="BA49" s="2" t="s">
        <v>426</v>
      </c>
      <c r="BB49" s="2" t="s">
        <v>79</v>
      </c>
      <c r="BC49" s="2" t="s">
        <v>364</v>
      </c>
      <c r="BD49" s="2" t="s">
        <v>775</v>
      </c>
      <c r="BE49" s="2" t="s">
        <v>104</v>
      </c>
      <c r="BF49" s="2" t="s">
        <v>776</v>
      </c>
      <c r="BG49" s="2" t="s">
        <v>92</v>
      </c>
      <c r="BH49" s="2" t="s">
        <v>79</v>
      </c>
      <c r="BI49" s="2" t="s">
        <v>367</v>
      </c>
      <c r="BJ49" s="2" t="s">
        <v>777</v>
      </c>
      <c r="BK49" s="2" t="s">
        <v>79</v>
      </c>
      <c r="BL49" s="2" t="s">
        <v>109</v>
      </c>
      <c r="BM49" s="2">
        <v>2020</v>
      </c>
    </row>
    <row r="50" spans="1:65" ht="409.5" x14ac:dyDescent="0.25">
      <c r="A50" s="2" t="s">
        <v>818</v>
      </c>
      <c r="B50" s="2" t="s">
        <v>92</v>
      </c>
      <c r="C50" s="2" t="s">
        <v>821</v>
      </c>
      <c r="D50" s="2" t="s">
        <v>79</v>
      </c>
      <c r="E50" s="2" t="s">
        <v>79</v>
      </c>
      <c r="F50" s="2" t="s">
        <v>822</v>
      </c>
      <c r="G50" s="2" t="s">
        <v>89</v>
      </c>
      <c r="H50" s="2" t="s">
        <v>79</v>
      </c>
      <c r="I50" s="2" t="s">
        <v>194</v>
      </c>
      <c r="J50" s="2" t="s">
        <v>143</v>
      </c>
      <c r="K50" s="2" t="s">
        <v>79</v>
      </c>
      <c r="L50" s="2" t="s">
        <v>79</v>
      </c>
      <c r="M50" s="2" t="s">
        <v>823</v>
      </c>
      <c r="N50" s="2"/>
      <c r="O50" s="2"/>
      <c r="P50" s="2" t="s">
        <v>79</v>
      </c>
      <c r="Q50" s="2" t="s">
        <v>824</v>
      </c>
      <c r="R50" s="2" t="s">
        <v>802</v>
      </c>
      <c r="S50" s="2" t="s">
        <v>819</v>
      </c>
      <c r="T50" s="2" t="s">
        <v>803</v>
      </c>
      <c r="U50" s="2" t="s">
        <v>825</v>
      </c>
      <c r="V50" s="2" t="s">
        <v>805</v>
      </c>
      <c r="W50" s="2" t="s">
        <v>826</v>
      </c>
      <c r="X50" s="2" t="s">
        <v>827</v>
      </c>
      <c r="Y50" s="2" t="s">
        <v>79</v>
      </c>
      <c r="Z50" s="2" t="s">
        <v>828</v>
      </c>
      <c r="AA50" s="2" t="s">
        <v>829</v>
      </c>
      <c r="AB50" s="2"/>
      <c r="AC50" s="2" t="s">
        <v>79</v>
      </c>
      <c r="AD50" s="2" t="s">
        <v>830</v>
      </c>
      <c r="AE50" s="2" t="s">
        <v>820</v>
      </c>
      <c r="AF50" s="2" t="s">
        <v>82</v>
      </c>
      <c r="AG50" s="2">
        <v>10</v>
      </c>
      <c r="AH50" s="2" t="s">
        <v>84</v>
      </c>
      <c r="AI50" s="2" t="s">
        <v>84</v>
      </c>
      <c r="AJ50" s="2" t="s">
        <v>84</v>
      </c>
      <c r="AK50" s="2" t="s">
        <v>84</v>
      </c>
      <c r="AL50" s="2" t="s">
        <v>84</v>
      </c>
      <c r="AM50" s="2" t="s">
        <v>84</v>
      </c>
      <c r="AN50" s="2" t="s">
        <v>84</v>
      </c>
      <c r="AO50" s="2" t="s">
        <v>84</v>
      </c>
      <c r="AP50" s="2" t="s">
        <v>84</v>
      </c>
      <c r="AQ50" s="2" t="s">
        <v>84</v>
      </c>
      <c r="AR50" s="2" t="s">
        <v>106</v>
      </c>
      <c r="AS50" s="2" t="s">
        <v>79</v>
      </c>
      <c r="AT50" s="2" t="s">
        <v>831</v>
      </c>
      <c r="AU50" s="2" t="s">
        <v>106</v>
      </c>
      <c r="AV50" s="2" t="s">
        <v>79</v>
      </c>
      <c r="AW50" s="2" t="s">
        <v>92</v>
      </c>
      <c r="AX50" s="2" t="s">
        <v>832</v>
      </c>
      <c r="AY50" s="2" t="s">
        <v>100</v>
      </c>
      <c r="AZ50" s="2" t="s">
        <v>833</v>
      </c>
      <c r="BA50" s="2" t="s">
        <v>202</v>
      </c>
      <c r="BB50" s="2" t="s">
        <v>79</v>
      </c>
      <c r="BC50" s="2" t="s">
        <v>364</v>
      </c>
      <c r="BD50" s="2" t="s">
        <v>834</v>
      </c>
      <c r="BE50" s="2" t="s">
        <v>153</v>
      </c>
      <c r="BF50" s="2" t="s">
        <v>835</v>
      </c>
      <c r="BG50" s="2" t="s">
        <v>79</v>
      </c>
      <c r="BH50" s="2" t="s">
        <v>79</v>
      </c>
      <c r="BI50" s="2" t="s">
        <v>107</v>
      </c>
      <c r="BJ50" s="2" t="s">
        <v>836</v>
      </c>
      <c r="BK50" s="2" t="s">
        <v>79</v>
      </c>
      <c r="BL50" s="2" t="s">
        <v>109</v>
      </c>
      <c r="BM50" s="2">
        <v>2020</v>
      </c>
    </row>
    <row r="51" spans="1:65" ht="409.5" x14ac:dyDescent="0.25">
      <c r="A51" s="2" t="s">
        <v>778</v>
      </c>
      <c r="B51" s="2" t="s">
        <v>92</v>
      </c>
      <c r="C51" s="2" t="s">
        <v>781</v>
      </c>
      <c r="D51" s="2" t="s">
        <v>79</v>
      </c>
      <c r="E51" s="2" t="s">
        <v>79</v>
      </c>
      <c r="F51" s="2" t="s">
        <v>782</v>
      </c>
      <c r="G51" s="2" t="s">
        <v>143</v>
      </c>
      <c r="H51" s="2" t="s">
        <v>79</v>
      </c>
      <c r="I51" s="2" t="s">
        <v>90</v>
      </c>
      <c r="J51" s="2" t="s">
        <v>111</v>
      </c>
      <c r="K51" s="2" t="s">
        <v>79</v>
      </c>
      <c r="L51" s="2" t="s">
        <v>92</v>
      </c>
      <c r="M51" s="2" t="s">
        <v>783</v>
      </c>
      <c r="N51" s="2"/>
      <c r="O51" s="2"/>
      <c r="P51" s="2" t="s">
        <v>80</v>
      </c>
      <c r="Q51" s="2"/>
      <c r="R51" s="2" t="s">
        <v>92</v>
      </c>
      <c r="S51" s="2" t="s">
        <v>779</v>
      </c>
      <c r="T51" s="2" t="s">
        <v>784</v>
      </c>
      <c r="U51" s="2" t="s">
        <v>785</v>
      </c>
      <c r="V51" s="2" t="s">
        <v>95</v>
      </c>
      <c r="W51" s="2" t="s">
        <v>786</v>
      </c>
      <c r="X51" s="2" t="s">
        <v>787</v>
      </c>
      <c r="Y51" s="2" t="s">
        <v>80</v>
      </c>
      <c r="Z51" s="2"/>
      <c r="AA51" s="2"/>
      <c r="AB51" s="2" t="s">
        <v>788</v>
      </c>
      <c r="AC51" s="2" t="s">
        <v>79</v>
      </c>
      <c r="AD51" s="2" t="s">
        <v>789</v>
      </c>
      <c r="AE51" s="2" t="s">
        <v>780</v>
      </c>
      <c r="AF51" s="2" t="s">
        <v>82</v>
      </c>
      <c r="AG51" s="2">
        <v>9.5</v>
      </c>
      <c r="AH51" s="2" t="s">
        <v>84</v>
      </c>
      <c r="AI51" s="2" t="s">
        <v>84</v>
      </c>
      <c r="AJ51" s="2" t="s">
        <v>84</v>
      </c>
      <c r="AK51" s="2" t="s">
        <v>84</v>
      </c>
      <c r="AL51" s="2" t="s">
        <v>84</v>
      </c>
      <c r="AM51" s="2" t="s">
        <v>84</v>
      </c>
      <c r="AN51" s="2" t="s">
        <v>84</v>
      </c>
      <c r="AO51" s="2" t="s">
        <v>84</v>
      </c>
      <c r="AP51" s="2" t="s">
        <v>84</v>
      </c>
      <c r="AQ51" s="2" t="s">
        <v>85</v>
      </c>
      <c r="AR51" s="2" t="s">
        <v>80</v>
      </c>
      <c r="AS51" s="2" t="s">
        <v>80</v>
      </c>
      <c r="AT51" s="2"/>
      <c r="AU51" s="2" t="s">
        <v>80</v>
      </c>
      <c r="AV51" s="2" t="s">
        <v>79</v>
      </c>
      <c r="AW51" s="2" t="s">
        <v>92</v>
      </c>
      <c r="AX51" s="2" t="s">
        <v>790</v>
      </c>
      <c r="AY51" s="2" t="s">
        <v>303</v>
      </c>
      <c r="AZ51" s="2" t="s">
        <v>791</v>
      </c>
      <c r="BA51" s="2" t="s">
        <v>426</v>
      </c>
      <c r="BB51" s="2" t="s">
        <v>79</v>
      </c>
      <c r="BC51" s="2" t="s">
        <v>364</v>
      </c>
      <c r="BD51" s="2" t="s">
        <v>792</v>
      </c>
      <c r="BE51" s="2" t="s">
        <v>104</v>
      </c>
      <c r="BF51" s="2" t="s">
        <v>793</v>
      </c>
      <c r="BG51" s="2" t="s">
        <v>79</v>
      </c>
      <c r="BH51" s="2" t="s">
        <v>79</v>
      </c>
      <c r="BI51" s="2" t="s">
        <v>429</v>
      </c>
      <c r="BJ51" s="2" t="s">
        <v>794</v>
      </c>
      <c r="BK51" s="2" t="s">
        <v>79</v>
      </c>
      <c r="BL51" s="2" t="s">
        <v>109</v>
      </c>
      <c r="BM51" s="2">
        <v>2020</v>
      </c>
    </row>
    <row r="52" spans="1:65" ht="409.5" x14ac:dyDescent="0.25">
      <c r="A52" s="2" t="s">
        <v>744</v>
      </c>
      <c r="B52" s="2" t="s">
        <v>79</v>
      </c>
      <c r="C52" s="2" t="s">
        <v>746</v>
      </c>
      <c r="D52" s="2" t="s">
        <v>79</v>
      </c>
      <c r="E52" s="2" t="s">
        <v>79</v>
      </c>
      <c r="F52" s="2" t="s">
        <v>747</v>
      </c>
      <c r="G52" s="2" t="s">
        <v>89</v>
      </c>
      <c r="H52" s="2" t="s">
        <v>79</v>
      </c>
      <c r="I52" s="2" t="s">
        <v>116</v>
      </c>
      <c r="J52" s="2" t="s">
        <v>143</v>
      </c>
      <c r="K52" s="2" t="s">
        <v>79</v>
      </c>
      <c r="L52" s="2" t="s">
        <v>92</v>
      </c>
      <c r="M52" s="2" t="s">
        <v>748</v>
      </c>
      <c r="N52" s="2"/>
      <c r="O52" s="2"/>
      <c r="P52" s="2" t="s">
        <v>80</v>
      </c>
      <c r="Q52" s="2"/>
      <c r="R52" s="2" t="s">
        <v>92</v>
      </c>
      <c r="S52" s="2" t="s">
        <v>224</v>
      </c>
      <c r="T52" s="2" t="s">
        <v>388</v>
      </c>
      <c r="U52" s="2" t="s">
        <v>749</v>
      </c>
      <c r="V52" s="2" t="s">
        <v>95</v>
      </c>
      <c r="W52" s="2" t="s">
        <v>750</v>
      </c>
      <c r="X52" s="2" t="s">
        <v>751</v>
      </c>
      <c r="Y52" s="2" t="s">
        <v>80</v>
      </c>
      <c r="Z52" s="2"/>
      <c r="AA52" s="2"/>
      <c r="AB52" s="2" t="s">
        <v>752</v>
      </c>
      <c r="AC52" s="2" t="s">
        <v>79</v>
      </c>
      <c r="AD52" s="2" t="s">
        <v>753</v>
      </c>
      <c r="AE52" s="2" t="s">
        <v>745</v>
      </c>
      <c r="AF52" s="2" t="s">
        <v>82</v>
      </c>
      <c r="AG52" s="2">
        <v>8.5</v>
      </c>
      <c r="AH52" s="2" t="s">
        <v>84</v>
      </c>
      <c r="AI52" s="2" t="s">
        <v>84</v>
      </c>
      <c r="AJ52" s="2" t="s">
        <v>84</v>
      </c>
      <c r="AK52" s="2" t="s">
        <v>84</v>
      </c>
      <c r="AL52" s="2" t="s">
        <v>84</v>
      </c>
      <c r="AM52" s="2" t="s">
        <v>84</v>
      </c>
      <c r="AN52" s="2" t="s">
        <v>84</v>
      </c>
      <c r="AO52" s="2" t="s">
        <v>86</v>
      </c>
      <c r="AP52" s="2" t="s">
        <v>84</v>
      </c>
      <c r="AQ52" s="2" t="s">
        <v>85</v>
      </c>
      <c r="AR52" s="2" t="s">
        <v>80</v>
      </c>
      <c r="AS52" s="2" t="s">
        <v>80</v>
      </c>
      <c r="AT52" s="2"/>
      <c r="AU52" s="2" t="s">
        <v>80</v>
      </c>
      <c r="AV52" s="2" t="s">
        <v>79</v>
      </c>
      <c r="AW52" s="2" t="s">
        <v>92</v>
      </c>
      <c r="AX52" s="2" t="s">
        <v>754</v>
      </c>
      <c r="AY52" s="2" t="s">
        <v>100</v>
      </c>
      <c r="AZ52" s="2" t="s">
        <v>755</v>
      </c>
      <c r="BA52" s="2" t="s">
        <v>102</v>
      </c>
      <c r="BB52" s="2" t="s">
        <v>79</v>
      </c>
      <c r="BC52" s="2" t="s">
        <v>756</v>
      </c>
      <c r="BD52" s="2" t="s">
        <v>757</v>
      </c>
      <c r="BE52" s="2" t="s">
        <v>758</v>
      </c>
      <c r="BF52" s="2" t="s">
        <v>759</v>
      </c>
      <c r="BG52" s="2" t="s">
        <v>79</v>
      </c>
      <c r="BH52" s="2" t="s">
        <v>79</v>
      </c>
      <c r="BI52" s="2" t="s">
        <v>107</v>
      </c>
      <c r="BJ52" s="2" t="s">
        <v>760</v>
      </c>
      <c r="BK52" s="2" t="s">
        <v>79</v>
      </c>
      <c r="BL52" s="2" t="s">
        <v>109</v>
      </c>
      <c r="BM52" s="2">
        <v>2020</v>
      </c>
    </row>
    <row r="53" spans="1:65" ht="409.5" x14ac:dyDescent="0.25">
      <c r="A53" s="2" t="s">
        <v>1675</v>
      </c>
      <c r="B53" s="2" t="s">
        <v>80</v>
      </c>
      <c r="C53" s="2" t="s">
        <v>1678</v>
      </c>
      <c r="D53" s="2" t="s">
        <v>79</v>
      </c>
      <c r="E53" s="2" t="s">
        <v>79</v>
      </c>
      <c r="F53" s="2"/>
      <c r="G53" s="2" t="s">
        <v>193</v>
      </c>
      <c r="H53" s="2" t="s">
        <v>79</v>
      </c>
      <c r="I53" s="2" t="s">
        <v>194</v>
      </c>
      <c r="J53" s="2" t="s">
        <v>111</v>
      </c>
      <c r="K53" s="2" t="s">
        <v>79</v>
      </c>
      <c r="L53" s="2" t="s">
        <v>92</v>
      </c>
      <c r="M53" s="2"/>
      <c r="N53" s="2"/>
      <c r="O53" s="2" t="s">
        <v>155</v>
      </c>
      <c r="P53" s="2" t="s">
        <v>80</v>
      </c>
      <c r="Q53" s="2"/>
      <c r="R53" s="2" t="s">
        <v>92</v>
      </c>
      <c r="S53" s="2" t="s">
        <v>1676</v>
      </c>
      <c r="T53" s="2" t="s">
        <v>465</v>
      </c>
      <c r="U53" s="2" t="s">
        <v>1679</v>
      </c>
      <c r="V53" s="2" t="s">
        <v>95</v>
      </c>
      <c r="W53" s="2" t="s">
        <v>1680</v>
      </c>
      <c r="X53" s="2" t="s">
        <v>1681</v>
      </c>
      <c r="Y53" s="2" t="s">
        <v>80</v>
      </c>
      <c r="Z53" s="2"/>
      <c r="AA53" s="2"/>
      <c r="AB53" s="2"/>
      <c r="AC53" s="2" t="s">
        <v>79</v>
      </c>
      <c r="AD53" s="2" t="s">
        <v>1682</v>
      </c>
      <c r="AE53" s="2" t="s">
        <v>1677</v>
      </c>
      <c r="AF53" s="2" t="s">
        <v>82</v>
      </c>
      <c r="AG53" s="2">
        <v>8.5</v>
      </c>
      <c r="AH53" s="2" t="s">
        <v>84</v>
      </c>
      <c r="AI53" s="2" t="s">
        <v>84</v>
      </c>
      <c r="AJ53" s="2" t="s">
        <v>84</v>
      </c>
      <c r="AK53" s="2" t="s">
        <v>84</v>
      </c>
      <c r="AL53" s="2" t="s">
        <v>84</v>
      </c>
      <c r="AM53" s="2" t="s">
        <v>84</v>
      </c>
      <c r="AN53" s="2" t="s">
        <v>84</v>
      </c>
      <c r="AO53" s="2" t="s">
        <v>86</v>
      </c>
      <c r="AP53" s="2" t="s">
        <v>84</v>
      </c>
      <c r="AQ53" s="2" t="s">
        <v>85</v>
      </c>
      <c r="AR53" s="2" t="s">
        <v>80</v>
      </c>
      <c r="AS53" s="2" t="s">
        <v>80</v>
      </c>
      <c r="AT53" s="2"/>
      <c r="AU53" s="2" t="s">
        <v>80</v>
      </c>
      <c r="AV53" s="2" t="s">
        <v>79</v>
      </c>
      <c r="AW53" s="2" t="s">
        <v>92</v>
      </c>
      <c r="AX53" s="2"/>
      <c r="AY53" s="2" t="s">
        <v>100</v>
      </c>
      <c r="AZ53" s="2" t="s">
        <v>1683</v>
      </c>
      <c r="BA53" s="2" t="s">
        <v>1557</v>
      </c>
      <c r="BB53" s="2" t="s">
        <v>79</v>
      </c>
      <c r="BC53" s="2" t="s">
        <v>1684</v>
      </c>
      <c r="BD53" s="2" t="s">
        <v>1685</v>
      </c>
      <c r="BE53" s="2" t="s">
        <v>1686</v>
      </c>
      <c r="BF53" s="2"/>
      <c r="BG53" s="2" t="s">
        <v>80</v>
      </c>
      <c r="BH53" s="2" t="s">
        <v>79</v>
      </c>
      <c r="BI53" s="2" t="s">
        <v>107</v>
      </c>
      <c r="BJ53" s="2" t="s">
        <v>1687</v>
      </c>
      <c r="BK53" s="2" t="s">
        <v>79</v>
      </c>
      <c r="BL53" s="2" t="s">
        <v>109</v>
      </c>
      <c r="BM53" s="2">
        <v>2019</v>
      </c>
    </row>
    <row r="54" spans="1:65" ht="409.5" x14ac:dyDescent="0.25">
      <c r="A54" s="2" t="s">
        <v>1475</v>
      </c>
      <c r="B54" s="2" t="s">
        <v>80</v>
      </c>
      <c r="C54" s="2" t="s">
        <v>1477</v>
      </c>
      <c r="D54" s="2" t="s">
        <v>79</v>
      </c>
      <c r="E54" s="2"/>
      <c r="F54" s="2"/>
      <c r="G54" s="2" t="s">
        <v>143</v>
      </c>
      <c r="H54" s="2" t="s">
        <v>80</v>
      </c>
      <c r="I54" s="2" t="s">
        <v>90</v>
      </c>
      <c r="J54" s="2" t="s">
        <v>111</v>
      </c>
      <c r="K54" s="2" t="s">
        <v>79</v>
      </c>
      <c r="L54" s="2"/>
      <c r="M54" s="2"/>
      <c r="N54" s="2" t="s">
        <v>143</v>
      </c>
      <c r="O54" s="2" t="s">
        <v>619</v>
      </c>
      <c r="P54" s="2" t="s">
        <v>79</v>
      </c>
      <c r="Q54" s="2" t="s">
        <v>1478</v>
      </c>
      <c r="R54" s="2" t="s">
        <v>92</v>
      </c>
      <c r="S54" s="2" t="s">
        <v>1000</v>
      </c>
      <c r="T54" s="2" t="s">
        <v>118</v>
      </c>
      <c r="U54" s="2" t="s">
        <v>1479</v>
      </c>
      <c r="V54" s="2" t="s">
        <v>95</v>
      </c>
      <c r="W54" s="2" t="s">
        <v>1480</v>
      </c>
      <c r="X54" s="2" t="s">
        <v>1481</v>
      </c>
      <c r="Y54" s="2" t="s">
        <v>80</v>
      </c>
      <c r="Z54" s="2"/>
      <c r="AA54" s="2"/>
      <c r="AB54" s="2" t="s">
        <v>1482</v>
      </c>
      <c r="AC54" s="2" t="s">
        <v>79</v>
      </c>
      <c r="AD54" s="2" t="s">
        <v>1483</v>
      </c>
      <c r="AE54" s="2" t="s">
        <v>1476</v>
      </c>
      <c r="AF54" s="2" t="s">
        <v>82</v>
      </c>
      <c r="AG54" s="2">
        <v>7.5</v>
      </c>
      <c r="AH54" s="2" t="s">
        <v>84</v>
      </c>
      <c r="AI54" s="2" t="s">
        <v>84</v>
      </c>
      <c r="AJ54" s="2" t="s">
        <v>84</v>
      </c>
      <c r="AK54" s="2" t="s">
        <v>86</v>
      </c>
      <c r="AL54" s="2" t="s">
        <v>84</v>
      </c>
      <c r="AM54" s="2" t="s">
        <v>84</v>
      </c>
      <c r="AN54" s="2" t="s">
        <v>84</v>
      </c>
      <c r="AO54" s="2" t="s">
        <v>84</v>
      </c>
      <c r="AP54" s="2" t="s">
        <v>86</v>
      </c>
      <c r="AQ54" s="2" t="s">
        <v>85</v>
      </c>
      <c r="AR54" s="2" t="s">
        <v>106</v>
      </c>
      <c r="AS54" s="2" t="s">
        <v>80</v>
      </c>
      <c r="AT54" s="2"/>
      <c r="AU54" s="2" t="s">
        <v>106</v>
      </c>
      <c r="AV54" s="2" t="s">
        <v>79</v>
      </c>
      <c r="AW54" s="2"/>
      <c r="AX54" s="2"/>
      <c r="AY54" s="2" t="s">
        <v>1143</v>
      </c>
      <c r="AZ54" s="2" t="s">
        <v>1484</v>
      </c>
      <c r="BA54" s="2" t="s">
        <v>514</v>
      </c>
      <c r="BB54" s="2" t="s">
        <v>79</v>
      </c>
      <c r="BC54" s="2" t="s">
        <v>1485</v>
      </c>
      <c r="BD54" s="2" t="s">
        <v>1486</v>
      </c>
      <c r="BE54" s="2" t="s">
        <v>648</v>
      </c>
      <c r="BF54" s="2"/>
      <c r="BG54" s="2" t="s">
        <v>80</v>
      </c>
      <c r="BH54" s="2" t="s">
        <v>79</v>
      </c>
      <c r="BI54" s="2" t="s">
        <v>155</v>
      </c>
      <c r="BJ54" s="2"/>
      <c r="BK54" s="2" t="s">
        <v>80</v>
      </c>
      <c r="BL54" s="2" t="s">
        <v>172</v>
      </c>
      <c r="BM54" s="2">
        <v>2019</v>
      </c>
    </row>
    <row r="55" spans="1:65" ht="409.5" x14ac:dyDescent="0.25">
      <c r="A55" s="2" t="s">
        <v>1330</v>
      </c>
      <c r="B55" s="2" t="s">
        <v>80</v>
      </c>
      <c r="C55" s="2" t="s">
        <v>1332</v>
      </c>
      <c r="D55" s="2" t="s">
        <v>79</v>
      </c>
      <c r="E55" s="2" t="s">
        <v>79</v>
      </c>
      <c r="F55" s="2" t="s">
        <v>1333</v>
      </c>
      <c r="G55" s="2" t="s">
        <v>89</v>
      </c>
      <c r="H55" s="2" t="s">
        <v>80</v>
      </c>
      <c r="I55" s="2" t="s">
        <v>116</v>
      </c>
      <c r="J55" s="2" t="s">
        <v>111</v>
      </c>
      <c r="K55" s="2" t="s">
        <v>79</v>
      </c>
      <c r="L55" s="2" t="s">
        <v>92</v>
      </c>
      <c r="M55" s="2" t="s">
        <v>1334</v>
      </c>
      <c r="N55" s="2"/>
      <c r="O55" s="2" t="s">
        <v>155</v>
      </c>
      <c r="P55" s="2" t="s">
        <v>80</v>
      </c>
      <c r="Q55" s="2"/>
      <c r="R55" s="2" t="s">
        <v>92</v>
      </c>
      <c r="S55" s="2" t="s">
        <v>271</v>
      </c>
      <c r="T55" s="2" t="s">
        <v>118</v>
      </c>
      <c r="U55" s="2" t="s">
        <v>1335</v>
      </c>
      <c r="V55" s="2" t="s">
        <v>95</v>
      </c>
      <c r="W55" s="2" t="s">
        <v>1336</v>
      </c>
      <c r="X55" s="2" t="s">
        <v>1337</v>
      </c>
      <c r="Y55" s="2" t="s">
        <v>80</v>
      </c>
      <c r="Z55" s="2"/>
      <c r="AA55" s="2"/>
      <c r="AB55" s="2"/>
      <c r="AC55" s="2" t="s">
        <v>79</v>
      </c>
      <c r="AD55" s="2" t="s">
        <v>1338</v>
      </c>
      <c r="AE55" s="2" t="s">
        <v>1331</v>
      </c>
      <c r="AF55" s="2" t="s">
        <v>82</v>
      </c>
      <c r="AG55" s="2">
        <v>8</v>
      </c>
      <c r="AH55" s="2" t="s">
        <v>84</v>
      </c>
      <c r="AI55" s="2" t="s">
        <v>84</v>
      </c>
      <c r="AJ55" s="2" t="s">
        <v>84</v>
      </c>
      <c r="AK55" s="2" t="s">
        <v>84</v>
      </c>
      <c r="AL55" s="2" t="s">
        <v>84</v>
      </c>
      <c r="AM55" s="2" t="s">
        <v>84</v>
      </c>
      <c r="AN55" s="2" t="s">
        <v>85</v>
      </c>
      <c r="AO55" s="2" t="s">
        <v>86</v>
      </c>
      <c r="AP55" s="2" t="s">
        <v>84</v>
      </c>
      <c r="AQ55" s="2" t="s">
        <v>85</v>
      </c>
      <c r="AR55" s="2" t="s">
        <v>80</v>
      </c>
      <c r="AS55" s="2" t="s">
        <v>80</v>
      </c>
      <c r="AT55" s="2"/>
      <c r="AU55" s="2" t="s">
        <v>80</v>
      </c>
      <c r="AV55" s="2" t="s">
        <v>80</v>
      </c>
      <c r="AW55" s="2" t="s">
        <v>80</v>
      </c>
      <c r="AX55" s="2"/>
      <c r="AY55" s="2" t="s">
        <v>100</v>
      </c>
      <c r="AZ55" s="2" t="s">
        <v>1339</v>
      </c>
      <c r="BA55" s="2" t="s">
        <v>102</v>
      </c>
      <c r="BB55" s="2" t="s">
        <v>79</v>
      </c>
      <c r="BC55" s="2" t="s">
        <v>1340</v>
      </c>
      <c r="BD55" s="2" t="s">
        <v>1341</v>
      </c>
      <c r="BE55" s="2" t="s">
        <v>153</v>
      </c>
      <c r="BF55" s="2"/>
      <c r="BG55" s="2" t="s">
        <v>80</v>
      </c>
      <c r="BH55" s="2" t="s">
        <v>106</v>
      </c>
      <c r="BI55" s="2" t="s">
        <v>107</v>
      </c>
      <c r="BJ55" s="2" t="s">
        <v>1342</v>
      </c>
      <c r="BK55" s="2" t="s">
        <v>79</v>
      </c>
      <c r="BL55" s="2" t="s">
        <v>109</v>
      </c>
      <c r="BM55" s="2">
        <v>2019</v>
      </c>
    </row>
    <row r="56" spans="1:65" ht="409.5" x14ac:dyDescent="0.25">
      <c r="A56" s="2" t="s">
        <v>1343</v>
      </c>
      <c r="B56" s="2" t="s">
        <v>80</v>
      </c>
      <c r="C56" s="2" t="s">
        <v>1346</v>
      </c>
      <c r="D56" s="2" t="s">
        <v>79</v>
      </c>
      <c r="E56" s="2"/>
      <c r="F56" s="2" t="s">
        <v>1347</v>
      </c>
      <c r="G56" s="2" t="s">
        <v>89</v>
      </c>
      <c r="H56" s="2" t="s">
        <v>80</v>
      </c>
      <c r="I56" s="2" t="s">
        <v>116</v>
      </c>
      <c r="J56" s="2" t="s">
        <v>111</v>
      </c>
      <c r="K56" s="2" t="s">
        <v>79</v>
      </c>
      <c r="L56" s="2"/>
      <c r="M56" s="2" t="s">
        <v>1348</v>
      </c>
      <c r="N56" s="2"/>
      <c r="O56" s="2"/>
      <c r="P56" s="2" t="s">
        <v>80</v>
      </c>
      <c r="Q56" s="2"/>
      <c r="R56" s="2" t="s">
        <v>92</v>
      </c>
      <c r="S56" s="2" t="s">
        <v>1344</v>
      </c>
      <c r="T56" s="2"/>
      <c r="U56" s="2" t="s">
        <v>1349</v>
      </c>
      <c r="V56" s="2" t="s">
        <v>95</v>
      </c>
      <c r="W56" s="2" t="s">
        <v>1350</v>
      </c>
      <c r="X56" s="2" t="s">
        <v>1351</v>
      </c>
      <c r="Y56" s="2" t="s">
        <v>80</v>
      </c>
      <c r="Z56" s="2"/>
      <c r="AA56" s="2"/>
      <c r="AB56" s="2" t="s">
        <v>1352</v>
      </c>
      <c r="AC56" s="2" t="s">
        <v>79</v>
      </c>
      <c r="AD56" s="2" t="s">
        <v>1353</v>
      </c>
      <c r="AE56" s="2" t="s">
        <v>1345</v>
      </c>
      <c r="AF56" s="2" t="s">
        <v>82</v>
      </c>
      <c r="AG56" s="2">
        <v>8.5</v>
      </c>
      <c r="AH56" s="2" t="s">
        <v>84</v>
      </c>
      <c r="AI56" s="2" t="s">
        <v>84</v>
      </c>
      <c r="AJ56" s="2" t="s">
        <v>84</v>
      </c>
      <c r="AK56" s="2" t="s">
        <v>84</v>
      </c>
      <c r="AL56" s="2" t="s">
        <v>84</v>
      </c>
      <c r="AM56" s="2" t="s">
        <v>84</v>
      </c>
      <c r="AN56" s="2" t="s">
        <v>85</v>
      </c>
      <c r="AO56" s="2" t="s">
        <v>86</v>
      </c>
      <c r="AP56" s="2" t="s">
        <v>84</v>
      </c>
      <c r="AQ56" s="2" t="s">
        <v>84</v>
      </c>
      <c r="AR56" s="2" t="s">
        <v>80</v>
      </c>
      <c r="AS56" s="2" t="s">
        <v>80</v>
      </c>
      <c r="AT56" s="2"/>
      <c r="AU56" s="2" t="s">
        <v>80</v>
      </c>
      <c r="AV56" s="2" t="s">
        <v>80</v>
      </c>
      <c r="AW56" s="2"/>
      <c r="AX56" s="2"/>
      <c r="AY56" s="2" t="s">
        <v>100</v>
      </c>
      <c r="AZ56" s="2" t="s">
        <v>1354</v>
      </c>
      <c r="BA56" s="2" t="s">
        <v>102</v>
      </c>
      <c r="BB56" s="2" t="s">
        <v>79</v>
      </c>
      <c r="BC56" s="2"/>
      <c r="BD56" s="2" t="s">
        <v>1355</v>
      </c>
      <c r="BE56" s="2" t="s">
        <v>153</v>
      </c>
      <c r="BF56" s="2"/>
      <c r="BG56" s="2" t="s">
        <v>80</v>
      </c>
      <c r="BH56" s="2" t="s">
        <v>106</v>
      </c>
      <c r="BI56" s="2" t="s">
        <v>107</v>
      </c>
      <c r="BJ56" s="2" t="s">
        <v>1356</v>
      </c>
      <c r="BK56" s="2" t="s">
        <v>79</v>
      </c>
      <c r="BL56" s="2" t="s">
        <v>109</v>
      </c>
      <c r="BM56" s="2">
        <v>2019</v>
      </c>
    </row>
    <row r="57" spans="1:65" ht="409.5" x14ac:dyDescent="0.25">
      <c r="A57" s="2" t="s">
        <v>1357</v>
      </c>
      <c r="B57" s="2" t="s">
        <v>80</v>
      </c>
      <c r="C57" s="2" t="s">
        <v>1359</v>
      </c>
      <c r="D57" s="2" t="s">
        <v>79</v>
      </c>
      <c r="E57" s="2"/>
      <c r="F57" s="2" t="s">
        <v>1360</v>
      </c>
      <c r="G57" s="2" t="s">
        <v>89</v>
      </c>
      <c r="H57" s="2" t="s">
        <v>80</v>
      </c>
      <c r="I57" s="2" t="s">
        <v>116</v>
      </c>
      <c r="J57" s="2" t="s">
        <v>111</v>
      </c>
      <c r="K57" s="2" t="s">
        <v>79</v>
      </c>
      <c r="L57" s="2"/>
      <c r="M57" s="2" t="s">
        <v>1361</v>
      </c>
      <c r="N57" s="2"/>
      <c r="O57" s="2"/>
      <c r="P57" s="2" t="s">
        <v>80</v>
      </c>
      <c r="Q57" s="2"/>
      <c r="R57" s="2" t="s">
        <v>92</v>
      </c>
      <c r="S57" s="2" t="s">
        <v>1344</v>
      </c>
      <c r="T57" s="2"/>
      <c r="U57" s="2" t="s">
        <v>1362</v>
      </c>
      <c r="V57" s="2" t="s">
        <v>95</v>
      </c>
      <c r="W57" s="2" t="s">
        <v>1363</v>
      </c>
      <c r="X57" s="2" t="s">
        <v>1364</v>
      </c>
      <c r="Y57" s="2" t="s">
        <v>80</v>
      </c>
      <c r="Z57" s="2"/>
      <c r="AA57" s="2"/>
      <c r="AB57" s="2" t="s">
        <v>1365</v>
      </c>
      <c r="AC57" s="2" t="s">
        <v>79</v>
      </c>
      <c r="AD57" s="2" t="s">
        <v>1366</v>
      </c>
      <c r="AE57" s="2" t="s">
        <v>1358</v>
      </c>
      <c r="AF57" s="2" t="s">
        <v>82</v>
      </c>
      <c r="AG57" s="2">
        <v>8.5</v>
      </c>
      <c r="AH57" s="2" t="s">
        <v>84</v>
      </c>
      <c r="AI57" s="2" t="s">
        <v>84</v>
      </c>
      <c r="AJ57" s="2" t="s">
        <v>84</v>
      </c>
      <c r="AK57" s="2" t="s">
        <v>84</v>
      </c>
      <c r="AL57" s="2" t="s">
        <v>84</v>
      </c>
      <c r="AM57" s="2" t="s">
        <v>84</v>
      </c>
      <c r="AN57" s="2" t="s">
        <v>84</v>
      </c>
      <c r="AO57" s="2" t="s">
        <v>86</v>
      </c>
      <c r="AP57" s="2" t="s">
        <v>84</v>
      </c>
      <c r="AQ57" s="2" t="s">
        <v>85</v>
      </c>
      <c r="AR57" s="2" t="s">
        <v>80</v>
      </c>
      <c r="AS57" s="2" t="s">
        <v>80</v>
      </c>
      <c r="AT57" s="2"/>
      <c r="AU57" s="2" t="s">
        <v>80</v>
      </c>
      <c r="AV57" s="2" t="s">
        <v>79</v>
      </c>
      <c r="AW57" s="2"/>
      <c r="AX57" s="2" t="s">
        <v>1367</v>
      </c>
      <c r="AY57" s="2" t="s">
        <v>303</v>
      </c>
      <c r="AZ57" s="2" t="s">
        <v>1368</v>
      </c>
      <c r="BA57" s="2" t="s">
        <v>514</v>
      </c>
      <c r="BB57" s="2" t="s">
        <v>79</v>
      </c>
      <c r="BC57" s="2"/>
      <c r="BD57" s="2" t="s">
        <v>1369</v>
      </c>
      <c r="BE57" s="2" t="s">
        <v>153</v>
      </c>
      <c r="BF57" s="2"/>
      <c r="BG57" s="2" t="s">
        <v>80</v>
      </c>
      <c r="BH57" s="2" t="s">
        <v>79</v>
      </c>
      <c r="BI57" s="2" t="s">
        <v>107</v>
      </c>
      <c r="BJ57" s="2" t="s">
        <v>1370</v>
      </c>
      <c r="BK57" s="2" t="s">
        <v>79</v>
      </c>
      <c r="BL57" s="2" t="s">
        <v>268</v>
      </c>
      <c r="BM57" s="2">
        <v>2019</v>
      </c>
    </row>
    <row r="58" spans="1:65" ht="409.5" x14ac:dyDescent="0.25">
      <c r="A58" s="2" t="s">
        <v>1279</v>
      </c>
      <c r="B58" s="2" t="s">
        <v>80</v>
      </c>
      <c r="C58" s="2" t="s">
        <v>1282</v>
      </c>
      <c r="D58" s="2" t="s">
        <v>79</v>
      </c>
      <c r="E58" s="2" t="s">
        <v>92</v>
      </c>
      <c r="F58" s="2" t="s">
        <v>1283</v>
      </c>
      <c r="G58" s="2" t="s">
        <v>143</v>
      </c>
      <c r="H58" s="2" t="s">
        <v>80</v>
      </c>
      <c r="I58" s="2" t="s">
        <v>194</v>
      </c>
      <c r="J58" s="2" t="s">
        <v>111</v>
      </c>
      <c r="K58" s="2" t="s">
        <v>79</v>
      </c>
      <c r="L58" s="2" t="s">
        <v>92</v>
      </c>
      <c r="M58" s="2" t="s">
        <v>1284</v>
      </c>
      <c r="N58" s="2" t="s">
        <v>1285</v>
      </c>
      <c r="O58" s="2" t="s">
        <v>1286</v>
      </c>
      <c r="P58" s="2" t="s">
        <v>79</v>
      </c>
      <c r="Q58" s="2" t="s">
        <v>1287</v>
      </c>
      <c r="R58" s="2" t="s">
        <v>92</v>
      </c>
      <c r="S58" s="2" t="s">
        <v>1280</v>
      </c>
      <c r="T58" s="2" t="s">
        <v>1288</v>
      </c>
      <c r="U58" s="2" t="s">
        <v>1289</v>
      </c>
      <c r="V58" s="2" t="s">
        <v>95</v>
      </c>
      <c r="W58" s="2" t="s">
        <v>1290</v>
      </c>
      <c r="X58" s="2" t="s">
        <v>1291</v>
      </c>
      <c r="Y58" s="2" t="s">
        <v>79</v>
      </c>
      <c r="Z58" s="2" t="s">
        <v>1292</v>
      </c>
      <c r="AA58" s="2" t="s">
        <v>1293</v>
      </c>
      <c r="AB58" s="2"/>
      <c r="AC58" s="2" t="s">
        <v>79</v>
      </c>
      <c r="AD58" s="2" t="s">
        <v>1294</v>
      </c>
      <c r="AE58" s="2" t="s">
        <v>1281</v>
      </c>
      <c r="AF58" s="2" t="s">
        <v>82</v>
      </c>
      <c r="AG58" s="2">
        <v>8.5</v>
      </c>
      <c r="AH58" s="2" t="s">
        <v>84</v>
      </c>
      <c r="AI58" s="2" t="s">
        <v>84</v>
      </c>
      <c r="AJ58" s="2" t="s">
        <v>84</v>
      </c>
      <c r="AK58" s="2" t="s">
        <v>86</v>
      </c>
      <c r="AL58" s="2" t="s">
        <v>84</v>
      </c>
      <c r="AM58" s="2" t="s">
        <v>84</v>
      </c>
      <c r="AN58" s="2" t="s">
        <v>84</v>
      </c>
      <c r="AO58" s="2" t="s">
        <v>84</v>
      </c>
      <c r="AP58" s="2" t="s">
        <v>84</v>
      </c>
      <c r="AQ58" s="2" t="s">
        <v>85</v>
      </c>
      <c r="AR58" s="2" t="s">
        <v>80</v>
      </c>
      <c r="AS58" s="2" t="s">
        <v>80</v>
      </c>
      <c r="AT58" s="2"/>
      <c r="AU58" s="2" t="s">
        <v>80</v>
      </c>
      <c r="AV58" s="2" t="s">
        <v>79</v>
      </c>
      <c r="AW58" s="2" t="s">
        <v>92</v>
      </c>
      <c r="AX58" s="2" t="s">
        <v>1295</v>
      </c>
      <c r="AY58" s="2" t="s">
        <v>1143</v>
      </c>
      <c r="AZ58" s="2" t="s">
        <v>1296</v>
      </c>
      <c r="BA58" s="2" t="s">
        <v>514</v>
      </c>
      <c r="BB58" s="2" t="s">
        <v>79</v>
      </c>
      <c r="BC58" s="2" t="s">
        <v>756</v>
      </c>
      <c r="BD58" s="2" t="s">
        <v>1297</v>
      </c>
      <c r="BE58" s="2" t="s">
        <v>648</v>
      </c>
      <c r="BF58" s="2"/>
      <c r="BG58" s="2" t="s">
        <v>80</v>
      </c>
      <c r="BH58" s="2" t="s">
        <v>79</v>
      </c>
      <c r="BI58" s="2" t="s">
        <v>1298</v>
      </c>
      <c r="BJ58" s="2" t="s">
        <v>1299</v>
      </c>
      <c r="BK58" s="2" t="s">
        <v>79</v>
      </c>
      <c r="BL58" s="2" t="s">
        <v>109</v>
      </c>
      <c r="BM58" s="2">
        <v>2019</v>
      </c>
    </row>
    <row r="59" spans="1:65" ht="409.5" x14ac:dyDescent="0.25">
      <c r="A59" s="2" t="s">
        <v>1096</v>
      </c>
      <c r="B59" s="2" t="s">
        <v>80</v>
      </c>
      <c r="C59" s="2" t="s">
        <v>1098</v>
      </c>
      <c r="D59" s="2" t="s">
        <v>79</v>
      </c>
      <c r="E59" s="2" t="s">
        <v>79</v>
      </c>
      <c r="F59" s="2" t="s">
        <v>1099</v>
      </c>
      <c r="G59" s="2" t="s">
        <v>143</v>
      </c>
      <c r="H59" s="2" t="s">
        <v>106</v>
      </c>
      <c r="I59" s="2" t="s">
        <v>194</v>
      </c>
      <c r="J59" s="2" t="s">
        <v>111</v>
      </c>
      <c r="K59" s="2" t="s">
        <v>79</v>
      </c>
      <c r="L59" s="2" t="s">
        <v>92</v>
      </c>
      <c r="M59" s="2" t="s">
        <v>1100</v>
      </c>
      <c r="N59" s="2"/>
      <c r="O59" s="2" t="s">
        <v>155</v>
      </c>
      <c r="P59" s="2" t="s">
        <v>80</v>
      </c>
      <c r="Q59" s="2"/>
      <c r="R59" s="2" t="s">
        <v>92</v>
      </c>
      <c r="S59" s="2" t="s">
        <v>889</v>
      </c>
      <c r="T59" s="2" t="s">
        <v>465</v>
      </c>
      <c r="U59" s="2" t="s">
        <v>1101</v>
      </c>
      <c r="V59" s="2" t="s">
        <v>95</v>
      </c>
      <c r="W59" s="2" t="s">
        <v>1102</v>
      </c>
      <c r="X59" s="2" t="s">
        <v>1103</v>
      </c>
      <c r="Y59" s="2" t="s">
        <v>80</v>
      </c>
      <c r="Z59" s="2"/>
      <c r="AA59" s="2"/>
      <c r="AB59" s="2"/>
      <c r="AC59" s="2" t="s">
        <v>79</v>
      </c>
      <c r="AD59" s="2" t="s">
        <v>1104</v>
      </c>
      <c r="AE59" s="2" t="s">
        <v>1097</v>
      </c>
      <c r="AF59" s="2" t="s">
        <v>82</v>
      </c>
      <c r="AG59" s="2">
        <v>8.5</v>
      </c>
      <c r="AH59" s="2" t="s">
        <v>84</v>
      </c>
      <c r="AI59" s="2" t="s">
        <v>84</v>
      </c>
      <c r="AJ59" s="2" t="s">
        <v>84</v>
      </c>
      <c r="AK59" s="2" t="s">
        <v>84</v>
      </c>
      <c r="AL59" s="2" t="s">
        <v>84</v>
      </c>
      <c r="AM59" s="2" t="s">
        <v>84</v>
      </c>
      <c r="AN59" s="2" t="s">
        <v>84</v>
      </c>
      <c r="AO59" s="2" t="s">
        <v>86</v>
      </c>
      <c r="AP59" s="2" t="s">
        <v>84</v>
      </c>
      <c r="AQ59" s="2" t="s">
        <v>85</v>
      </c>
      <c r="AR59" s="2" t="s">
        <v>106</v>
      </c>
      <c r="AS59" s="2" t="s">
        <v>80</v>
      </c>
      <c r="AT59" s="2"/>
      <c r="AU59" s="2" t="s">
        <v>106</v>
      </c>
      <c r="AV59" s="2" t="s">
        <v>79</v>
      </c>
      <c r="AW59" s="2" t="s">
        <v>92</v>
      </c>
      <c r="AX59" s="2" t="s">
        <v>1105</v>
      </c>
      <c r="AY59" s="2" t="s">
        <v>100</v>
      </c>
      <c r="AZ59" s="2" t="s">
        <v>1106</v>
      </c>
      <c r="BA59" s="2" t="s">
        <v>286</v>
      </c>
      <c r="BB59" s="2" t="s">
        <v>79</v>
      </c>
      <c r="BC59" s="2" t="s">
        <v>756</v>
      </c>
      <c r="BD59" s="2" t="s">
        <v>1107</v>
      </c>
      <c r="BE59" s="2" t="s">
        <v>1108</v>
      </c>
      <c r="BF59" s="2"/>
      <c r="BG59" s="2" t="s">
        <v>80</v>
      </c>
      <c r="BH59" s="2" t="s">
        <v>79</v>
      </c>
      <c r="BI59" s="2" t="s">
        <v>206</v>
      </c>
      <c r="BJ59" s="2" t="s">
        <v>1109</v>
      </c>
      <c r="BK59" s="2" t="s">
        <v>79</v>
      </c>
      <c r="BL59" s="2" t="s">
        <v>109</v>
      </c>
      <c r="BM59" s="2">
        <v>2019</v>
      </c>
    </row>
    <row r="60" spans="1:65" ht="409.5" x14ac:dyDescent="0.25">
      <c r="A60" s="2" t="s">
        <v>713</v>
      </c>
      <c r="B60" s="2" t="s">
        <v>80</v>
      </c>
      <c r="C60" s="2" t="s">
        <v>716</v>
      </c>
      <c r="D60" s="2" t="s">
        <v>79</v>
      </c>
      <c r="E60" s="2" t="s">
        <v>92</v>
      </c>
      <c r="F60" s="2" t="s">
        <v>717</v>
      </c>
      <c r="G60" s="2" t="s">
        <v>143</v>
      </c>
      <c r="H60" s="2" t="s">
        <v>106</v>
      </c>
      <c r="I60" s="2" t="s">
        <v>90</v>
      </c>
      <c r="J60" s="2" t="s">
        <v>566</v>
      </c>
      <c r="K60" s="2" t="s">
        <v>79</v>
      </c>
      <c r="L60" s="2" t="s">
        <v>92</v>
      </c>
      <c r="M60" s="2" t="s">
        <v>718</v>
      </c>
      <c r="N60" s="2"/>
      <c r="O60" s="2"/>
      <c r="P60" s="2" t="s">
        <v>80</v>
      </c>
      <c r="Q60" s="2"/>
      <c r="R60" s="2" t="s">
        <v>92</v>
      </c>
      <c r="S60" s="2" t="s">
        <v>714</v>
      </c>
      <c r="T60" s="2" t="s">
        <v>656</v>
      </c>
      <c r="U60" s="2" t="s">
        <v>719</v>
      </c>
      <c r="V60" s="2" t="s">
        <v>95</v>
      </c>
      <c r="W60" s="2" t="s">
        <v>720</v>
      </c>
      <c r="X60" s="2" t="s">
        <v>721</v>
      </c>
      <c r="Y60" s="2" t="s">
        <v>80</v>
      </c>
      <c r="Z60" s="2"/>
      <c r="AA60" s="2"/>
      <c r="AB60" s="2"/>
      <c r="AC60" s="2" t="s">
        <v>79</v>
      </c>
      <c r="AD60" s="2" t="s">
        <v>722</v>
      </c>
      <c r="AE60" s="2" t="s">
        <v>715</v>
      </c>
      <c r="AF60" s="2" t="s">
        <v>82</v>
      </c>
      <c r="AG60" s="2">
        <v>8.5</v>
      </c>
      <c r="AH60" s="2" t="s">
        <v>84</v>
      </c>
      <c r="AI60" s="2" t="s">
        <v>84</v>
      </c>
      <c r="AJ60" s="2" t="s">
        <v>84</v>
      </c>
      <c r="AK60" s="2" t="s">
        <v>84</v>
      </c>
      <c r="AL60" s="2" t="s">
        <v>84</v>
      </c>
      <c r="AM60" s="2" t="s">
        <v>84</v>
      </c>
      <c r="AN60" s="2" t="s">
        <v>84</v>
      </c>
      <c r="AO60" s="2" t="s">
        <v>86</v>
      </c>
      <c r="AP60" s="2" t="s">
        <v>84</v>
      </c>
      <c r="AQ60" s="2" t="s">
        <v>85</v>
      </c>
      <c r="AR60" s="2" t="s">
        <v>106</v>
      </c>
      <c r="AS60" s="2" t="s">
        <v>80</v>
      </c>
      <c r="AT60" s="2"/>
      <c r="AU60" s="2" t="s">
        <v>106</v>
      </c>
      <c r="AV60" s="2" t="s">
        <v>79</v>
      </c>
      <c r="AW60" s="2" t="s">
        <v>92</v>
      </c>
      <c r="AX60" s="2" t="s">
        <v>723</v>
      </c>
      <c r="AY60" s="2" t="s">
        <v>100</v>
      </c>
      <c r="AZ60" s="2" t="s">
        <v>724</v>
      </c>
      <c r="BA60" s="2" t="s">
        <v>102</v>
      </c>
      <c r="BB60" s="2" t="s">
        <v>79</v>
      </c>
      <c r="BC60" s="2"/>
      <c r="BD60" s="2" t="s">
        <v>725</v>
      </c>
      <c r="BE60" s="2" t="s">
        <v>648</v>
      </c>
      <c r="BF60" s="2"/>
      <c r="BG60" s="2" t="s">
        <v>80</v>
      </c>
      <c r="BH60" s="2" t="s">
        <v>79</v>
      </c>
      <c r="BI60" s="2" t="s">
        <v>367</v>
      </c>
      <c r="BJ60" s="2" t="s">
        <v>726</v>
      </c>
      <c r="BK60" s="2" t="s">
        <v>79</v>
      </c>
      <c r="BL60" s="2" t="s">
        <v>268</v>
      </c>
      <c r="BM60" s="2">
        <v>2019</v>
      </c>
    </row>
    <row r="61" spans="1:65" ht="409.5" x14ac:dyDescent="0.25">
      <c r="A61" s="2" t="s">
        <v>612</v>
      </c>
      <c r="B61" s="2" t="s">
        <v>80</v>
      </c>
      <c r="C61" s="2" t="s">
        <v>615</v>
      </c>
      <c r="D61" s="2" t="s">
        <v>79</v>
      </c>
      <c r="E61" s="2" t="s">
        <v>92</v>
      </c>
      <c r="F61" s="2" t="s">
        <v>616</v>
      </c>
      <c r="G61" s="2" t="s">
        <v>143</v>
      </c>
      <c r="H61" s="2" t="s">
        <v>79</v>
      </c>
      <c r="I61" s="2" t="s">
        <v>194</v>
      </c>
      <c r="J61" s="2" t="s">
        <v>78</v>
      </c>
      <c r="K61" s="2" t="s">
        <v>79</v>
      </c>
      <c r="L61" s="2" t="s">
        <v>92</v>
      </c>
      <c r="M61" s="2" t="s">
        <v>617</v>
      </c>
      <c r="N61" s="2" t="s">
        <v>618</v>
      </c>
      <c r="O61" s="2" t="s">
        <v>619</v>
      </c>
      <c r="P61" s="2" t="s">
        <v>79</v>
      </c>
      <c r="Q61" s="2" t="s">
        <v>620</v>
      </c>
      <c r="R61" s="2" t="s">
        <v>92</v>
      </c>
      <c r="S61" s="2" t="s">
        <v>613</v>
      </c>
      <c r="T61" s="2" t="s">
        <v>93</v>
      </c>
      <c r="U61" s="2" t="s">
        <v>621</v>
      </c>
      <c r="V61" s="2" t="s">
        <v>95</v>
      </c>
      <c r="W61" s="2" t="s">
        <v>622</v>
      </c>
      <c r="X61" s="2" t="s">
        <v>623</v>
      </c>
      <c r="Y61" s="2" t="s">
        <v>80</v>
      </c>
      <c r="Z61" s="2"/>
      <c r="AA61" s="2"/>
      <c r="AB61" s="2" t="s">
        <v>624</v>
      </c>
      <c r="AC61" s="2" t="s">
        <v>79</v>
      </c>
      <c r="AD61" s="2" t="s">
        <v>625</v>
      </c>
      <c r="AE61" s="2" t="s">
        <v>614</v>
      </c>
      <c r="AF61" s="2" t="s">
        <v>82</v>
      </c>
      <c r="AG61" s="2">
        <v>9.5</v>
      </c>
      <c r="AH61" s="2" t="s">
        <v>84</v>
      </c>
      <c r="AI61" s="2" t="s">
        <v>84</v>
      </c>
      <c r="AJ61" s="2" t="s">
        <v>84</v>
      </c>
      <c r="AK61" s="2" t="s">
        <v>84</v>
      </c>
      <c r="AL61" s="2" t="s">
        <v>84</v>
      </c>
      <c r="AM61" s="2" t="s">
        <v>84</v>
      </c>
      <c r="AN61" s="2" t="s">
        <v>84</v>
      </c>
      <c r="AO61" s="2" t="s">
        <v>84</v>
      </c>
      <c r="AP61" s="2" t="s">
        <v>84</v>
      </c>
      <c r="AQ61" s="2" t="s">
        <v>85</v>
      </c>
      <c r="AR61" s="2"/>
      <c r="AS61" s="2" t="s">
        <v>80</v>
      </c>
      <c r="AT61" s="2"/>
      <c r="AU61" s="2"/>
      <c r="AV61" s="2" t="s">
        <v>79</v>
      </c>
      <c r="AW61" s="2" t="s">
        <v>92</v>
      </c>
      <c r="AX61" s="2" t="s">
        <v>626</v>
      </c>
      <c r="AY61" s="2" t="s">
        <v>303</v>
      </c>
      <c r="AZ61" s="2" t="s">
        <v>627</v>
      </c>
      <c r="BA61" s="2" t="s">
        <v>514</v>
      </c>
      <c r="BB61" s="2" t="s">
        <v>79</v>
      </c>
      <c r="BC61" s="2" t="s">
        <v>628</v>
      </c>
      <c r="BD61" s="2" t="s">
        <v>629</v>
      </c>
      <c r="BE61" s="2" t="s">
        <v>104</v>
      </c>
      <c r="BF61" s="2" t="s">
        <v>630</v>
      </c>
      <c r="BG61" s="2" t="s">
        <v>92</v>
      </c>
      <c r="BH61" s="2" t="s">
        <v>79</v>
      </c>
      <c r="BI61" s="2" t="s">
        <v>631</v>
      </c>
      <c r="BJ61" s="2" t="s">
        <v>632</v>
      </c>
      <c r="BK61" s="2" t="s">
        <v>79</v>
      </c>
      <c r="BL61" s="2" t="s">
        <v>109</v>
      </c>
      <c r="BM61" s="2">
        <v>2019</v>
      </c>
    </row>
    <row r="62" spans="1:65" ht="409.5" x14ac:dyDescent="0.25">
      <c r="A62" s="2" t="s">
        <v>565</v>
      </c>
      <c r="B62" s="2" t="s">
        <v>79</v>
      </c>
      <c r="C62" s="2" t="s">
        <v>568</v>
      </c>
      <c r="D62" s="2" t="s">
        <v>79</v>
      </c>
      <c r="E62" s="2" t="s">
        <v>79</v>
      </c>
      <c r="F62" s="2" t="s">
        <v>569</v>
      </c>
      <c r="G62" s="2" t="s">
        <v>89</v>
      </c>
      <c r="H62" s="2" t="s">
        <v>79</v>
      </c>
      <c r="I62" s="2" t="s">
        <v>116</v>
      </c>
      <c r="J62" s="2" t="s">
        <v>566</v>
      </c>
      <c r="K62" s="2" t="s">
        <v>79</v>
      </c>
      <c r="L62" s="2" t="s">
        <v>79</v>
      </c>
      <c r="M62" s="2" t="s">
        <v>570</v>
      </c>
      <c r="N62" s="2"/>
      <c r="O62" s="2"/>
      <c r="P62" s="2" t="s">
        <v>80</v>
      </c>
      <c r="Q62" s="2"/>
      <c r="R62" s="2" t="s">
        <v>92</v>
      </c>
      <c r="S62" s="2" t="s">
        <v>224</v>
      </c>
      <c r="T62" s="2" t="s">
        <v>118</v>
      </c>
      <c r="U62" s="2" t="s">
        <v>571</v>
      </c>
      <c r="V62" s="2" t="s">
        <v>95</v>
      </c>
      <c r="W62" s="2" t="s">
        <v>572</v>
      </c>
      <c r="X62" s="2" t="s">
        <v>573</v>
      </c>
      <c r="Y62" s="2" t="s">
        <v>80</v>
      </c>
      <c r="Z62" s="2"/>
      <c r="AA62" s="2"/>
      <c r="AB62" s="2" t="s">
        <v>574</v>
      </c>
      <c r="AC62" s="2" t="s">
        <v>79</v>
      </c>
      <c r="AD62" s="2" t="s">
        <v>575</v>
      </c>
      <c r="AE62" s="2" t="s">
        <v>567</v>
      </c>
      <c r="AF62" s="2" t="s">
        <v>82</v>
      </c>
      <c r="AG62" s="2">
        <v>8.5</v>
      </c>
      <c r="AH62" s="2" t="s">
        <v>84</v>
      </c>
      <c r="AI62" s="2" t="s">
        <v>84</v>
      </c>
      <c r="AJ62" s="2" t="s">
        <v>84</v>
      </c>
      <c r="AK62" s="2" t="s">
        <v>84</v>
      </c>
      <c r="AL62" s="2" t="s">
        <v>84</v>
      </c>
      <c r="AM62" s="2" t="s">
        <v>84</v>
      </c>
      <c r="AN62" s="2" t="s">
        <v>84</v>
      </c>
      <c r="AO62" s="2" t="s">
        <v>86</v>
      </c>
      <c r="AP62" s="2" t="s">
        <v>84</v>
      </c>
      <c r="AQ62" s="2" t="s">
        <v>85</v>
      </c>
      <c r="AR62" s="2"/>
      <c r="AS62" s="2" t="s">
        <v>80</v>
      </c>
      <c r="AT62" s="2"/>
      <c r="AU62" s="2"/>
      <c r="AV62" s="2" t="s">
        <v>79</v>
      </c>
      <c r="AW62" s="2" t="s">
        <v>92</v>
      </c>
      <c r="AX62" s="2" t="s">
        <v>576</v>
      </c>
      <c r="AY62" s="2" t="s">
        <v>100</v>
      </c>
      <c r="AZ62" s="2" t="s">
        <v>577</v>
      </c>
      <c r="BA62" s="2" t="s">
        <v>102</v>
      </c>
      <c r="BB62" s="2" t="s">
        <v>79</v>
      </c>
      <c r="BC62" s="2"/>
      <c r="BD62" s="2" t="s">
        <v>578</v>
      </c>
      <c r="BE62" s="2" t="s">
        <v>153</v>
      </c>
      <c r="BF62" s="2" t="s">
        <v>579</v>
      </c>
      <c r="BG62" s="2" t="s">
        <v>79</v>
      </c>
      <c r="BH62" s="2" t="s">
        <v>79</v>
      </c>
      <c r="BI62" s="2" t="s">
        <v>563</v>
      </c>
      <c r="BJ62" s="2" t="s">
        <v>580</v>
      </c>
      <c r="BK62" s="2" t="s">
        <v>79</v>
      </c>
      <c r="BL62" s="2" t="s">
        <v>109</v>
      </c>
      <c r="BM62" s="2">
        <v>2019</v>
      </c>
    </row>
    <row r="63" spans="1:65" ht="409.5" x14ac:dyDescent="0.25">
      <c r="A63" s="2" t="s">
        <v>581</v>
      </c>
      <c r="B63" s="2" t="s">
        <v>79</v>
      </c>
      <c r="C63" s="2" t="s">
        <v>583</v>
      </c>
      <c r="D63" s="2" t="s">
        <v>79</v>
      </c>
      <c r="E63" s="2" t="s">
        <v>79</v>
      </c>
      <c r="F63" s="2" t="s">
        <v>584</v>
      </c>
      <c r="G63" s="2" t="s">
        <v>89</v>
      </c>
      <c r="H63" s="2" t="s">
        <v>79</v>
      </c>
      <c r="I63" s="2" t="s">
        <v>116</v>
      </c>
      <c r="J63" s="2" t="s">
        <v>111</v>
      </c>
      <c r="K63" s="2" t="s">
        <v>79</v>
      </c>
      <c r="L63" s="2" t="s">
        <v>92</v>
      </c>
      <c r="M63" s="2" t="s">
        <v>585</v>
      </c>
      <c r="N63" s="2"/>
      <c r="O63" s="2"/>
      <c r="P63" s="2" t="s">
        <v>80</v>
      </c>
      <c r="Q63" s="2"/>
      <c r="R63" s="2" t="s">
        <v>92</v>
      </c>
      <c r="S63" s="2" t="s">
        <v>224</v>
      </c>
      <c r="T63" s="2" t="s">
        <v>465</v>
      </c>
      <c r="U63" s="2" t="s">
        <v>586</v>
      </c>
      <c r="V63" s="2" t="s">
        <v>95</v>
      </c>
      <c r="W63" s="2" t="s">
        <v>587</v>
      </c>
      <c r="X63" s="2" t="s">
        <v>588</v>
      </c>
      <c r="Y63" s="2" t="s">
        <v>80</v>
      </c>
      <c r="Z63" s="2"/>
      <c r="AA63" s="2"/>
      <c r="AB63" s="2" t="s">
        <v>589</v>
      </c>
      <c r="AC63" s="2" t="s">
        <v>79</v>
      </c>
      <c r="AD63" s="2" t="s">
        <v>590</v>
      </c>
      <c r="AE63" s="2" t="s">
        <v>582</v>
      </c>
      <c r="AF63" s="2" t="s">
        <v>82</v>
      </c>
      <c r="AG63" s="2">
        <v>8.5</v>
      </c>
      <c r="AH63" s="2" t="s">
        <v>84</v>
      </c>
      <c r="AI63" s="2" t="s">
        <v>84</v>
      </c>
      <c r="AJ63" s="2" t="s">
        <v>84</v>
      </c>
      <c r="AK63" s="2" t="s">
        <v>84</v>
      </c>
      <c r="AL63" s="2" t="s">
        <v>84</v>
      </c>
      <c r="AM63" s="2" t="s">
        <v>84</v>
      </c>
      <c r="AN63" s="2" t="s">
        <v>84</v>
      </c>
      <c r="AO63" s="2" t="s">
        <v>86</v>
      </c>
      <c r="AP63" s="2" t="s">
        <v>84</v>
      </c>
      <c r="AQ63" s="2" t="s">
        <v>85</v>
      </c>
      <c r="AR63" s="2"/>
      <c r="AS63" s="2" t="s">
        <v>80</v>
      </c>
      <c r="AT63" s="2"/>
      <c r="AU63" s="2"/>
      <c r="AV63" s="2" t="s">
        <v>79</v>
      </c>
      <c r="AW63" s="2" t="s">
        <v>92</v>
      </c>
      <c r="AX63" s="2" t="s">
        <v>591</v>
      </c>
      <c r="AY63" s="2" t="s">
        <v>100</v>
      </c>
      <c r="AZ63" s="2" t="s">
        <v>592</v>
      </c>
      <c r="BA63" s="2" t="s">
        <v>102</v>
      </c>
      <c r="BB63" s="2" t="s">
        <v>79</v>
      </c>
      <c r="BC63" s="2"/>
      <c r="BD63" s="2" t="s">
        <v>593</v>
      </c>
      <c r="BE63" s="2" t="s">
        <v>153</v>
      </c>
      <c r="BF63" s="2" t="s">
        <v>594</v>
      </c>
      <c r="BG63" s="2" t="s">
        <v>79</v>
      </c>
      <c r="BH63" s="2" t="s">
        <v>79</v>
      </c>
      <c r="BI63" s="2" t="s">
        <v>563</v>
      </c>
      <c r="BJ63" s="2" t="s">
        <v>595</v>
      </c>
      <c r="BK63" s="2" t="s">
        <v>79</v>
      </c>
      <c r="BL63" s="2" t="s">
        <v>172</v>
      </c>
      <c r="BM63" s="2">
        <v>2019</v>
      </c>
    </row>
    <row r="64" spans="1:65" ht="409.5" x14ac:dyDescent="0.25">
      <c r="A64" s="2" t="s">
        <v>680</v>
      </c>
      <c r="B64" s="2" t="s">
        <v>80</v>
      </c>
      <c r="C64" s="2" t="s">
        <v>682</v>
      </c>
      <c r="D64" s="2" t="s">
        <v>79</v>
      </c>
      <c r="E64" s="2" t="s">
        <v>79</v>
      </c>
      <c r="F64" s="2" t="s">
        <v>683</v>
      </c>
      <c r="G64" s="2" t="s">
        <v>89</v>
      </c>
      <c r="H64" s="2" t="s">
        <v>106</v>
      </c>
      <c r="I64" s="2" t="s">
        <v>116</v>
      </c>
      <c r="J64" s="2" t="s">
        <v>111</v>
      </c>
      <c r="K64" s="2" t="s">
        <v>79</v>
      </c>
      <c r="L64" s="2" t="s">
        <v>92</v>
      </c>
      <c r="M64" s="2" t="s">
        <v>684</v>
      </c>
      <c r="N64" s="2"/>
      <c r="O64" s="2"/>
      <c r="P64" s="2" t="s">
        <v>80</v>
      </c>
      <c r="Q64" s="2"/>
      <c r="R64" s="2" t="s">
        <v>92</v>
      </c>
      <c r="S64" s="2" t="s">
        <v>271</v>
      </c>
      <c r="T64" s="2" t="s">
        <v>656</v>
      </c>
      <c r="U64" s="2" t="s">
        <v>685</v>
      </c>
      <c r="V64" s="2" t="s">
        <v>95</v>
      </c>
      <c r="W64" s="2" t="s">
        <v>686</v>
      </c>
      <c r="X64" s="2" t="s">
        <v>687</v>
      </c>
      <c r="Y64" s="2" t="s">
        <v>80</v>
      </c>
      <c r="Z64" s="2"/>
      <c r="AA64" s="2"/>
      <c r="AB64" s="2" t="s">
        <v>688</v>
      </c>
      <c r="AC64" s="2" t="s">
        <v>79</v>
      </c>
      <c r="AD64" s="2" t="s">
        <v>689</v>
      </c>
      <c r="AE64" s="2" t="s">
        <v>681</v>
      </c>
      <c r="AF64" s="2" t="s">
        <v>82</v>
      </c>
      <c r="AG64" s="2">
        <v>8.5</v>
      </c>
      <c r="AH64" s="2" t="s">
        <v>84</v>
      </c>
      <c r="AI64" s="2" t="s">
        <v>84</v>
      </c>
      <c r="AJ64" s="2" t="s">
        <v>84</v>
      </c>
      <c r="AK64" s="2" t="s">
        <v>84</v>
      </c>
      <c r="AL64" s="2" t="s">
        <v>84</v>
      </c>
      <c r="AM64" s="2" t="s">
        <v>84</v>
      </c>
      <c r="AN64" s="2" t="s">
        <v>84</v>
      </c>
      <c r="AO64" s="2" t="s">
        <v>86</v>
      </c>
      <c r="AP64" s="2" t="s">
        <v>84</v>
      </c>
      <c r="AQ64" s="2" t="s">
        <v>85</v>
      </c>
      <c r="AR64" s="2"/>
      <c r="AS64" s="2" t="s">
        <v>80</v>
      </c>
      <c r="AT64" s="2"/>
      <c r="AU64" s="2"/>
      <c r="AV64" s="2" t="s">
        <v>80</v>
      </c>
      <c r="AW64" s="2" t="s">
        <v>106</v>
      </c>
      <c r="AX64" s="2"/>
      <c r="AY64" s="2" t="s">
        <v>100</v>
      </c>
      <c r="AZ64" s="2" t="s">
        <v>690</v>
      </c>
      <c r="BA64" s="2" t="s">
        <v>102</v>
      </c>
      <c r="BB64" s="2" t="s">
        <v>79</v>
      </c>
      <c r="BC64" s="2" t="s">
        <v>676</v>
      </c>
      <c r="BD64" s="2" t="s">
        <v>691</v>
      </c>
      <c r="BE64" s="2" t="s">
        <v>153</v>
      </c>
      <c r="BF64" s="2" t="s">
        <v>692</v>
      </c>
      <c r="BG64" s="2" t="s">
        <v>92</v>
      </c>
      <c r="BH64" s="2" t="s">
        <v>79</v>
      </c>
      <c r="BI64" s="2" t="s">
        <v>429</v>
      </c>
      <c r="BJ64" s="2" t="s">
        <v>693</v>
      </c>
      <c r="BK64" s="2" t="s">
        <v>79</v>
      </c>
      <c r="BL64" s="2" t="s">
        <v>109</v>
      </c>
      <c r="BM64" s="2">
        <v>2019</v>
      </c>
    </row>
    <row r="65" spans="1:65" ht="409.5" x14ac:dyDescent="0.25">
      <c r="A65" s="2" t="s">
        <v>596</v>
      </c>
      <c r="B65" s="2" t="s">
        <v>92</v>
      </c>
      <c r="C65" s="2" t="s">
        <v>598</v>
      </c>
      <c r="D65" s="2" t="s">
        <v>79</v>
      </c>
      <c r="E65" s="2" t="s">
        <v>79</v>
      </c>
      <c r="F65" s="2" t="s">
        <v>599</v>
      </c>
      <c r="G65" s="2" t="s">
        <v>89</v>
      </c>
      <c r="H65" s="2" t="s">
        <v>79</v>
      </c>
      <c r="I65" s="2" t="s">
        <v>90</v>
      </c>
      <c r="J65" s="2" t="s">
        <v>78</v>
      </c>
      <c r="K65" s="2" t="s">
        <v>79</v>
      </c>
      <c r="L65" s="2" t="s">
        <v>92</v>
      </c>
      <c r="M65" s="2" t="s">
        <v>600</v>
      </c>
      <c r="N65" s="2"/>
      <c r="O65" s="2"/>
      <c r="P65" s="2" t="s">
        <v>80</v>
      </c>
      <c r="Q65" s="2"/>
      <c r="R65" s="2" t="s">
        <v>92</v>
      </c>
      <c r="S65" s="2" t="s">
        <v>224</v>
      </c>
      <c r="T65" s="2" t="s">
        <v>601</v>
      </c>
      <c r="U65" s="2" t="s">
        <v>602</v>
      </c>
      <c r="V65" s="2" t="s">
        <v>95</v>
      </c>
      <c r="W65" s="2" t="s">
        <v>603</v>
      </c>
      <c r="X65" s="2" t="s">
        <v>604</v>
      </c>
      <c r="Y65" s="2" t="s">
        <v>80</v>
      </c>
      <c r="Z65" s="2"/>
      <c r="AA65" s="2"/>
      <c r="AB65" s="2" t="s">
        <v>605</v>
      </c>
      <c r="AC65" s="2" t="s">
        <v>79</v>
      </c>
      <c r="AD65" s="2" t="s">
        <v>606</v>
      </c>
      <c r="AE65" s="2" t="s">
        <v>597</v>
      </c>
      <c r="AF65" s="2" t="s">
        <v>82</v>
      </c>
      <c r="AG65" s="2">
        <v>8.5</v>
      </c>
      <c r="AH65" s="2" t="s">
        <v>84</v>
      </c>
      <c r="AI65" s="2" t="s">
        <v>84</v>
      </c>
      <c r="AJ65" s="2" t="s">
        <v>84</v>
      </c>
      <c r="AK65" s="2" t="s">
        <v>84</v>
      </c>
      <c r="AL65" s="2" t="s">
        <v>84</v>
      </c>
      <c r="AM65" s="2" t="s">
        <v>84</v>
      </c>
      <c r="AN65" s="2" t="s">
        <v>84</v>
      </c>
      <c r="AO65" s="2" t="s">
        <v>86</v>
      </c>
      <c r="AP65" s="2" t="s">
        <v>84</v>
      </c>
      <c r="AQ65" s="2" t="s">
        <v>85</v>
      </c>
      <c r="AR65" s="2"/>
      <c r="AS65" s="2" t="s">
        <v>80</v>
      </c>
      <c r="AT65" s="2"/>
      <c r="AU65" s="2"/>
      <c r="AV65" s="2" t="s">
        <v>79</v>
      </c>
      <c r="AW65" s="2" t="s">
        <v>92</v>
      </c>
      <c r="AX65" s="2" t="s">
        <v>607</v>
      </c>
      <c r="AY65" s="2" t="s">
        <v>100</v>
      </c>
      <c r="AZ65" s="2" t="s">
        <v>608</v>
      </c>
      <c r="BA65" s="2" t="s">
        <v>102</v>
      </c>
      <c r="BB65" s="2" t="s">
        <v>79</v>
      </c>
      <c r="BC65" s="2"/>
      <c r="BD65" s="2" t="s">
        <v>609</v>
      </c>
      <c r="BE65" s="2" t="s">
        <v>104</v>
      </c>
      <c r="BF65" s="2" t="s">
        <v>610</v>
      </c>
      <c r="BG65" s="2" t="s">
        <v>79</v>
      </c>
      <c r="BH65" s="2" t="s">
        <v>79</v>
      </c>
      <c r="BI65" s="2" t="s">
        <v>563</v>
      </c>
      <c r="BJ65" s="2" t="s">
        <v>611</v>
      </c>
      <c r="BK65" s="2" t="s">
        <v>79</v>
      </c>
      <c r="BL65" s="2" t="s">
        <v>109</v>
      </c>
      <c r="BM65" s="2">
        <v>2019</v>
      </c>
    </row>
    <row r="66" spans="1:65" ht="409.5" x14ac:dyDescent="0.25">
      <c r="A66" s="2" t="s">
        <v>633</v>
      </c>
      <c r="B66" s="2" t="s">
        <v>80</v>
      </c>
      <c r="C66" s="2" t="s">
        <v>636</v>
      </c>
      <c r="D66" s="2" t="s">
        <v>79</v>
      </c>
      <c r="E66" s="2" t="s">
        <v>92</v>
      </c>
      <c r="F66" s="2" t="s">
        <v>637</v>
      </c>
      <c r="G66" s="2" t="s">
        <v>143</v>
      </c>
      <c r="H66" s="2" t="s">
        <v>106</v>
      </c>
      <c r="I66" s="2" t="s">
        <v>90</v>
      </c>
      <c r="J66" s="2" t="s">
        <v>111</v>
      </c>
      <c r="K66" s="2" t="s">
        <v>79</v>
      </c>
      <c r="L66" s="2" t="s">
        <v>92</v>
      </c>
      <c r="M66" s="2" t="s">
        <v>638</v>
      </c>
      <c r="N66" s="2"/>
      <c r="O66" s="2"/>
      <c r="P66" s="2" t="s">
        <v>80</v>
      </c>
      <c r="Q66" s="2"/>
      <c r="R66" s="2" t="s">
        <v>92</v>
      </c>
      <c r="S66" s="2" t="s">
        <v>634</v>
      </c>
      <c r="T66" s="2" t="s">
        <v>639</v>
      </c>
      <c r="U66" s="2" t="s">
        <v>640</v>
      </c>
      <c r="V66" s="2" t="s">
        <v>95</v>
      </c>
      <c r="W66" s="2" t="s">
        <v>641</v>
      </c>
      <c r="X66" s="2" t="s">
        <v>642</v>
      </c>
      <c r="Y66" s="2" t="s">
        <v>80</v>
      </c>
      <c r="Z66" s="2"/>
      <c r="AA66" s="2"/>
      <c r="AB66" s="2" t="s">
        <v>643</v>
      </c>
      <c r="AC66" s="2" t="s">
        <v>79</v>
      </c>
      <c r="AD66" s="2" t="s">
        <v>644</v>
      </c>
      <c r="AE66" s="2" t="s">
        <v>635</v>
      </c>
      <c r="AF66" s="2" t="s">
        <v>82</v>
      </c>
      <c r="AG66" s="2">
        <v>8.5</v>
      </c>
      <c r="AH66" s="2" t="s">
        <v>84</v>
      </c>
      <c r="AI66" s="2" t="s">
        <v>84</v>
      </c>
      <c r="AJ66" s="2" t="s">
        <v>84</v>
      </c>
      <c r="AK66" s="2" t="s">
        <v>84</v>
      </c>
      <c r="AL66" s="2" t="s">
        <v>84</v>
      </c>
      <c r="AM66" s="2" t="s">
        <v>84</v>
      </c>
      <c r="AN66" s="2" t="s">
        <v>84</v>
      </c>
      <c r="AO66" s="2" t="s">
        <v>86</v>
      </c>
      <c r="AP66" s="2" t="s">
        <v>85</v>
      </c>
      <c r="AQ66" s="2" t="s">
        <v>84</v>
      </c>
      <c r="AR66" s="2"/>
      <c r="AS66" s="2" t="s">
        <v>80</v>
      </c>
      <c r="AT66" s="2"/>
      <c r="AU66" s="2"/>
      <c r="AV66" s="2" t="s">
        <v>79</v>
      </c>
      <c r="AW66" s="2" t="s">
        <v>92</v>
      </c>
      <c r="AX66" s="2" t="s">
        <v>645</v>
      </c>
      <c r="AY66" s="2" t="s">
        <v>303</v>
      </c>
      <c r="AZ66" s="2" t="s">
        <v>646</v>
      </c>
      <c r="BA66" s="2" t="s">
        <v>514</v>
      </c>
      <c r="BB66" s="2" t="s">
        <v>79</v>
      </c>
      <c r="BC66" s="2" t="s">
        <v>168</v>
      </c>
      <c r="BD66" s="2" t="s">
        <v>647</v>
      </c>
      <c r="BE66" s="2" t="s">
        <v>648</v>
      </c>
      <c r="BF66" s="2" t="s">
        <v>649</v>
      </c>
      <c r="BG66" s="2" t="s">
        <v>92</v>
      </c>
      <c r="BH66" s="2" t="s">
        <v>79</v>
      </c>
      <c r="BI66" s="2" t="s">
        <v>143</v>
      </c>
      <c r="BJ66" s="2" t="s">
        <v>650</v>
      </c>
      <c r="BK66" s="2" t="s">
        <v>79</v>
      </c>
      <c r="BL66" s="2" t="s">
        <v>109</v>
      </c>
      <c r="BM66" s="2">
        <v>2019</v>
      </c>
    </row>
    <row r="67" spans="1:65" ht="409.5" x14ac:dyDescent="0.25">
      <c r="A67" s="2" t="s">
        <v>665</v>
      </c>
      <c r="B67" s="2" t="s">
        <v>79</v>
      </c>
      <c r="C67" s="2" t="s">
        <v>667</v>
      </c>
      <c r="D67" s="2" t="s">
        <v>79</v>
      </c>
      <c r="E67" s="2" t="s">
        <v>79</v>
      </c>
      <c r="F67" s="2" t="s">
        <v>668</v>
      </c>
      <c r="G67" s="2" t="s">
        <v>89</v>
      </c>
      <c r="H67" s="2" t="s">
        <v>79</v>
      </c>
      <c r="I67" s="2" t="s">
        <v>116</v>
      </c>
      <c r="J67" s="2" t="s">
        <v>111</v>
      </c>
      <c r="K67" s="2" t="s">
        <v>79</v>
      </c>
      <c r="L67" s="2" t="s">
        <v>92</v>
      </c>
      <c r="M67" s="2" t="s">
        <v>669</v>
      </c>
      <c r="N67" s="2"/>
      <c r="O67" s="2"/>
      <c r="P67" s="2" t="s">
        <v>80</v>
      </c>
      <c r="Q67" s="2"/>
      <c r="R67" s="2" t="s">
        <v>92</v>
      </c>
      <c r="S67" s="2" t="s">
        <v>224</v>
      </c>
      <c r="T67" s="2" t="s">
        <v>161</v>
      </c>
      <c r="U67" s="2" t="s">
        <v>670</v>
      </c>
      <c r="V67" s="2" t="s">
        <v>95</v>
      </c>
      <c r="W67" s="2" t="s">
        <v>671</v>
      </c>
      <c r="X67" s="2" t="s">
        <v>672</v>
      </c>
      <c r="Y67" s="2" t="s">
        <v>80</v>
      </c>
      <c r="Z67" s="2"/>
      <c r="AA67" s="2"/>
      <c r="AB67" s="2" t="s">
        <v>673</v>
      </c>
      <c r="AC67" s="2" t="s">
        <v>79</v>
      </c>
      <c r="AD67" s="2" t="s">
        <v>674</v>
      </c>
      <c r="AE67" s="2" t="s">
        <v>666</v>
      </c>
      <c r="AF67" s="2" t="s">
        <v>82</v>
      </c>
      <c r="AG67" s="2">
        <v>8.5</v>
      </c>
      <c r="AH67" s="2" t="s">
        <v>84</v>
      </c>
      <c r="AI67" s="2" t="s">
        <v>84</v>
      </c>
      <c r="AJ67" s="2" t="s">
        <v>84</v>
      </c>
      <c r="AK67" s="2" t="s">
        <v>84</v>
      </c>
      <c r="AL67" s="2" t="s">
        <v>84</v>
      </c>
      <c r="AM67" s="2" t="s">
        <v>84</v>
      </c>
      <c r="AN67" s="2" t="s">
        <v>84</v>
      </c>
      <c r="AO67" s="2" t="s">
        <v>86</v>
      </c>
      <c r="AP67" s="2" t="s">
        <v>84</v>
      </c>
      <c r="AQ67" s="2" t="s">
        <v>85</v>
      </c>
      <c r="AR67" s="2"/>
      <c r="AS67" s="2" t="s">
        <v>80</v>
      </c>
      <c r="AT67" s="2"/>
      <c r="AU67" s="2"/>
      <c r="AV67" s="2" t="s">
        <v>80</v>
      </c>
      <c r="AW67" s="2" t="s">
        <v>106</v>
      </c>
      <c r="AX67" s="2"/>
      <c r="AY67" s="2" t="s">
        <v>100</v>
      </c>
      <c r="AZ67" s="2" t="s">
        <v>675</v>
      </c>
      <c r="BA67" s="2" t="s">
        <v>102</v>
      </c>
      <c r="BB67" s="2" t="s">
        <v>79</v>
      </c>
      <c r="BC67" s="2" t="s">
        <v>676</v>
      </c>
      <c r="BD67" s="2" t="s">
        <v>677</v>
      </c>
      <c r="BE67" s="2" t="s">
        <v>104</v>
      </c>
      <c r="BF67" s="2" t="s">
        <v>678</v>
      </c>
      <c r="BG67" s="2" t="s">
        <v>79</v>
      </c>
      <c r="BH67" s="2" t="s">
        <v>79</v>
      </c>
      <c r="BI67" s="2" t="s">
        <v>107</v>
      </c>
      <c r="BJ67" s="2" t="s">
        <v>679</v>
      </c>
      <c r="BK67" s="2" t="s">
        <v>79</v>
      </c>
      <c r="BL67" s="2" t="s">
        <v>172</v>
      </c>
      <c r="BM67" s="2">
        <v>2019</v>
      </c>
    </row>
    <row r="68" spans="1:65" ht="409.5" x14ac:dyDescent="0.25">
      <c r="A68" s="2" t="s">
        <v>694</v>
      </c>
      <c r="B68" s="2" t="s">
        <v>92</v>
      </c>
      <c r="C68" s="2" t="s">
        <v>697</v>
      </c>
      <c r="D68" s="2" t="s">
        <v>79</v>
      </c>
      <c r="E68" s="2" t="s">
        <v>79</v>
      </c>
      <c r="F68" s="2" t="s">
        <v>698</v>
      </c>
      <c r="G68" s="2" t="s">
        <v>89</v>
      </c>
      <c r="H68" s="2" t="s">
        <v>79</v>
      </c>
      <c r="I68" s="2" t="s">
        <v>194</v>
      </c>
      <c r="J68" s="2" t="s">
        <v>111</v>
      </c>
      <c r="K68" s="2" t="s">
        <v>79</v>
      </c>
      <c r="L68" s="2" t="s">
        <v>79</v>
      </c>
      <c r="M68" s="2" t="s">
        <v>699</v>
      </c>
      <c r="N68" s="2"/>
      <c r="O68" s="2" t="s">
        <v>155</v>
      </c>
      <c r="P68" s="2" t="s">
        <v>80</v>
      </c>
      <c r="Q68" s="2"/>
      <c r="R68" s="2" t="s">
        <v>92</v>
      </c>
      <c r="S68" s="2" t="s">
        <v>695</v>
      </c>
      <c r="T68" s="2" t="s">
        <v>118</v>
      </c>
      <c r="U68" s="2" t="s">
        <v>700</v>
      </c>
      <c r="V68" s="2" t="s">
        <v>701</v>
      </c>
      <c r="W68" s="2" t="s">
        <v>702</v>
      </c>
      <c r="X68" s="2" t="s">
        <v>703</v>
      </c>
      <c r="Y68" s="2" t="s">
        <v>79</v>
      </c>
      <c r="Z68" s="2" t="s">
        <v>704</v>
      </c>
      <c r="AA68" s="2" t="s">
        <v>705</v>
      </c>
      <c r="AB68" s="2"/>
      <c r="AC68" s="2" t="s">
        <v>79</v>
      </c>
      <c r="AD68" s="2"/>
      <c r="AE68" s="2" t="s">
        <v>696</v>
      </c>
      <c r="AF68" s="2" t="s">
        <v>82</v>
      </c>
      <c r="AG68" s="2">
        <v>8</v>
      </c>
      <c r="AH68" s="2" t="s">
        <v>84</v>
      </c>
      <c r="AI68" s="2" t="s">
        <v>84</v>
      </c>
      <c r="AJ68" s="2" t="s">
        <v>84</v>
      </c>
      <c r="AK68" s="2" t="s">
        <v>84</v>
      </c>
      <c r="AL68" s="2" t="s">
        <v>84</v>
      </c>
      <c r="AM68" s="2" t="s">
        <v>84</v>
      </c>
      <c r="AN68" s="2" t="s">
        <v>85</v>
      </c>
      <c r="AO68" s="2" t="s">
        <v>86</v>
      </c>
      <c r="AP68" s="2" t="s">
        <v>84</v>
      </c>
      <c r="AQ68" s="2" t="s">
        <v>85</v>
      </c>
      <c r="AR68" s="2" t="s">
        <v>79</v>
      </c>
      <c r="AS68" s="2" t="s">
        <v>79</v>
      </c>
      <c r="AT68" s="2" t="s">
        <v>706</v>
      </c>
      <c r="AU68" s="2" t="s">
        <v>79</v>
      </c>
      <c r="AV68" s="2" t="s">
        <v>79</v>
      </c>
      <c r="AW68" s="2" t="s">
        <v>92</v>
      </c>
      <c r="AX68" s="2" t="s">
        <v>707</v>
      </c>
      <c r="AY68" s="2" t="s">
        <v>100</v>
      </c>
      <c r="AZ68" s="2" t="s">
        <v>708</v>
      </c>
      <c r="BA68" s="2" t="s">
        <v>709</v>
      </c>
      <c r="BB68" s="2" t="s">
        <v>79</v>
      </c>
      <c r="BC68" s="2" t="s">
        <v>628</v>
      </c>
      <c r="BD68" s="2" t="s">
        <v>710</v>
      </c>
      <c r="BE68" s="2" t="s">
        <v>648</v>
      </c>
      <c r="BF68" s="2" t="s">
        <v>711</v>
      </c>
      <c r="BG68" s="2" t="s">
        <v>92</v>
      </c>
      <c r="BH68" s="2" t="s">
        <v>79</v>
      </c>
      <c r="BI68" s="2" t="s">
        <v>266</v>
      </c>
      <c r="BJ68" s="2" t="s">
        <v>712</v>
      </c>
      <c r="BK68" s="2" t="s">
        <v>79</v>
      </c>
      <c r="BL68" s="2" t="s">
        <v>109</v>
      </c>
      <c r="BM68" s="2">
        <v>2019</v>
      </c>
    </row>
    <row r="69" spans="1:65" ht="409.5" x14ac:dyDescent="0.25">
      <c r="A69" s="2" t="s">
        <v>651</v>
      </c>
      <c r="B69" s="2" t="s">
        <v>80</v>
      </c>
      <c r="C69" s="2" t="s">
        <v>653</v>
      </c>
      <c r="D69" s="2" t="s">
        <v>79</v>
      </c>
      <c r="E69" s="2" t="s">
        <v>79</v>
      </c>
      <c r="F69" s="2" t="s">
        <v>654</v>
      </c>
      <c r="G69" s="2" t="s">
        <v>478</v>
      </c>
      <c r="H69" s="2" t="s">
        <v>106</v>
      </c>
      <c r="I69" s="2" t="s">
        <v>116</v>
      </c>
      <c r="J69" s="2" t="s">
        <v>111</v>
      </c>
      <c r="K69" s="2" t="s">
        <v>79</v>
      </c>
      <c r="L69" s="2" t="s">
        <v>92</v>
      </c>
      <c r="M69" s="2" t="s">
        <v>655</v>
      </c>
      <c r="N69" s="2"/>
      <c r="O69" s="2"/>
      <c r="P69" s="2" t="s">
        <v>80</v>
      </c>
      <c r="Q69" s="2"/>
      <c r="R69" s="2" t="s">
        <v>92</v>
      </c>
      <c r="S69" s="2" t="s">
        <v>224</v>
      </c>
      <c r="T69" s="2" t="s">
        <v>656</v>
      </c>
      <c r="U69" s="2" t="s">
        <v>657</v>
      </c>
      <c r="V69" s="2" t="s">
        <v>95</v>
      </c>
      <c r="W69" s="2" t="s">
        <v>658</v>
      </c>
      <c r="X69" s="2" t="s">
        <v>659</v>
      </c>
      <c r="Y69" s="2" t="s">
        <v>80</v>
      </c>
      <c r="Z69" s="2"/>
      <c r="AA69" s="2"/>
      <c r="AB69" s="2" t="s">
        <v>660</v>
      </c>
      <c r="AC69" s="2" t="s">
        <v>79</v>
      </c>
      <c r="AD69" s="2" t="s">
        <v>661</v>
      </c>
      <c r="AE69" s="2" t="s">
        <v>652</v>
      </c>
      <c r="AF69" s="2" t="s">
        <v>82</v>
      </c>
      <c r="AG69" s="2">
        <v>8.5</v>
      </c>
      <c r="AH69" s="2" t="s">
        <v>84</v>
      </c>
      <c r="AI69" s="2" t="s">
        <v>84</v>
      </c>
      <c r="AJ69" s="2" t="s">
        <v>84</v>
      </c>
      <c r="AK69" s="2" t="s">
        <v>84</v>
      </c>
      <c r="AL69" s="2" t="s">
        <v>84</v>
      </c>
      <c r="AM69" s="2" t="s">
        <v>84</v>
      </c>
      <c r="AN69" s="2" t="s">
        <v>84</v>
      </c>
      <c r="AO69" s="2" t="s">
        <v>86</v>
      </c>
      <c r="AP69" s="2" t="s">
        <v>84</v>
      </c>
      <c r="AQ69" s="2" t="s">
        <v>85</v>
      </c>
      <c r="AR69" s="2"/>
      <c r="AS69" s="2" t="s">
        <v>80</v>
      </c>
      <c r="AT69" s="2"/>
      <c r="AU69" s="2"/>
      <c r="AV69" s="2" t="s">
        <v>80</v>
      </c>
      <c r="AW69" s="2" t="s">
        <v>106</v>
      </c>
      <c r="AX69" s="2"/>
      <c r="AY69" s="2" t="s">
        <v>100</v>
      </c>
      <c r="AZ69" s="2" t="s">
        <v>662</v>
      </c>
      <c r="BA69" s="2" t="s">
        <v>102</v>
      </c>
      <c r="BB69" s="2" t="s">
        <v>79</v>
      </c>
      <c r="BC69" s="2"/>
      <c r="BD69" s="2" t="s">
        <v>663</v>
      </c>
      <c r="BE69" s="2" t="s">
        <v>153</v>
      </c>
      <c r="BF69" s="2"/>
      <c r="BG69" s="2" t="s">
        <v>80</v>
      </c>
      <c r="BH69" s="2" t="s">
        <v>79</v>
      </c>
      <c r="BI69" s="2" t="s">
        <v>107</v>
      </c>
      <c r="BJ69" s="2" t="s">
        <v>664</v>
      </c>
      <c r="BK69" s="2" t="s">
        <v>79</v>
      </c>
      <c r="BL69" s="2" t="s">
        <v>109</v>
      </c>
      <c r="BM69" s="2">
        <v>2019</v>
      </c>
    </row>
    <row r="70" spans="1:65" ht="409.5" x14ac:dyDescent="0.25">
      <c r="A70" s="2" t="s">
        <v>516</v>
      </c>
      <c r="B70" s="2" t="s">
        <v>92</v>
      </c>
      <c r="C70" s="2" t="s">
        <v>519</v>
      </c>
      <c r="D70" s="2" t="s">
        <v>79</v>
      </c>
      <c r="E70" s="2" t="s">
        <v>79</v>
      </c>
      <c r="F70" s="2" t="s">
        <v>520</v>
      </c>
      <c r="G70" s="2" t="s">
        <v>89</v>
      </c>
      <c r="H70" s="2" t="s">
        <v>79</v>
      </c>
      <c r="I70" s="2" t="s">
        <v>116</v>
      </c>
      <c r="J70" s="2" t="s">
        <v>270</v>
      </c>
      <c r="K70" s="2" t="s">
        <v>79</v>
      </c>
      <c r="L70" s="2" t="s">
        <v>92</v>
      </c>
      <c r="M70" s="2" t="s">
        <v>521</v>
      </c>
      <c r="N70" s="2"/>
      <c r="O70" s="2"/>
      <c r="P70" s="2" t="s">
        <v>80</v>
      </c>
      <c r="Q70" s="2"/>
      <c r="R70" s="2" t="s">
        <v>92</v>
      </c>
      <c r="S70" s="2" t="s">
        <v>517</v>
      </c>
      <c r="T70" s="2"/>
      <c r="U70" s="2" t="s">
        <v>522</v>
      </c>
      <c r="V70" s="2" t="s">
        <v>95</v>
      </c>
      <c r="W70" s="2" t="s">
        <v>523</v>
      </c>
      <c r="X70" s="2" t="s">
        <v>524</v>
      </c>
      <c r="Y70" s="2" t="s">
        <v>80</v>
      </c>
      <c r="Z70" s="2"/>
      <c r="AA70" s="2"/>
      <c r="AB70" s="2" t="s">
        <v>525</v>
      </c>
      <c r="AC70" s="2" t="s">
        <v>79</v>
      </c>
      <c r="AD70" s="2" t="s">
        <v>526</v>
      </c>
      <c r="AE70" s="2" t="s">
        <v>518</v>
      </c>
      <c r="AF70" s="2" t="s">
        <v>82</v>
      </c>
      <c r="AG70" s="2">
        <v>8.5</v>
      </c>
      <c r="AH70" s="2" t="s">
        <v>84</v>
      </c>
      <c r="AI70" s="2" t="s">
        <v>84</v>
      </c>
      <c r="AJ70" s="2" t="s">
        <v>84</v>
      </c>
      <c r="AK70" s="2" t="s">
        <v>84</v>
      </c>
      <c r="AL70" s="2" t="s">
        <v>84</v>
      </c>
      <c r="AM70" s="2" t="s">
        <v>84</v>
      </c>
      <c r="AN70" s="2" t="s">
        <v>84</v>
      </c>
      <c r="AO70" s="2" t="s">
        <v>86</v>
      </c>
      <c r="AP70" s="2" t="s">
        <v>84</v>
      </c>
      <c r="AQ70" s="2" t="s">
        <v>85</v>
      </c>
      <c r="AR70" s="2"/>
      <c r="AS70" s="2" t="s">
        <v>80</v>
      </c>
      <c r="AT70" s="2"/>
      <c r="AU70" s="2"/>
      <c r="AV70" s="2" t="s">
        <v>79</v>
      </c>
      <c r="AW70" s="2" t="s">
        <v>92</v>
      </c>
      <c r="AX70" s="2" t="s">
        <v>527</v>
      </c>
      <c r="AY70" s="2" t="s">
        <v>100</v>
      </c>
      <c r="AZ70" s="2" t="s">
        <v>528</v>
      </c>
      <c r="BA70" s="2" t="s">
        <v>102</v>
      </c>
      <c r="BB70" s="2" t="s">
        <v>79</v>
      </c>
      <c r="BC70" s="2"/>
      <c r="BD70" s="2" t="s">
        <v>529</v>
      </c>
      <c r="BE70" s="2" t="s">
        <v>104</v>
      </c>
      <c r="BF70" s="2" t="s">
        <v>530</v>
      </c>
      <c r="BG70" s="2" t="s">
        <v>79</v>
      </c>
      <c r="BH70" s="2" t="s">
        <v>79</v>
      </c>
      <c r="BI70" s="2" t="s">
        <v>429</v>
      </c>
      <c r="BJ70" s="2" t="s">
        <v>531</v>
      </c>
      <c r="BK70" s="2" t="s">
        <v>79</v>
      </c>
      <c r="BL70" s="2" t="s">
        <v>109</v>
      </c>
      <c r="BM70" s="2">
        <v>2019</v>
      </c>
    </row>
    <row r="71" spans="1:65" ht="409.5" x14ac:dyDescent="0.25">
      <c r="A71" s="2" t="s">
        <v>547</v>
      </c>
      <c r="B71" s="2" t="s">
        <v>92</v>
      </c>
      <c r="C71" s="2" t="s">
        <v>550</v>
      </c>
      <c r="D71" s="2" t="s">
        <v>79</v>
      </c>
      <c r="E71" s="2" t="s">
        <v>92</v>
      </c>
      <c r="F71" s="2" t="s">
        <v>551</v>
      </c>
      <c r="G71" s="2" t="s">
        <v>89</v>
      </c>
      <c r="H71" s="2" t="s">
        <v>79</v>
      </c>
      <c r="I71" s="2" t="s">
        <v>90</v>
      </c>
      <c r="J71" s="2" t="s">
        <v>78</v>
      </c>
      <c r="K71" s="2" t="s">
        <v>79</v>
      </c>
      <c r="L71" s="2" t="s">
        <v>92</v>
      </c>
      <c r="M71" s="2" t="s">
        <v>552</v>
      </c>
      <c r="N71" s="2"/>
      <c r="O71" s="2"/>
      <c r="P71" s="2" t="s">
        <v>80</v>
      </c>
      <c r="Q71" s="2"/>
      <c r="R71" s="2" t="s">
        <v>92</v>
      </c>
      <c r="S71" s="2" t="s">
        <v>548</v>
      </c>
      <c r="T71" s="2" t="s">
        <v>553</v>
      </c>
      <c r="U71" s="2" t="s">
        <v>554</v>
      </c>
      <c r="V71" s="2" t="s">
        <v>95</v>
      </c>
      <c r="W71" s="2" t="s">
        <v>555</v>
      </c>
      <c r="X71" s="2" t="s">
        <v>556</v>
      </c>
      <c r="Y71" s="2" t="s">
        <v>80</v>
      </c>
      <c r="Z71" s="2"/>
      <c r="AA71" s="2"/>
      <c r="AB71" s="2" t="s">
        <v>557</v>
      </c>
      <c r="AC71" s="2" t="s">
        <v>79</v>
      </c>
      <c r="AD71" s="2" t="s">
        <v>558</v>
      </c>
      <c r="AE71" s="2" t="s">
        <v>549</v>
      </c>
      <c r="AF71" s="2" t="s">
        <v>82</v>
      </c>
      <c r="AG71" s="2">
        <v>8.5</v>
      </c>
      <c r="AH71" s="2" t="s">
        <v>84</v>
      </c>
      <c r="AI71" s="2" t="s">
        <v>84</v>
      </c>
      <c r="AJ71" s="2" t="s">
        <v>84</v>
      </c>
      <c r="AK71" s="2" t="s">
        <v>84</v>
      </c>
      <c r="AL71" s="2" t="s">
        <v>84</v>
      </c>
      <c r="AM71" s="2" t="s">
        <v>84</v>
      </c>
      <c r="AN71" s="2" t="s">
        <v>84</v>
      </c>
      <c r="AO71" s="2" t="s">
        <v>86</v>
      </c>
      <c r="AP71" s="2" t="s">
        <v>84</v>
      </c>
      <c r="AQ71" s="2" t="s">
        <v>85</v>
      </c>
      <c r="AR71" s="2"/>
      <c r="AS71" s="2" t="s">
        <v>80</v>
      </c>
      <c r="AT71" s="2"/>
      <c r="AU71" s="2"/>
      <c r="AV71" s="2" t="s">
        <v>79</v>
      </c>
      <c r="AW71" s="2" t="s">
        <v>92</v>
      </c>
      <c r="AX71" s="2" t="s">
        <v>559</v>
      </c>
      <c r="AY71" s="2" t="s">
        <v>100</v>
      </c>
      <c r="AZ71" s="2" t="s">
        <v>560</v>
      </c>
      <c r="BA71" s="2" t="s">
        <v>102</v>
      </c>
      <c r="BB71" s="2" t="s">
        <v>79</v>
      </c>
      <c r="BC71" s="2"/>
      <c r="BD71" s="2" t="s">
        <v>561</v>
      </c>
      <c r="BE71" s="2" t="s">
        <v>153</v>
      </c>
      <c r="BF71" s="2" t="s">
        <v>562</v>
      </c>
      <c r="BG71" s="2" t="s">
        <v>79</v>
      </c>
      <c r="BH71" s="2" t="s">
        <v>79</v>
      </c>
      <c r="BI71" s="2" t="s">
        <v>563</v>
      </c>
      <c r="BJ71" s="2" t="s">
        <v>564</v>
      </c>
      <c r="BK71" s="2" t="s">
        <v>79</v>
      </c>
      <c r="BL71" s="2" t="s">
        <v>109</v>
      </c>
      <c r="BM71" s="2">
        <v>2019</v>
      </c>
    </row>
    <row r="72" spans="1:65" ht="409.5" x14ac:dyDescent="0.25">
      <c r="A72" s="2" t="s">
        <v>532</v>
      </c>
      <c r="B72" s="2" t="s">
        <v>80</v>
      </c>
      <c r="C72" s="2" t="s">
        <v>534</v>
      </c>
      <c r="D72" s="2" t="s">
        <v>79</v>
      </c>
      <c r="E72" s="2" t="s">
        <v>92</v>
      </c>
      <c r="F72" s="2" t="s">
        <v>535</v>
      </c>
      <c r="G72" s="2" t="s">
        <v>89</v>
      </c>
      <c r="H72" s="2" t="s">
        <v>106</v>
      </c>
      <c r="I72" s="2" t="s">
        <v>90</v>
      </c>
      <c r="J72" s="2" t="s">
        <v>111</v>
      </c>
      <c r="K72" s="2" t="s">
        <v>79</v>
      </c>
      <c r="L72" s="2" t="s">
        <v>92</v>
      </c>
      <c r="M72" s="2" t="s">
        <v>536</v>
      </c>
      <c r="N72" s="2"/>
      <c r="O72" s="2"/>
      <c r="P72" s="2" t="s">
        <v>80</v>
      </c>
      <c r="Q72" s="2"/>
      <c r="R72" s="2" t="s">
        <v>92</v>
      </c>
      <c r="S72" s="2" t="s">
        <v>271</v>
      </c>
      <c r="T72" s="2" t="s">
        <v>118</v>
      </c>
      <c r="U72" s="2" t="s">
        <v>537</v>
      </c>
      <c r="V72" s="2" t="s">
        <v>95</v>
      </c>
      <c r="W72" s="2" t="s">
        <v>538</v>
      </c>
      <c r="X72" s="2" t="s">
        <v>539</v>
      </c>
      <c r="Y72" s="2" t="s">
        <v>80</v>
      </c>
      <c r="Z72" s="2"/>
      <c r="AA72" s="2"/>
      <c r="AB72" s="2" t="s">
        <v>540</v>
      </c>
      <c r="AC72" s="2" t="s">
        <v>79</v>
      </c>
      <c r="AD72" s="2" t="s">
        <v>541</v>
      </c>
      <c r="AE72" s="2" t="s">
        <v>533</v>
      </c>
      <c r="AF72" s="2" t="s">
        <v>82</v>
      </c>
      <c r="AG72" s="2">
        <v>8.5</v>
      </c>
      <c r="AH72" s="2" t="s">
        <v>84</v>
      </c>
      <c r="AI72" s="2" t="s">
        <v>84</v>
      </c>
      <c r="AJ72" s="2" t="s">
        <v>84</v>
      </c>
      <c r="AK72" s="2" t="s">
        <v>84</v>
      </c>
      <c r="AL72" s="2" t="s">
        <v>84</v>
      </c>
      <c r="AM72" s="2" t="s">
        <v>84</v>
      </c>
      <c r="AN72" s="2" t="s">
        <v>84</v>
      </c>
      <c r="AO72" s="2" t="s">
        <v>86</v>
      </c>
      <c r="AP72" s="2" t="s">
        <v>84</v>
      </c>
      <c r="AQ72" s="2" t="s">
        <v>85</v>
      </c>
      <c r="AR72" s="2"/>
      <c r="AS72" s="2" t="s">
        <v>80</v>
      </c>
      <c r="AT72" s="2"/>
      <c r="AU72" s="2"/>
      <c r="AV72" s="2" t="s">
        <v>79</v>
      </c>
      <c r="AW72" s="2" t="s">
        <v>92</v>
      </c>
      <c r="AX72" s="2" t="s">
        <v>542</v>
      </c>
      <c r="AY72" s="2" t="s">
        <v>100</v>
      </c>
      <c r="AZ72" s="2" t="s">
        <v>543</v>
      </c>
      <c r="BA72" s="2" t="s">
        <v>102</v>
      </c>
      <c r="BB72" s="2" t="s">
        <v>79</v>
      </c>
      <c r="BC72" s="2"/>
      <c r="BD72" s="2" t="s">
        <v>544</v>
      </c>
      <c r="BE72" s="2" t="s">
        <v>153</v>
      </c>
      <c r="BF72" s="2"/>
      <c r="BG72" s="2" t="s">
        <v>80</v>
      </c>
      <c r="BH72" s="2" t="s">
        <v>79</v>
      </c>
      <c r="BI72" s="2" t="s">
        <v>545</v>
      </c>
      <c r="BJ72" s="2" t="s">
        <v>546</v>
      </c>
      <c r="BK72" s="2" t="s">
        <v>79</v>
      </c>
      <c r="BL72" s="2" t="s">
        <v>109</v>
      </c>
      <c r="BM72" s="2">
        <v>2019</v>
      </c>
    </row>
    <row r="73" spans="1:65" ht="409.5" x14ac:dyDescent="0.25">
      <c r="A73" s="2" t="s">
        <v>1663</v>
      </c>
      <c r="B73" s="2" t="s">
        <v>80</v>
      </c>
      <c r="C73" s="2" t="s">
        <v>1665</v>
      </c>
      <c r="D73" s="2" t="s">
        <v>79</v>
      </c>
      <c r="E73" s="2" t="s">
        <v>79</v>
      </c>
      <c r="F73" s="2"/>
      <c r="G73" s="2" t="s">
        <v>842</v>
      </c>
      <c r="H73" s="2" t="s">
        <v>106</v>
      </c>
      <c r="I73" s="2" t="s">
        <v>194</v>
      </c>
      <c r="J73" s="2" t="s">
        <v>111</v>
      </c>
      <c r="K73" s="2" t="s">
        <v>79</v>
      </c>
      <c r="L73" s="2" t="s">
        <v>92</v>
      </c>
      <c r="M73" s="2"/>
      <c r="N73" s="2"/>
      <c r="O73" s="2" t="s">
        <v>155</v>
      </c>
      <c r="P73" s="2" t="s">
        <v>80</v>
      </c>
      <c r="Q73" s="2"/>
      <c r="R73" s="2" t="s">
        <v>92</v>
      </c>
      <c r="S73" s="2" t="s">
        <v>143</v>
      </c>
      <c r="T73" s="2" t="s">
        <v>1666</v>
      </c>
      <c r="U73" s="2" t="s">
        <v>1667</v>
      </c>
      <c r="V73" s="2" t="s">
        <v>95</v>
      </c>
      <c r="W73" s="2" t="s">
        <v>1668</v>
      </c>
      <c r="X73" s="2" t="s">
        <v>1669</v>
      </c>
      <c r="Y73" s="2" t="s">
        <v>80</v>
      </c>
      <c r="Z73" s="2"/>
      <c r="AA73" s="2"/>
      <c r="AB73" s="2"/>
      <c r="AC73" s="2" t="s">
        <v>79</v>
      </c>
      <c r="AD73" s="2" t="s">
        <v>1670</v>
      </c>
      <c r="AE73" s="2" t="s">
        <v>1664</v>
      </c>
      <c r="AF73" s="2" t="s">
        <v>82</v>
      </c>
      <c r="AG73" s="2">
        <v>9</v>
      </c>
      <c r="AH73" s="2" t="s">
        <v>84</v>
      </c>
      <c r="AI73" s="2" t="s">
        <v>84</v>
      </c>
      <c r="AJ73" s="2" t="s">
        <v>84</v>
      </c>
      <c r="AK73" s="2" t="s">
        <v>84</v>
      </c>
      <c r="AL73" s="2" t="s">
        <v>84</v>
      </c>
      <c r="AM73" s="2" t="s">
        <v>84</v>
      </c>
      <c r="AN73" s="2" t="s">
        <v>85</v>
      </c>
      <c r="AO73" s="2" t="s">
        <v>84</v>
      </c>
      <c r="AP73" s="2" t="s">
        <v>84</v>
      </c>
      <c r="AQ73" s="2" t="s">
        <v>85</v>
      </c>
      <c r="AR73" s="2" t="s">
        <v>80</v>
      </c>
      <c r="AS73" s="2" t="s">
        <v>80</v>
      </c>
      <c r="AT73" s="2"/>
      <c r="AU73" s="2" t="s">
        <v>80</v>
      </c>
      <c r="AV73" s="2" t="s">
        <v>79</v>
      </c>
      <c r="AW73" s="2" t="s">
        <v>79</v>
      </c>
      <c r="AX73" s="2"/>
      <c r="AY73" s="2" t="s">
        <v>100</v>
      </c>
      <c r="AZ73" s="2" t="s">
        <v>1671</v>
      </c>
      <c r="BA73" s="2" t="s">
        <v>1557</v>
      </c>
      <c r="BB73" s="2" t="s">
        <v>79</v>
      </c>
      <c r="BC73" s="2" t="s">
        <v>1672</v>
      </c>
      <c r="BD73" s="2" t="s">
        <v>1673</v>
      </c>
      <c r="BE73" s="2" t="s">
        <v>856</v>
      </c>
      <c r="BF73" s="2"/>
      <c r="BG73" s="2" t="s">
        <v>80</v>
      </c>
      <c r="BH73" s="2" t="s">
        <v>106</v>
      </c>
      <c r="BI73" s="2" t="s">
        <v>206</v>
      </c>
      <c r="BJ73" s="2" t="s">
        <v>1674</v>
      </c>
      <c r="BK73" s="2" t="s">
        <v>79</v>
      </c>
      <c r="BL73" s="2" t="s">
        <v>109</v>
      </c>
      <c r="BM73" s="2">
        <v>2018</v>
      </c>
    </row>
    <row r="74" spans="1:65" ht="375" x14ac:dyDescent="0.25">
      <c r="A74" s="2" t="s">
        <v>1400</v>
      </c>
      <c r="B74" s="2" t="s">
        <v>80</v>
      </c>
      <c r="C74" s="2" t="s">
        <v>1402</v>
      </c>
      <c r="D74" s="2" t="s">
        <v>80</v>
      </c>
      <c r="E74" s="2"/>
      <c r="F74" s="2"/>
      <c r="G74" s="2" t="s">
        <v>143</v>
      </c>
      <c r="H74" s="2"/>
      <c r="I74" s="2"/>
      <c r="J74" s="2" t="s">
        <v>111</v>
      </c>
      <c r="K74" s="2" t="s">
        <v>80</v>
      </c>
      <c r="L74" s="2"/>
      <c r="M74" s="2"/>
      <c r="N74" s="2"/>
      <c r="O74" s="2" t="s">
        <v>155</v>
      </c>
      <c r="P74" s="2" t="s">
        <v>79</v>
      </c>
      <c r="Q74" s="2" t="s">
        <v>1403</v>
      </c>
      <c r="R74" s="2" t="s">
        <v>92</v>
      </c>
      <c r="S74" s="2"/>
      <c r="T74" s="2" t="s">
        <v>213</v>
      </c>
      <c r="U74" s="2" t="s">
        <v>1404</v>
      </c>
      <c r="V74" s="2" t="s">
        <v>95</v>
      </c>
      <c r="W74" s="2"/>
      <c r="X74" s="2"/>
      <c r="Y74" s="2" t="s">
        <v>80</v>
      </c>
      <c r="Z74" s="2"/>
      <c r="AA74" s="2"/>
      <c r="AB74" s="2"/>
      <c r="AC74" s="2" t="s">
        <v>80</v>
      </c>
      <c r="AD74" s="2"/>
      <c r="AE74" s="2" t="s">
        <v>1401</v>
      </c>
      <c r="AF74" s="2" t="s">
        <v>82</v>
      </c>
      <c r="AG74" s="2">
        <v>7</v>
      </c>
      <c r="AH74" s="2" t="s">
        <v>84</v>
      </c>
      <c r="AI74" s="2" t="s">
        <v>84</v>
      </c>
      <c r="AJ74" s="2" t="s">
        <v>85</v>
      </c>
      <c r="AK74" s="2" t="s">
        <v>86</v>
      </c>
      <c r="AL74" s="2" t="s">
        <v>84</v>
      </c>
      <c r="AM74" s="2" t="s">
        <v>84</v>
      </c>
      <c r="AN74" s="2" t="s">
        <v>84</v>
      </c>
      <c r="AO74" s="2" t="s">
        <v>84</v>
      </c>
      <c r="AP74" s="2" t="s">
        <v>86</v>
      </c>
      <c r="AQ74" s="2" t="s">
        <v>85</v>
      </c>
      <c r="AR74" s="2"/>
      <c r="AS74" s="2" t="s">
        <v>80</v>
      </c>
      <c r="AT74" s="2"/>
      <c r="AU74" s="2"/>
      <c r="AV74" s="2" t="s">
        <v>79</v>
      </c>
      <c r="AW74" s="2"/>
      <c r="AX74" s="2" t="s">
        <v>1405</v>
      </c>
      <c r="AY74" s="2" t="s">
        <v>1143</v>
      </c>
      <c r="AZ74" s="2" t="s">
        <v>1406</v>
      </c>
      <c r="BA74" s="2" t="s">
        <v>514</v>
      </c>
      <c r="BB74" s="2" t="s">
        <v>79</v>
      </c>
      <c r="BC74" s="2" t="s">
        <v>1407</v>
      </c>
      <c r="BD74" s="2" t="s">
        <v>1408</v>
      </c>
      <c r="BE74" s="2" t="s">
        <v>648</v>
      </c>
      <c r="BF74" s="2"/>
      <c r="BG74" s="2" t="s">
        <v>80</v>
      </c>
      <c r="BH74" s="2" t="s">
        <v>106</v>
      </c>
      <c r="BI74" s="2"/>
      <c r="BJ74" s="2" t="s">
        <v>1409</v>
      </c>
      <c r="BK74" s="2" t="s">
        <v>79</v>
      </c>
      <c r="BL74" s="2" t="s">
        <v>109</v>
      </c>
      <c r="BM74" s="2">
        <v>2018</v>
      </c>
    </row>
    <row r="75" spans="1:65" ht="405" x14ac:dyDescent="0.25">
      <c r="A75" s="2" t="s">
        <v>475</v>
      </c>
      <c r="B75" s="2" t="s">
        <v>92</v>
      </c>
      <c r="C75" s="2" t="s">
        <v>477</v>
      </c>
      <c r="D75" s="2" t="s">
        <v>80</v>
      </c>
      <c r="E75" s="2"/>
      <c r="F75" s="2"/>
      <c r="G75" s="2" t="s">
        <v>478</v>
      </c>
      <c r="H75" s="2" t="s">
        <v>106</v>
      </c>
      <c r="I75" s="2" t="s">
        <v>116</v>
      </c>
      <c r="J75" s="2" t="s">
        <v>111</v>
      </c>
      <c r="K75" s="2" t="s">
        <v>80</v>
      </c>
      <c r="L75" s="2"/>
      <c r="M75" s="2"/>
      <c r="N75" s="2"/>
      <c r="O75" s="2"/>
      <c r="P75" s="2" t="s">
        <v>80</v>
      </c>
      <c r="Q75" s="2"/>
      <c r="R75" s="2" t="s">
        <v>92</v>
      </c>
      <c r="S75" s="2" t="s">
        <v>476</v>
      </c>
      <c r="T75" s="2" t="s">
        <v>479</v>
      </c>
      <c r="U75" s="2" t="s">
        <v>480</v>
      </c>
      <c r="V75" s="2" t="s">
        <v>95</v>
      </c>
      <c r="W75" s="2" t="s">
        <v>481</v>
      </c>
      <c r="X75" s="2" t="s">
        <v>482</v>
      </c>
      <c r="Y75" s="2" t="s">
        <v>80</v>
      </c>
      <c r="Z75" s="2"/>
      <c r="AA75" s="2"/>
      <c r="AB75" s="2" t="s">
        <v>483</v>
      </c>
      <c r="AC75" s="2" t="s">
        <v>79</v>
      </c>
      <c r="AD75" s="2" t="s">
        <v>484</v>
      </c>
      <c r="AE75" s="2"/>
      <c r="AF75" s="2" t="s">
        <v>82</v>
      </c>
      <c r="AG75" s="2">
        <v>8.5</v>
      </c>
      <c r="AH75" s="2" t="s">
        <v>84</v>
      </c>
      <c r="AI75" s="2" t="s">
        <v>84</v>
      </c>
      <c r="AJ75" s="2" t="s">
        <v>84</v>
      </c>
      <c r="AK75" s="2" t="s">
        <v>84</v>
      </c>
      <c r="AL75" s="2" t="s">
        <v>84</v>
      </c>
      <c r="AM75" s="2" t="s">
        <v>84</v>
      </c>
      <c r="AN75" s="2" t="s">
        <v>84</v>
      </c>
      <c r="AO75" s="2" t="s">
        <v>86</v>
      </c>
      <c r="AP75" s="2" t="s">
        <v>84</v>
      </c>
      <c r="AQ75" s="2" t="s">
        <v>85</v>
      </c>
      <c r="AR75" s="2"/>
      <c r="AS75" s="2" t="s">
        <v>80</v>
      </c>
      <c r="AT75" s="2"/>
      <c r="AU75" s="2"/>
      <c r="AV75" s="2" t="s">
        <v>80</v>
      </c>
      <c r="AW75" s="2"/>
      <c r="AX75" s="2"/>
      <c r="AY75" s="2" t="s">
        <v>100</v>
      </c>
      <c r="AZ75" s="2" t="s">
        <v>485</v>
      </c>
      <c r="BA75" s="2" t="s">
        <v>102</v>
      </c>
      <c r="BB75" s="2" t="s">
        <v>79</v>
      </c>
      <c r="BC75" s="2"/>
      <c r="BD75" s="2" t="s">
        <v>486</v>
      </c>
      <c r="BE75" s="2" t="s">
        <v>153</v>
      </c>
      <c r="BF75" s="2" t="s">
        <v>487</v>
      </c>
      <c r="BG75" s="2" t="s">
        <v>92</v>
      </c>
      <c r="BH75" s="2" t="s">
        <v>79</v>
      </c>
      <c r="BI75" s="2" t="s">
        <v>107</v>
      </c>
      <c r="BJ75" s="2" t="s">
        <v>488</v>
      </c>
      <c r="BK75" s="2" t="s">
        <v>79</v>
      </c>
      <c r="BL75" s="2" t="s">
        <v>109</v>
      </c>
      <c r="BM75" s="2">
        <v>2018</v>
      </c>
    </row>
    <row r="76" spans="1:65" ht="409.5" x14ac:dyDescent="0.25">
      <c r="A76" s="2" t="s">
        <v>489</v>
      </c>
      <c r="B76" s="2" t="s">
        <v>92</v>
      </c>
      <c r="C76" s="2" t="s">
        <v>491</v>
      </c>
      <c r="D76" s="2" t="s">
        <v>80</v>
      </c>
      <c r="E76" s="2"/>
      <c r="F76" s="2"/>
      <c r="G76" s="2" t="s">
        <v>89</v>
      </c>
      <c r="H76" s="2" t="s">
        <v>79</v>
      </c>
      <c r="I76" s="2" t="s">
        <v>90</v>
      </c>
      <c r="J76" s="2" t="s">
        <v>111</v>
      </c>
      <c r="K76" s="2" t="s">
        <v>80</v>
      </c>
      <c r="L76" s="2"/>
      <c r="M76" s="2"/>
      <c r="N76" s="2"/>
      <c r="O76" s="2"/>
      <c r="P76" s="2" t="s">
        <v>80</v>
      </c>
      <c r="Q76" s="2"/>
      <c r="R76" s="2" t="s">
        <v>92</v>
      </c>
      <c r="S76" s="2" t="s">
        <v>476</v>
      </c>
      <c r="T76" s="2" t="s">
        <v>465</v>
      </c>
      <c r="U76" s="2" t="s">
        <v>492</v>
      </c>
      <c r="V76" s="2" t="s">
        <v>95</v>
      </c>
      <c r="W76" s="2" t="s">
        <v>493</v>
      </c>
      <c r="X76" s="2" t="s">
        <v>494</v>
      </c>
      <c r="Y76" s="2" t="s">
        <v>80</v>
      </c>
      <c r="Z76" s="2"/>
      <c r="AA76" s="2"/>
      <c r="AB76" s="2" t="s">
        <v>495</v>
      </c>
      <c r="AC76" s="2" t="s">
        <v>79</v>
      </c>
      <c r="AD76" s="2" t="s">
        <v>496</v>
      </c>
      <c r="AE76" s="2" t="s">
        <v>490</v>
      </c>
      <c r="AF76" s="2" t="s">
        <v>82</v>
      </c>
      <c r="AG76" s="2">
        <v>8.5</v>
      </c>
      <c r="AH76" s="2" t="s">
        <v>84</v>
      </c>
      <c r="AI76" s="2" t="s">
        <v>84</v>
      </c>
      <c r="AJ76" s="2" t="s">
        <v>84</v>
      </c>
      <c r="AK76" s="2" t="s">
        <v>84</v>
      </c>
      <c r="AL76" s="2" t="s">
        <v>84</v>
      </c>
      <c r="AM76" s="2" t="s">
        <v>84</v>
      </c>
      <c r="AN76" s="2" t="s">
        <v>84</v>
      </c>
      <c r="AO76" s="2" t="s">
        <v>86</v>
      </c>
      <c r="AP76" s="2" t="s">
        <v>84</v>
      </c>
      <c r="AQ76" s="2" t="s">
        <v>85</v>
      </c>
      <c r="AR76" s="2"/>
      <c r="AS76" s="2" t="s">
        <v>80</v>
      </c>
      <c r="AT76" s="2"/>
      <c r="AU76" s="2"/>
      <c r="AV76" s="2" t="s">
        <v>80</v>
      </c>
      <c r="AW76" s="2"/>
      <c r="AX76" s="2"/>
      <c r="AY76" s="2" t="s">
        <v>100</v>
      </c>
      <c r="AZ76" s="2" t="s">
        <v>497</v>
      </c>
      <c r="BA76" s="2" t="s">
        <v>102</v>
      </c>
      <c r="BB76" s="2" t="s">
        <v>79</v>
      </c>
      <c r="BC76" s="2"/>
      <c r="BD76" s="2" t="s">
        <v>498</v>
      </c>
      <c r="BE76" s="2" t="s">
        <v>153</v>
      </c>
      <c r="BF76" s="2" t="s">
        <v>499</v>
      </c>
      <c r="BG76" s="2" t="s">
        <v>79</v>
      </c>
      <c r="BH76" s="2" t="s">
        <v>79</v>
      </c>
      <c r="BI76" s="2" t="s">
        <v>107</v>
      </c>
      <c r="BJ76" s="2" t="s">
        <v>500</v>
      </c>
      <c r="BK76" s="2" t="s">
        <v>79</v>
      </c>
      <c r="BL76" s="2" t="s">
        <v>109</v>
      </c>
      <c r="BM76" s="2">
        <v>2018</v>
      </c>
    </row>
    <row r="77" spans="1:65" ht="409.5" x14ac:dyDescent="0.25">
      <c r="A77" s="2" t="s">
        <v>415</v>
      </c>
      <c r="B77" s="2" t="s">
        <v>80</v>
      </c>
      <c r="C77" s="2" t="s">
        <v>417</v>
      </c>
      <c r="D77" s="2" t="s">
        <v>79</v>
      </c>
      <c r="E77" s="2" t="s">
        <v>92</v>
      </c>
      <c r="F77" s="2" t="s">
        <v>418</v>
      </c>
      <c r="G77" s="2" t="s">
        <v>89</v>
      </c>
      <c r="H77" s="2" t="s">
        <v>79</v>
      </c>
      <c r="I77" s="2" t="s">
        <v>116</v>
      </c>
      <c r="J77" s="2" t="s">
        <v>270</v>
      </c>
      <c r="K77" s="2" t="s">
        <v>79</v>
      </c>
      <c r="L77" s="2" t="s">
        <v>92</v>
      </c>
      <c r="M77" s="2" t="s">
        <v>419</v>
      </c>
      <c r="N77" s="2"/>
      <c r="O77" s="2"/>
      <c r="P77" s="2" t="s">
        <v>80</v>
      </c>
      <c r="Q77" s="2"/>
      <c r="R77" s="2" t="s">
        <v>92</v>
      </c>
      <c r="S77" s="2" t="s">
        <v>271</v>
      </c>
      <c r="T77" s="2" t="s">
        <v>118</v>
      </c>
      <c r="U77" s="2" t="s">
        <v>420</v>
      </c>
      <c r="V77" s="2" t="s">
        <v>95</v>
      </c>
      <c r="W77" s="2" t="s">
        <v>421</v>
      </c>
      <c r="X77" s="2" t="s">
        <v>422</v>
      </c>
      <c r="Y77" s="2" t="s">
        <v>80</v>
      </c>
      <c r="Z77" s="2"/>
      <c r="AA77" s="2"/>
      <c r="AB77" s="2"/>
      <c r="AC77" s="2" t="s">
        <v>79</v>
      </c>
      <c r="AD77" s="2" t="s">
        <v>423</v>
      </c>
      <c r="AE77" s="2" t="s">
        <v>416</v>
      </c>
      <c r="AF77" s="2" t="s">
        <v>82</v>
      </c>
      <c r="AG77" s="2">
        <v>8</v>
      </c>
      <c r="AH77" s="2" t="s">
        <v>84</v>
      </c>
      <c r="AI77" s="2" t="s">
        <v>84</v>
      </c>
      <c r="AJ77" s="2" t="s">
        <v>84</v>
      </c>
      <c r="AK77" s="2" t="s">
        <v>84</v>
      </c>
      <c r="AL77" s="2" t="s">
        <v>84</v>
      </c>
      <c r="AM77" s="2" t="s">
        <v>84</v>
      </c>
      <c r="AN77" s="2" t="s">
        <v>85</v>
      </c>
      <c r="AO77" s="2" t="s">
        <v>86</v>
      </c>
      <c r="AP77" s="2" t="s">
        <v>84</v>
      </c>
      <c r="AQ77" s="2" t="s">
        <v>85</v>
      </c>
      <c r="AR77" s="2" t="s">
        <v>80</v>
      </c>
      <c r="AS77" s="2" t="s">
        <v>80</v>
      </c>
      <c r="AT77" s="2"/>
      <c r="AU77" s="2" t="s">
        <v>80</v>
      </c>
      <c r="AV77" s="2" t="s">
        <v>79</v>
      </c>
      <c r="AW77" s="2" t="s">
        <v>92</v>
      </c>
      <c r="AX77" s="2" t="s">
        <v>424</v>
      </c>
      <c r="AY77" s="2" t="s">
        <v>303</v>
      </c>
      <c r="AZ77" s="2" t="s">
        <v>425</v>
      </c>
      <c r="BA77" s="2" t="s">
        <v>426</v>
      </c>
      <c r="BB77" s="2" t="s">
        <v>79</v>
      </c>
      <c r="BC77" s="2" t="s">
        <v>427</v>
      </c>
      <c r="BD77" s="2" t="s">
        <v>428</v>
      </c>
      <c r="BE77" s="2" t="s">
        <v>104</v>
      </c>
      <c r="BF77" s="2"/>
      <c r="BG77" s="2" t="s">
        <v>80</v>
      </c>
      <c r="BH77" s="2" t="s">
        <v>106</v>
      </c>
      <c r="BI77" s="2" t="s">
        <v>429</v>
      </c>
      <c r="BJ77" s="2" t="s">
        <v>430</v>
      </c>
      <c r="BK77" s="2" t="s">
        <v>79</v>
      </c>
      <c r="BL77" s="2" t="s">
        <v>109</v>
      </c>
      <c r="BM77" s="2">
        <v>2018</v>
      </c>
    </row>
    <row r="78" spans="1:65" ht="409.5" x14ac:dyDescent="0.25">
      <c r="A78" s="2" t="s">
        <v>431</v>
      </c>
      <c r="B78" s="2" t="s">
        <v>92</v>
      </c>
      <c r="C78" s="2" t="s">
        <v>433</v>
      </c>
      <c r="D78" s="2" t="s">
        <v>79</v>
      </c>
      <c r="E78" s="2" t="s">
        <v>79</v>
      </c>
      <c r="F78" s="2" t="s">
        <v>434</v>
      </c>
      <c r="G78" s="2" t="s">
        <v>89</v>
      </c>
      <c r="H78" s="2" t="s">
        <v>79</v>
      </c>
      <c r="I78" s="2" t="s">
        <v>116</v>
      </c>
      <c r="J78" s="2" t="s">
        <v>270</v>
      </c>
      <c r="K78" s="2" t="s">
        <v>79</v>
      </c>
      <c r="L78" s="2" t="s">
        <v>92</v>
      </c>
      <c r="M78" s="2" t="s">
        <v>435</v>
      </c>
      <c r="N78" s="2" t="s">
        <v>276</v>
      </c>
      <c r="O78" s="2" t="s">
        <v>277</v>
      </c>
      <c r="P78" s="2" t="s">
        <v>79</v>
      </c>
      <c r="Q78" s="2" t="s">
        <v>436</v>
      </c>
      <c r="R78" s="2" t="s">
        <v>92</v>
      </c>
      <c r="S78" s="2" t="s">
        <v>224</v>
      </c>
      <c r="T78" s="2" t="s">
        <v>437</v>
      </c>
      <c r="U78" s="2" t="s">
        <v>438</v>
      </c>
      <c r="V78" s="2" t="s">
        <v>95</v>
      </c>
      <c r="W78" s="2" t="s">
        <v>439</v>
      </c>
      <c r="X78" s="2" t="s">
        <v>440</v>
      </c>
      <c r="Y78" s="2" t="s">
        <v>80</v>
      </c>
      <c r="Z78" s="2"/>
      <c r="AA78" s="2"/>
      <c r="AB78" s="2"/>
      <c r="AC78" s="2" t="s">
        <v>79</v>
      </c>
      <c r="AD78" s="2" t="s">
        <v>441</v>
      </c>
      <c r="AE78" s="2" t="s">
        <v>432</v>
      </c>
      <c r="AF78" s="2" t="s">
        <v>82</v>
      </c>
      <c r="AG78" s="2">
        <v>9.5</v>
      </c>
      <c r="AH78" s="2" t="s">
        <v>84</v>
      </c>
      <c r="AI78" s="2" t="s">
        <v>84</v>
      </c>
      <c r="AJ78" s="2" t="s">
        <v>84</v>
      </c>
      <c r="AK78" s="2" t="s">
        <v>84</v>
      </c>
      <c r="AL78" s="2" t="s">
        <v>84</v>
      </c>
      <c r="AM78" s="2" t="s">
        <v>84</v>
      </c>
      <c r="AN78" s="2" t="s">
        <v>84</v>
      </c>
      <c r="AO78" s="2" t="s">
        <v>84</v>
      </c>
      <c r="AP78" s="2" t="s">
        <v>84</v>
      </c>
      <c r="AQ78" s="2" t="s">
        <v>85</v>
      </c>
      <c r="AR78" s="2" t="s">
        <v>80</v>
      </c>
      <c r="AS78" s="2" t="s">
        <v>80</v>
      </c>
      <c r="AT78" s="2"/>
      <c r="AU78" s="2" t="s">
        <v>80</v>
      </c>
      <c r="AV78" s="2" t="s">
        <v>79</v>
      </c>
      <c r="AW78" s="2" t="s">
        <v>92</v>
      </c>
      <c r="AX78" s="2" t="s">
        <v>442</v>
      </c>
      <c r="AY78" s="2" t="s">
        <v>100</v>
      </c>
      <c r="AZ78" s="2" t="s">
        <v>443</v>
      </c>
      <c r="BA78" s="2" t="s">
        <v>102</v>
      </c>
      <c r="BB78" s="2" t="s">
        <v>79</v>
      </c>
      <c r="BC78" s="2" t="s">
        <v>444</v>
      </c>
      <c r="BD78" s="2" t="s">
        <v>445</v>
      </c>
      <c r="BE78" s="2" t="s">
        <v>153</v>
      </c>
      <c r="BF78" s="2" t="s">
        <v>446</v>
      </c>
      <c r="BG78" s="2" t="s">
        <v>79</v>
      </c>
      <c r="BH78" s="2" t="s">
        <v>79</v>
      </c>
      <c r="BI78" s="2" t="s">
        <v>289</v>
      </c>
      <c r="BJ78" s="2" t="s">
        <v>447</v>
      </c>
      <c r="BK78" s="2" t="s">
        <v>79</v>
      </c>
      <c r="BL78" s="2" t="s">
        <v>109</v>
      </c>
      <c r="BM78" s="2">
        <v>2018</v>
      </c>
    </row>
    <row r="79" spans="1:65" ht="409.5" x14ac:dyDescent="0.25">
      <c r="A79" s="2" t="s">
        <v>463</v>
      </c>
      <c r="B79" s="2" t="s">
        <v>92</v>
      </c>
      <c r="C79" s="2" t="s">
        <v>464</v>
      </c>
      <c r="D79" s="2" t="s">
        <v>80</v>
      </c>
      <c r="E79" s="2"/>
      <c r="F79" s="2"/>
      <c r="G79" s="2" t="s">
        <v>89</v>
      </c>
      <c r="H79" s="2" t="s">
        <v>79</v>
      </c>
      <c r="I79" s="2" t="s">
        <v>90</v>
      </c>
      <c r="J79" s="2" t="s">
        <v>78</v>
      </c>
      <c r="K79" s="2" t="s">
        <v>80</v>
      </c>
      <c r="L79" s="2"/>
      <c r="M79" s="2"/>
      <c r="N79" s="2"/>
      <c r="O79" s="2"/>
      <c r="P79" s="2" t="s">
        <v>80</v>
      </c>
      <c r="Q79" s="2"/>
      <c r="R79" s="2" t="s">
        <v>92</v>
      </c>
      <c r="S79" s="2"/>
      <c r="T79" s="2" t="s">
        <v>465</v>
      </c>
      <c r="U79" s="2" t="s">
        <v>466</v>
      </c>
      <c r="V79" s="2" t="s">
        <v>95</v>
      </c>
      <c r="W79" s="2" t="s">
        <v>467</v>
      </c>
      <c r="X79" s="2" t="s">
        <v>468</v>
      </c>
      <c r="Y79" s="2" t="s">
        <v>80</v>
      </c>
      <c r="Z79" s="2"/>
      <c r="AA79" s="2"/>
      <c r="AB79" s="2" t="s">
        <v>469</v>
      </c>
      <c r="AC79" s="2" t="s">
        <v>79</v>
      </c>
      <c r="AD79" s="2" t="s">
        <v>470</v>
      </c>
      <c r="AE79" s="2"/>
      <c r="AF79" s="2" t="s">
        <v>82</v>
      </c>
      <c r="AG79" s="2">
        <v>8.5</v>
      </c>
      <c r="AH79" s="2" t="s">
        <v>84</v>
      </c>
      <c r="AI79" s="2" t="s">
        <v>84</v>
      </c>
      <c r="AJ79" s="2" t="s">
        <v>84</v>
      </c>
      <c r="AK79" s="2" t="s">
        <v>84</v>
      </c>
      <c r="AL79" s="2" t="s">
        <v>84</v>
      </c>
      <c r="AM79" s="2" t="s">
        <v>84</v>
      </c>
      <c r="AN79" s="2" t="s">
        <v>84</v>
      </c>
      <c r="AO79" s="2" t="s">
        <v>86</v>
      </c>
      <c r="AP79" s="2" t="s">
        <v>84</v>
      </c>
      <c r="AQ79" s="2" t="s">
        <v>85</v>
      </c>
      <c r="AR79" s="2"/>
      <c r="AS79" s="2" t="s">
        <v>80</v>
      </c>
      <c r="AT79" s="2"/>
      <c r="AU79" s="2"/>
      <c r="AV79" s="2" t="s">
        <v>80</v>
      </c>
      <c r="AW79" s="2"/>
      <c r="AX79" s="2"/>
      <c r="AY79" s="2" t="s">
        <v>100</v>
      </c>
      <c r="AZ79" s="2" t="s">
        <v>471</v>
      </c>
      <c r="BA79" s="2" t="s">
        <v>102</v>
      </c>
      <c r="BB79" s="2" t="s">
        <v>79</v>
      </c>
      <c r="BC79" s="2"/>
      <c r="BD79" s="2" t="s">
        <v>472</v>
      </c>
      <c r="BE79" s="2" t="s">
        <v>153</v>
      </c>
      <c r="BF79" s="2" t="s">
        <v>473</v>
      </c>
      <c r="BG79" s="2" t="s">
        <v>92</v>
      </c>
      <c r="BH79" s="2" t="s">
        <v>79</v>
      </c>
      <c r="BI79" s="2" t="s">
        <v>429</v>
      </c>
      <c r="BJ79" s="2" t="s">
        <v>474</v>
      </c>
      <c r="BK79" s="2" t="s">
        <v>79</v>
      </c>
      <c r="BL79" s="2" t="s">
        <v>109</v>
      </c>
      <c r="BM79" s="2">
        <v>2018</v>
      </c>
    </row>
    <row r="80" spans="1:65" ht="409.5" x14ac:dyDescent="0.25">
      <c r="A80" s="2" t="s">
        <v>501</v>
      </c>
      <c r="B80" s="2" t="s">
        <v>80</v>
      </c>
      <c r="C80" s="2" t="s">
        <v>504</v>
      </c>
      <c r="D80" s="2" t="s">
        <v>79</v>
      </c>
      <c r="E80" s="2" t="s">
        <v>92</v>
      </c>
      <c r="F80" s="2" t="s">
        <v>505</v>
      </c>
      <c r="G80" s="2" t="s">
        <v>143</v>
      </c>
      <c r="H80" s="2" t="s">
        <v>106</v>
      </c>
      <c r="I80" s="2" t="s">
        <v>90</v>
      </c>
      <c r="J80" s="2" t="s">
        <v>111</v>
      </c>
      <c r="K80" s="2" t="s">
        <v>79</v>
      </c>
      <c r="L80" s="2" t="s">
        <v>106</v>
      </c>
      <c r="M80" s="2" t="s">
        <v>506</v>
      </c>
      <c r="N80" s="2"/>
      <c r="O80" s="2"/>
      <c r="P80" s="2" t="s">
        <v>80</v>
      </c>
      <c r="Q80" s="2"/>
      <c r="R80" s="2" t="s">
        <v>92</v>
      </c>
      <c r="S80" s="2" t="s">
        <v>502</v>
      </c>
      <c r="T80" s="2"/>
      <c r="U80" s="2" t="s">
        <v>507</v>
      </c>
      <c r="V80" s="2" t="s">
        <v>95</v>
      </c>
      <c r="W80" s="2" t="s">
        <v>508</v>
      </c>
      <c r="X80" s="2" t="s">
        <v>509</v>
      </c>
      <c r="Y80" s="2" t="s">
        <v>80</v>
      </c>
      <c r="Z80" s="2"/>
      <c r="AA80" s="2"/>
      <c r="AB80" s="2" t="s">
        <v>510</v>
      </c>
      <c r="AC80" s="2" t="s">
        <v>79</v>
      </c>
      <c r="AD80" s="2" t="s">
        <v>511</v>
      </c>
      <c r="AE80" s="2" t="s">
        <v>503</v>
      </c>
      <c r="AF80" s="2" t="s">
        <v>82</v>
      </c>
      <c r="AG80" s="2">
        <v>7.5</v>
      </c>
      <c r="AH80" s="2" t="s">
        <v>84</v>
      </c>
      <c r="AI80" s="2" t="s">
        <v>84</v>
      </c>
      <c r="AJ80" s="2" t="s">
        <v>85</v>
      </c>
      <c r="AK80" s="2" t="s">
        <v>84</v>
      </c>
      <c r="AL80" s="2" t="s">
        <v>84</v>
      </c>
      <c r="AM80" s="2" t="s">
        <v>84</v>
      </c>
      <c r="AN80" s="2" t="s">
        <v>84</v>
      </c>
      <c r="AO80" s="2" t="s">
        <v>86</v>
      </c>
      <c r="AP80" s="2" t="s">
        <v>86</v>
      </c>
      <c r="AQ80" s="2" t="s">
        <v>84</v>
      </c>
      <c r="AR80" s="2"/>
      <c r="AS80" s="2" t="s">
        <v>80</v>
      </c>
      <c r="AT80" s="2"/>
      <c r="AU80" s="2"/>
      <c r="AV80" s="2" t="s">
        <v>79</v>
      </c>
      <c r="AW80" s="2" t="s">
        <v>106</v>
      </c>
      <c r="AX80" s="2" t="s">
        <v>512</v>
      </c>
      <c r="AY80" s="2" t="s">
        <v>303</v>
      </c>
      <c r="AZ80" s="2" t="s">
        <v>513</v>
      </c>
      <c r="BA80" s="2" t="s">
        <v>514</v>
      </c>
      <c r="BB80" s="2" t="s">
        <v>79</v>
      </c>
      <c r="BC80" s="2"/>
      <c r="BD80" s="2" t="s">
        <v>515</v>
      </c>
      <c r="BE80" s="2" t="s">
        <v>104</v>
      </c>
      <c r="BF80" s="2"/>
      <c r="BG80" s="2" t="s">
        <v>80</v>
      </c>
      <c r="BH80" s="2" t="s">
        <v>79</v>
      </c>
      <c r="BI80" s="2" t="s">
        <v>155</v>
      </c>
      <c r="BJ80" s="2"/>
      <c r="BK80" s="2" t="s">
        <v>80</v>
      </c>
      <c r="BL80" s="2" t="s">
        <v>109</v>
      </c>
      <c r="BM80" s="2">
        <v>2018</v>
      </c>
    </row>
    <row r="81" spans="1:65" ht="409.5" x14ac:dyDescent="0.25">
      <c r="A81" s="2" t="s">
        <v>448</v>
      </c>
      <c r="B81" s="2" t="s">
        <v>92</v>
      </c>
      <c r="C81" s="2" t="s">
        <v>450</v>
      </c>
      <c r="D81" s="2" t="s">
        <v>79</v>
      </c>
      <c r="E81" s="2" t="s">
        <v>79</v>
      </c>
      <c r="F81" s="2" t="s">
        <v>451</v>
      </c>
      <c r="G81" s="2" t="s">
        <v>89</v>
      </c>
      <c r="H81" s="2" t="s">
        <v>79</v>
      </c>
      <c r="I81" s="2" t="s">
        <v>116</v>
      </c>
      <c r="J81" s="2" t="s">
        <v>111</v>
      </c>
      <c r="K81" s="2" t="s">
        <v>79</v>
      </c>
      <c r="L81" s="2" t="s">
        <v>92</v>
      </c>
      <c r="M81" s="2" t="s">
        <v>452</v>
      </c>
      <c r="N81" s="2"/>
      <c r="O81" s="2"/>
      <c r="P81" s="2" t="s">
        <v>80</v>
      </c>
      <c r="Q81" s="2"/>
      <c r="R81" s="2" t="s">
        <v>92</v>
      </c>
      <c r="S81" s="2" t="s">
        <v>224</v>
      </c>
      <c r="T81" s="2" t="s">
        <v>453</v>
      </c>
      <c r="U81" s="2" t="s">
        <v>454</v>
      </c>
      <c r="V81" s="2" t="s">
        <v>95</v>
      </c>
      <c r="W81" s="2" t="s">
        <v>455</v>
      </c>
      <c r="X81" s="2" t="s">
        <v>456</v>
      </c>
      <c r="Y81" s="2" t="s">
        <v>80</v>
      </c>
      <c r="Z81" s="2"/>
      <c r="AA81" s="2"/>
      <c r="AB81" s="2"/>
      <c r="AC81" s="2" t="s">
        <v>79</v>
      </c>
      <c r="AD81" s="2" t="s">
        <v>457</v>
      </c>
      <c r="AE81" s="2" t="s">
        <v>449</v>
      </c>
      <c r="AF81" s="2" t="s">
        <v>82</v>
      </c>
      <c r="AG81" s="2">
        <v>8.5</v>
      </c>
      <c r="AH81" s="2" t="s">
        <v>84</v>
      </c>
      <c r="AI81" s="2" t="s">
        <v>84</v>
      </c>
      <c r="AJ81" s="2" t="s">
        <v>84</v>
      </c>
      <c r="AK81" s="2" t="s">
        <v>84</v>
      </c>
      <c r="AL81" s="2" t="s">
        <v>84</v>
      </c>
      <c r="AM81" s="2" t="s">
        <v>84</v>
      </c>
      <c r="AN81" s="2" t="s">
        <v>85</v>
      </c>
      <c r="AO81" s="2" t="s">
        <v>86</v>
      </c>
      <c r="AP81" s="2" t="s">
        <v>84</v>
      </c>
      <c r="AQ81" s="2" t="s">
        <v>84</v>
      </c>
      <c r="AR81" s="2" t="s">
        <v>80</v>
      </c>
      <c r="AS81" s="2" t="s">
        <v>80</v>
      </c>
      <c r="AT81" s="2"/>
      <c r="AU81" s="2" t="s">
        <v>80</v>
      </c>
      <c r="AV81" s="2" t="s">
        <v>79</v>
      </c>
      <c r="AW81" s="2" t="s">
        <v>92</v>
      </c>
      <c r="AX81" s="2" t="s">
        <v>458</v>
      </c>
      <c r="AY81" s="2" t="s">
        <v>100</v>
      </c>
      <c r="AZ81" s="2" t="s">
        <v>459</v>
      </c>
      <c r="BA81" s="2" t="s">
        <v>102</v>
      </c>
      <c r="BB81" s="2" t="s">
        <v>79</v>
      </c>
      <c r="BC81" s="2" t="s">
        <v>427</v>
      </c>
      <c r="BD81" s="2" t="s">
        <v>460</v>
      </c>
      <c r="BE81" s="2" t="s">
        <v>153</v>
      </c>
      <c r="BF81" s="2" t="s">
        <v>461</v>
      </c>
      <c r="BG81" s="2" t="s">
        <v>79</v>
      </c>
      <c r="BH81" s="2" t="s">
        <v>106</v>
      </c>
      <c r="BI81" s="2" t="s">
        <v>107</v>
      </c>
      <c r="BJ81" s="2" t="s">
        <v>462</v>
      </c>
      <c r="BK81" s="2" t="s">
        <v>79</v>
      </c>
      <c r="BL81" s="2" t="s">
        <v>109</v>
      </c>
      <c r="BM81" s="2">
        <v>2018</v>
      </c>
    </row>
    <row r="82" spans="1:65" ht="409.5" x14ac:dyDescent="0.25">
      <c r="A82" s="2" t="s">
        <v>1714</v>
      </c>
      <c r="B82" s="2" t="s">
        <v>80</v>
      </c>
      <c r="C82" s="2" t="s">
        <v>1716</v>
      </c>
      <c r="D82" s="2" t="s">
        <v>79</v>
      </c>
      <c r="E82" s="2"/>
      <c r="F82" s="2" t="s">
        <v>1717</v>
      </c>
      <c r="G82" s="2" t="s">
        <v>89</v>
      </c>
      <c r="H82" s="2" t="s">
        <v>80</v>
      </c>
      <c r="I82" s="2"/>
      <c r="J82" s="2" t="s">
        <v>270</v>
      </c>
      <c r="K82" s="2" t="s">
        <v>79</v>
      </c>
      <c r="L82" s="2"/>
      <c r="M82" s="2" t="s">
        <v>1718</v>
      </c>
      <c r="N82" s="2"/>
      <c r="O82" s="2" t="s">
        <v>155</v>
      </c>
      <c r="P82" s="2" t="s">
        <v>80</v>
      </c>
      <c r="Q82" s="2"/>
      <c r="R82" s="2" t="s">
        <v>92</v>
      </c>
      <c r="S82" s="2" t="s">
        <v>1000</v>
      </c>
      <c r="T82" s="2"/>
      <c r="U82" s="2" t="s">
        <v>1719</v>
      </c>
      <c r="V82" s="2" t="s">
        <v>95</v>
      </c>
      <c r="W82" s="2" t="s">
        <v>1720</v>
      </c>
      <c r="X82" s="2" t="s">
        <v>1721</v>
      </c>
      <c r="Y82" s="2" t="s">
        <v>80</v>
      </c>
      <c r="Z82" s="2"/>
      <c r="AA82" s="2"/>
      <c r="AB82" s="2"/>
      <c r="AC82" s="2" t="s">
        <v>79</v>
      </c>
      <c r="AD82" s="2" t="s">
        <v>1722</v>
      </c>
      <c r="AE82" s="2" t="s">
        <v>1715</v>
      </c>
      <c r="AF82" s="2" t="s">
        <v>82</v>
      </c>
      <c r="AG82" s="2">
        <v>9</v>
      </c>
      <c r="AH82" s="2" t="s">
        <v>84</v>
      </c>
      <c r="AI82" s="2" t="s">
        <v>84</v>
      </c>
      <c r="AJ82" s="2" t="s">
        <v>84</v>
      </c>
      <c r="AK82" s="2" t="s">
        <v>84</v>
      </c>
      <c r="AL82" s="2" t="s">
        <v>84</v>
      </c>
      <c r="AM82" s="2" t="s">
        <v>84</v>
      </c>
      <c r="AN82" s="2" t="s">
        <v>84</v>
      </c>
      <c r="AO82" s="2" t="s">
        <v>86</v>
      </c>
      <c r="AP82" s="2" t="s">
        <v>84</v>
      </c>
      <c r="AQ82" s="2" t="s">
        <v>84</v>
      </c>
      <c r="AR82" s="2" t="s">
        <v>106</v>
      </c>
      <c r="AS82" s="2" t="s">
        <v>80</v>
      </c>
      <c r="AT82" s="2"/>
      <c r="AU82" s="2" t="s">
        <v>106</v>
      </c>
      <c r="AV82" s="2" t="s">
        <v>79</v>
      </c>
      <c r="AW82" s="2"/>
      <c r="AX82" s="2" t="s">
        <v>1723</v>
      </c>
      <c r="AY82" s="2" t="s">
        <v>100</v>
      </c>
      <c r="AZ82" s="2" t="s">
        <v>1724</v>
      </c>
      <c r="BA82" s="2" t="s">
        <v>102</v>
      </c>
      <c r="BB82" s="2" t="s">
        <v>79</v>
      </c>
      <c r="BC82" s="2" t="s">
        <v>1725</v>
      </c>
      <c r="BD82" s="2" t="s">
        <v>1726</v>
      </c>
      <c r="BE82" s="2" t="s">
        <v>153</v>
      </c>
      <c r="BF82" s="2"/>
      <c r="BG82" s="2" t="s">
        <v>80</v>
      </c>
      <c r="BH82" s="2" t="s">
        <v>79</v>
      </c>
      <c r="BI82" s="2" t="s">
        <v>107</v>
      </c>
      <c r="BJ82" s="2" t="s">
        <v>1727</v>
      </c>
      <c r="BK82" s="2" t="s">
        <v>79</v>
      </c>
      <c r="BL82" s="2" t="s">
        <v>109</v>
      </c>
      <c r="BM82" s="2">
        <v>2017</v>
      </c>
    </row>
    <row r="83" spans="1:65" ht="409.5" x14ac:dyDescent="0.25">
      <c r="A83" s="2" t="s">
        <v>1702</v>
      </c>
      <c r="B83" s="2" t="s">
        <v>80</v>
      </c>
      <c r="C83" s="2" t="s">
        <v>1704</v>
      </c>
      <c r="D83" s="2" t="s">
        <v>79</v>
      </c>
      <c r="E83" s="2"/>
      <c r="F83" s="2" t="s">
        <v>1705</v>
      </c>
      <c r="G83" s="2" t="s">
        <v>89</v>
      </c>
      <c r="H83" s="2" t="s">
        <v>80</v>
      </c>
      <c r="I83" s="2"/>
      <c r="J83" s="2" t="s">
        <v>111</v>
      </c>
      <c r="K83" s="2" t="s">
        <v>79</v>
      </c>
      <c r="L83" s="2"/>
      <c r="M83" s="2" t="s">
        <v>1706</v>
      </c>
      <c r="N83" s="2"/>
      <c r="O83" s="2" t="s">
        <v>155</v>
      </c>
      <c r="P83" s="2" t="s">
        <v>80</v>
      </c>
      <c r="Q83" s="2"/>
      <c r="R83" s="2" t="s">
        <v>92</v>
      </c>
      <c r="S83" s="2" t="s">
        <v>613</v>
      </c>
      <c r="T83" s="2"/>
      <c r="U83" s="2" t="s">
        <v>1707</v>
      </c>
      <c r="V83" s="2" t="s">
        <v>95</v>
      </c>
      <c r="W83" s="2" t="s">
        <v>1708</v>
      </c>
      <c r="X83" s="2" t="s">
        <v>1709</v>
      </c>
      <c r="Y83" s="2" t="s">
        <v>80</v>
      </c>
      <c r="Z83" s="2"/>
      <c r="AA83" s="2"/>
      <c r="AB83" s="2"/>
      <c r="AC83" s="2" t="s">
        <v>79</v>
      </c>
      <c r="AD83" s="2" t="s">
        <v>1710</v>
      </c>
      <c r="AE83" s="2" t="s">
        <v>1703</v>
      </c>
      <c r="AF83" s="2" t="s">
        <v>82</v>
      </c>
      <c r="AG83" s="2">
        <v>7.5</v>
      </c>
      <c r="AH83" s="2" t="s">
        <v>84</v>
      </c>
      <c r="AI83" s="2" t="s">
        <v>84</v>
      </c>
      <c r="AJ83" s="2" t="s">
        <v>84</v>
      </c>
      <c r="AK83" s="2" t="s">
        <v>84</v>
      </c>
      <c r="AL83" s="2" t="s">
        <v>84</v>
      </c>
      <c r="AM83" s="2" t="s">
        <v>84</v>
      </c>
      <c r="AN83" s="2" t="s">
        <v>84</v>
      </c>
      <c r="AO83" s="2" t="s">
        <v>86</v>
      </c>
      <c r="AP83" s="2" t="s">
        <v>86</v>
      </c>
      <c r="AQ83" s="2" t="s">
        <v>85</v>
      </c>
      <c r="AR83" s="2" t="s">
        <v>106</v>
      </c>
      <c r="AS83" s="2" t="s">
        <v>80</v>
      </c>
      <c r="AT83" s="2"/>
      <c r="AU83" s="2" t="s">
        <v>106</v>
      </c>
      <c r="AV83" s="2" t="s">
        <v>79</v>
      </c>
      <c r="AW83" s="2"/>
      <c r="AX83" s="2" t="s">
        <v>1711</v>
      </c>
      <c r="AY83" s="2" t="s">
        <v>100</v>
      </c>
      <c r="AZ83" s="2" t="s">
        <v>1712</v>
      </c>
      <c r="BA83" s="2" t="s">
        <v>102</v>
      </c>
      <c r="BB83" s="2" t="s">
        <v>79</v>
      </c>
      <c r="BC83" s="2" t="s">
        <v>1699</v>
      </c>
      <c r="BD83" s="2" t="s">
        <v>1713</v>
      </c>
      <c r="BE83" s="2" t="s">
        <v>153</v>
      </c>
      <c r="BF83" s="2"/>
      <c r="BG83" s="2" t="s">
        <v>80</v>
      </c>
      <c r="BH83" s="2" t="s">
        <v>79</v>
      </c>
      <c r="BI83" s="2" t="s">
        <v>155</v>
      </c>
      <c r="BJ83" s="2"/>
      <c r="BK83" s="2" t="s">
        <v>80</v>
      </c>
      <c r="BL83" s="2" t="s">
        <v>109</v>
      </c>
      <c r="BM83" s="2">
        <v>2017</v>
      </c>
    </row>
    <row r="84" spans="1:65" ht="409.5" x14ac:dyDescent="0.25">
      <c r="A84" s="2" t="s">
        <v>1688</v>
      </c>
      <c r="B84" s="2" t="s">
        <v>92</v>
      </c>
      <c r="C84" s="2" t="s">
        <v>1690</v>
      </c>
      <c r="D84" s="2" t="s">
        <v>79</v>
      </c>
      <c r="E84" s="2"/>
      <c r="F84" s="2" t="s">
        <v>1691</v>
      </c>
      <c r="G84" s="2" t="s">
        <v>89</v>
      </c>
      <c r="H84" s="2" t="s">
        <v>80</v>
      </c>
      <c r="I84" s="2"/>
      <c r="J84" s="2" t="s">
        <v>270</v>
      </c>
      <c r="K84" s="2" t="s">
        <v>79</v>
      </c>
      <c r="L84" s="2"/>
      <c r="M84" s="2" t="s">
        <v>1692</v>
      </c>
      <c r="N84" s="2"/>
      <c r="O84" s="2" t="s">
        <v>155</v>
      </c>
      <c r="P84" s="2" t="s">
        <v>80</v>
      </c>
      <c r="Q84" s="2"/>
      <c r="R84" s="2" t="s">
        <v>92</v>
      </c>
      <c r="S84" s="2" t="s">
        <v>1000</v>
      </c>
      <c r="T84" s="2"/>
      <c r="U84" s="2" t="s">
        <v>1693</v>
      </c>
      <c r="V84" s="2" t="s">
        <v>95</v>
      </c>
      <c r="W84" s="2" t="s">
        <v>1694</v>
      </c>
      <c r="X84" s="2" t="s">
        <v>1695</v>
      </c>
      <c r="Y84" s="2" t="s">
        <v>80</v>
      </c>
      <c r="Z84" s="2"/>
      <c r="AA84" s="2"/>
      <c r="AB84" s="2"/>
      <c r="AC84" s="2" t="s">
        <v>79</v>
      </c>
      <c r="AD84" s="2" t="s">
        <v>1696</v>
      </c>
      <c r="AE84" s="2" t="s">
        <v>1689</v>
      </c>
      <c r="AF84" s="2" t="s">
        <v>82</v>
      </c>
      <c r="AG84" s="2">
        <v>8.5</v>
      </c>
      <c r="AH84" s="2" t="s">
        <v>84</v>
      </c>
      <c r="AI84" s="2" t="s">
        <v>84</v>
      </c>
      <c r="AJ84" s="2" t="s">
        <v>84</v>
      </c>
      <c r="AK84" s="2" t="s">
        <v>84</v>
      </c>
      <c r="AL84" s="2" t="s">
        <v>84</v>
      </c>
      <c r="AM84" s="2" t="s">
        <v>84</v>
      </c>
      <c r="AN84" s="2" t="s">
        <v>84</v>
      </c>
      <c r="AO84" s="2" t="s">
        <v>86</v>
      </c>
      <c r="AP84" s="2" t="s">
        <v>84</v>
      </c>
      <c r="AQ84" s="2" t="s">
        <v>85</v>
      </c>
      <c r="AR84" s="2" t="s">
        <v>106</v>
      </c>
      <c r="AS84" s="2" t="s">
        <v>80</v>
      </c>
      <c r="AT84" s="2"/>
      <c r="AU84" s="2" t="s">
        <v>106</v>
      </c>
      <c r="AV84" s="2" t="s">
        <v>79</v>
      </c>
      <c r="AW84" s="2"/>
      <c r="AX84" s="2" t="s">
        <v>1697</v>
      </c>
      <c r="AY84" s="2" t="s">
        <v>100</v>
      </c>
      <c r="AZ84" s="2" t="s">
        <v>1698</v>
      </c>
      <c r="BA84" s="2" t="s">
        <v>202</v>
      </c>
      <c r="BB84" s="2" t="s">
        <v>79</v>
      </c>
      <c r="BC84" s="2" t="s">
        <v>1699</v>
      </c>
      <c r="BD84" s="2" t="s">
        <v>1700</v>
      </c>
      <c r="BE84" s="2" t="s">
        <v>153</v>
      </c>
      <c r="BF84" s="2"/>
      <c r="BG84" s="2" t="s">
        <v>80</v>
      </c>
      <c r="BH84" s="2" t="s">
        <v>79</v>
      </c>
      <c r="BI84" s="2" t="s">
        <v>429</v>
      </c>
      <c r="BJ84" s="2" t="s">
        <v>1701</v>
      </c>
      <c r="BK84" s="2" t="s">
        <v>79</v>
      </c>
      <c r="BL84" s="2" t="s">
        <v>109</v>
      </c>
      <c r="BM84" s="2">
        <v>2017</v>
      </c>
    </row>
    <row r="85" spans="1:65" ht="409.5" x14ac:dyDescent="0.25">
      <c r="A85" s="2" t="s">
        <v>352</v>
      </c>
      <c r="B85" s="2" t="s">
        <v>92</v>
      </c>
      <c r="C85" s="2" t="s">
        <v>354</v>
      </c>
      <c r="D85" s="2" t="s">
        <v>79</v>
      </c>
      <c r="E85" s="2" t="s">
        <v>79</v>
      </c>
      <c r="F85" s="2" t="s">
        <v>355</v>
      </c>
      <c r="G85" s="2" t="s">
        <v>89</v>
      </c>
      <c r="H85" s="2" t="s">
        <v>79</v>
      </c>
      <c r="I85" s="2" t="s">
        <v>90</v>
      </c>
      <c r="J85" s="2" t="s">
        <v>270</v>
      </c>
      <c r="K85" s="2" t="s">
        <v>79</v>
      </c>
      <c r="L85" s="2" t="s">
        <v>92</v>
      </c>
      <c r="M85" s="2" t="s">
        <v>356</v>
      </c>
      <c r="N85" s="2"/>
      <c r="O85" s="2"/>
      <c r="P85" s="2" t="s">
        <v>80</v>
      </c>
      <c r="Q85" s="2"/>
      <c r="R85" s="2" t="s">
        <v>92</v>
      </c>
      <c r="S85" s="2" t="s">
        <v>224</v>
      </c>
      <c r="T85" s="2" t="s">
        <v>357</v>
      </c>
      <c r="U85" s="2" t="s">
        <v>358</v>
      </c>
      <c r="V85" s="2" t="s">
        <v>95</v>
      </c>
      <c r="W85" s="2" t="s">
        <v>359</v>
      </c>
      <c r="X85" s="2" t="s">
        <v>360</v>
      </c>
      <c r="Y85" s="2" t="s">
        <v>80</v>
      </c>
      <c r="Z85" s="2"/>
      <c r="AA85" s="2"/>
      <c r="AB85" s="2"/>
      <c r="AC85" s="2" t="s">
        <v>79</v>
      </c>
      <c r="AD85" s="2" t="s">
        <v>361</v>
      </c>
      <c r="AE85" s="2" t="s">
        <v>353</v>
      </c>
      <c r="AF85" s="2" t="s">
        <v>82</v>
      </c>
      <c r="AG85" s="2">
        <v>9</v>
      </c>
      <c r="AH85" s="2" t="s">
        <v>84</v>
      </c>
      <c r="AI85" s="2" t="s">
        <v>84</v>
      </c>
      <c r="AJ85" s="2" t="s">
        <v>84</v>
      </c>
      <c r="AK85" s="2" t="s">
        <v>84</v>
      </c>
      <c r="AL85" s="2" t="s">
        <v>84</v>
      </c>
      <c r="AM85" s="2" t="s">
        <v>84</v>
      </c>
      <c r="AN85" s="2" t="s">
        <v>84</v>
      </c>
      <c r="AO85" s="2" t="s">
        <v>84</v>
      </c>
      <c r="AP85" s="2" t="s">
        <v>85</v>
      </c>
      <c r="AQ85" s="2" t="s">
        <v>85</v>
      </c>
      <c r="AR85" s="2" t="s">
        <v>80</v>
      </c>
      <c r="AS85" s="2" t="s">
        <v>80</v>
      </c>
      <c r="AT85" s="2"/>
      <c r="AU85" s="2" t="s">
        <v>80</v>
      </c>
      <c r="AV85" s="2" t="s">
        <v>79</v>
      </c>
      <c r="AW85" s="2" t="s">
        <v>92</v>
      </c>
      <c r="AX85" s="2" t="s">
        <v>362</v>
      </c>
      <c r="AY85" s="2" t="s">
        <v>100</v>
      </c>
      <c r="AZ85" s="2" t="s">
        <v>363</v>
      </c>
      <c r="BA85" s="2" t="s">
        <v>102</v>
      </c>
      <c r="BB85" s="2" t="s">
        <v>79</v>
      </c>
      <c r="BC85" s="2" t="s">
        <v>364</v>
      </c>
      <c r="BD85" s="2" t="s">
        <v>365</v>
      </c>
      <c r="BE85" s="2" t="s">
        <v>153</v>
      </c>
      <c r="BF85" s="2" t="s">
        <v>366</v>
      </c>
      <c r="BG85" s="2" t="s">
        <v>80</v>
      </c>
      <c r="BH85" s="2" t="s">
        <v>79</v>
      </c>
      <c r="BI85" s="2" t="s">
        <v>367</v>
      </c>
      <c r="BJ85" s="2" t="s">
        <v>368</v>
      </c>
      <c r="BK85" s="2" t="s">
        <v>79</v>
      </c>
      <c r="BL85" s="2" t="s">
        <v>268</v>
      </c>
      <c r="BM85" s="2">
        <v>2017</v>
      </c>
    </row>
    <row r="86" spans="1:65" ht="409.5" x14ac:dyDescent="0.25">
      <c r="A86" s="2" t="s">
        <v>369</v>
      </c>
      <c r="B86" s="2" t="s">
        <v>92</v>
      </c>
      <c r="C86" s="2" t="s">
        <v>371</v>
      </c>
      <c r="D86" s="2" t="s">
        <v>79</v>
      </c>
      <c r="E86" s="2" t="s">
        <v>79</v>
      </c>
      <c r="F86" s="2" t="s">
        <v>372</v>
      </c>
      <c r="G86" s="2" t="s">
        <v>89</v>
      </c>
      <c r="H86" s="2" t="s">
        <v>79</v>
      </c>
      <c r="I86" s="2" t="s">
        <v>116</v>
      </c>
      <c r="J86" s="2" t="s">
        <v>270</v>
      </c>
      <c r="K86" s="2" t="s">
        <v>79</v>
      </c>
      <c r="L86" s="2" t="s">
        <v>92</v>
      </c>
      <c r="M86" s="2" t="s">
        <v>373</v>
      </c>
      <c r="N86" s="2"/>
      <c r="O86" s="2"/>
      <c r="P86" s="2" t="s">
        <v>80</v>
      </c>
      <c r="Q86" s="2"/>
      <c r="R86" s="2" t="s">
        <v>92</v>
      </c>
      <c r="S86" s="2" t="s">
        <v>224</v>
      </c>
      <c r="T86" s="2" t="s">
        <v>243</v>
      </c>
      <c r="U86" s="2" t="s">
        <v>374</v>
      </c>
      <c r="V86" s="2" t="s">
        <v>95</v>
      </c>
      <c r="W86" s="2" t="s">
        <v>375</v>
      </c>
      <c r="X86" s="2" t="s">
        <v>376</v>
      </c>
      <c r="Y86" s="2" t="s">
        <v>80</v>
      </c>
      <c r="Z86" s="2"/>
      <c r="AA86" s="2"/>
      <c r="AB86" s="2"/>
      <c r="AC86" s="2" t="s">
        <v>79</v>
      </c>
      <c r="AD86" s="2" t="s">
        <v>377</v>
      </c>
      <c r="AE86" s="2" t="s">
        <v>370</v>
      </c>
      <c r="AF86" s="2" t="s">
        <v>82</v>
      </c>
      <c r="AG86" s="2">
        <v>10</v>
      </c>
      <c r="AH86" s="2" t="s">
        <v>84</v>
      </c>
      <c r="AI86" s="2" t="s">
        <v>84</v>
      </c>
      <c r="AJ86" s="2" t="s">
        <v>84</v>
      </c>
      <c r="AK86" s="2" t="s">
        <v>84</v>
      </c>
      <c r="AL86" s="2" t="s">
        <v>84</v>
      </c>
      <c r="AM86" s="2" t="s">
        <v>84</v>
      </c>
      <c r="AN86" s="2" t="s">
        <v>84</v>
      </c>
      <c r="AO86" s="2" t="s">
        <v>84</v>
      </c>
      <c r="AP86" s="2" t="s">
        <v>84</v>
      </c>
      <c r="AQ86" s="2" t="s">
        <v>84</v>
      </c>
      <c r="AR86" s="2" t="s">
        <v>80</v>
      </c>
      <c r="AS86" s="2" t="s">
        <v>80</v>
      </c>
      <c r="AT86" s="2"/>
      <c r="AU86" s="2" t="s">
        <v>80</v>
      </c>
      <c r="AV86" s="2" t="s">
        <v>79</v>
      </c>
      <c r="AW86" s="2" t="s">
        <v>92</v>
      </c>
      <c r="AX86" s="2" t="s">
        <v>378</v>
      </c>
      <c r="AY86" s="2" t="s">
        <v>100</v>
      </c>
      <c r="AZ86" s="2" t="s">
        <v>379</v>
      </c>
      <c r="BA86" s="2" t="s">
        <v>102</v>
      </c>
      <c r="BB86" s="2" t="s">
        <v>79</v>
      </c>
      <c r="BC86" s="2" t="s">
        <v>364</v>
      </c>
      <c r="BD86" s="2" t="s">
        <v>380</v>
      </c>
      <c r="BE86" s="2" t="s">
        <v>104</v>
      </c>
      <c r="BF86" s="2" t="s">
        <v>381</v>
      </c>
      <c r="BG86" s="2" t="s">
        <v>79</v>
      </c>
      <c r="BH86" s="2" t="s">
        <v>79</v>
      </c>
      <c r="BI86" s="2" t="s">
        <v>107</v>
      </c>
      <c r="BJ86" s="2" t="s">
        <v>382</v>
      </c>
      <c r="BK86" s="2" t="s">
        <v>79</v>
      </c>
      <c r="BL86" s="2" t="s">
        <v>109</v>
      </c>
      <c r="BM86" s="2">
        <v>2017</v>
      </c>
    </row>
    <row r="87" spans="1:65" ht="409.5" x14ac:dyDescent="0.25">
      <c r="A87" s="2" t="s">
        <v>398</v>
      </c>
      <c r="B87" s="2" t="s">
        <v>92</v>
      </c>
      <c r="C87" s="2" t="s">
        <v>401</v>
      </c>
      <c r="D87" s="2" t="s">
        <v>79</v>
      </c>
      <c r="E87" s="2" t="s">
        <v>79</v>
      </c>
      <c r="F87" s="2" t="s">
        <v>402</v>
      </c>
      <c r="G87" s="2" t="s">
        <v>89</v>
      </c>
      <c r="H87" s="2" t="s">
        <v>79</v>
      </c>
      <c r="I87" s="2" t="s">
        <v>116</v>
      </c>
      <c r="J87" s="2" t="s">
        <v>78</v>
      </c>
      <c r="K87" s="2" t="s">
        <v>79</v>
      </c>
      <c r="L87" s="2" t="s">
        <v>92</v>
      </c>
      <c r="M87" s="2" t="s">
        <v>403</v>
      </c>
      <c r="N87" s="2"/>
      <c r="O87" s="2"/>
      <c r="P87" s="2" t="s">
        <v>80</v>
      </c>
      <c r="Q87" s="2"/>
      <c r="R87" s="2" t="s">
        <v>92</v>
      </c>
      <c r="S87" s="2" t="s">
        <v>399</v>
      </c>
      <c r="T87" s="2" t="s">
        <v>404</v>
      </c>
      <c r="U87" s="2" t="s">
        <v>405</v>
      </c>
      <c r="V87" s="2" t="s">
        <v>95</v>
      </c>
      <c r="W87" s="2" t="s">
        <v>406</v>
      </c>
      <c r="X87" s="2" t="s">
        <v>407</v>
      </c>
      <c r="Y87" s="2" t="s">
        <v>80</v>
      </c>
      <c r="Z87" s="2"/>
      <c r="AA87" s="2"/>
      <c r="AB87" s="2"/>
      <c r="AC87" s="2" t="s">
        <v>79</v>
      </c>
      <c r="AD87" s="2" t="s">
        <v>408</v>
      </c>
      <c r="AE87" s="2" t="s">
        <v>400</v>
      </c>
      <c r="AF87" s="2" t="s">
        <v>82</v>
      </c>
      <c r="AG87" s="2">
        <v>10</v>
      </c>
      <c r="AH87" s="2" t="s">
        <v>84</v>
      </c>
      <c r="AI87" s="2" t="s">
        <v>84</v>
      </c>
      <c r="AJ87" s="2" t="s">
        <v>84</v>
      </c>
      <c r="AK87" s="2" t="s">
        <v>84</v>
      </c>
      <c r="AL87" s="2" t="s">
        <v>84</v>
      </c>
      <c r="AM87" s="2" t="s">
        <v>84</v>
      </c>
      <c r="AN87" s="2" t="s">
        <v>84</v>
      </c>
      <c r="AO87" s="2" t="s">
        <v>84</v>
      </c>
      <c r="AP87" s="2" t="s">
        <v>84</v>
      </c>
      <c r="AQ87" s="2" t="s">
        <v>84</v>
      </c>
      <c r="AR87" s="2" t="s">
        <v>106</v>
      </c>
      <c r="AS87" s="2" t="s">
        <v>80</v>
      </c>
      <c r="AT87" s="2" t="s">
        <v>409</v>
      </c>
      <c r="AU87" s="2" t="s">
        <v>106</v>
      </c>
      <c r="AV87" s="2" t="s">
        <v>79</v>
      </c>
      <c r="AW87" s="2" t="s">
        <v>92</v>
      </c>
      <c r="AX87" s="2" t="s">
        <v>410</v>
      </c>
      <c r="AY87" s="2" t="s">
        <v>100</v>
      </c>
      <c r="AZ87" s="2" t="s">
        <v>411</v>
      </c>
      <c r="BA87" s="2" t="s">
        <v>102</v>
      </c>
      <c r="BB87" s="2" t="s">
        <v>79</v>
      </c>
      <c r="BC87" s="2" t="s">
        <v>168</v>
      </c>
      <c r="BD87" s="2" t="s">
        <v>412</v>
      </c>
      <c r="BE87" s="2" t="s">
        <v>153</v>
      </c>
      <c r="BF87" s="2" t="s">
        <v>413</v>
      </c>
      <c r="BG87" s="2" t="s">
        <v>80</v>
      </c>
      <c r="BH87" s="2" t="s">
        <v>79</v>
      </c>
      <c r="BI87" s="2" t="s">
        <v>107</v>
      </c>
      <c r="BJ87" s="2" t="s">
        <v>414</v>
      </c>
      <c r="BK87" s="2" t="s">
        <v>79</v>
      </c>
      <c r="BL87" s="2" t="s">
        <v>109</v>
      </c>
      <c r="BM87" s="2">
        <v>2017</v>
      </c>
    </row>
    <row r="88" spans="1:65" ht="409.5" x14ac:dyDescent="0.25">
      <c r="A88" s="2" t="s">
        <v>309</v>
      </c>
      <c r="B88" s="2" t="s">
        <v>79</v>
      </c>
      <c r="C88" s="2" t="s">
        <v>311</v>
      </c>
      <c r="D88" s="2" t="s">
        <v>79</v>
      </c>
      <c r="E88" s="2" t="s">
        <v>79</v>
      </c>
      <c r="F88" s="2" t="s">
        <v>312</v>
      </c>
      <c r="G88" s="2" t="s">
        <v>89</v>
      </c>
      <c r="H88" s="2" t="s">
        <v>79</v>
      </c>
      <c r="I88" s="2" t="s">
        <v>116</v>
      </c>
      <c r="J88" s="2" t="s">
        <v>111</v>
      </c>
      <c r="K88" s="2" t="s">
        <v>79</v>
      </c>
      <c r="L88" s="2" t="s">
        <v>79</v>
      </c>
      <c r="M88" s="2" t="s">
        <v>313</v>
      </c>
      <c r="N88" s="2"/>
      <c r="O88" s="2"/>
      <c r="P88" s="2" t="s">
        <v>80</v>
      </c>
      <c r="Q88" s="2"/>
      <c r="R88" s="2" t="s">
        <v>92</v>
      </c>
      <c r="S88" s="2" t="s">
        <v>224</v>
      </c>
      <c r="T88" s="2" t="s">
        <v>161</v>
      </c>
      <c r="U88" s="2" t="s">
        <v>314</v>
      </c>
      <c r="V88" s="2" t="s">
        <v>95</v>
      </c>
      <c r="W88" s="2" t="s">
        <v>315</v>
      </c>
      <c r="X88" s="2" t="s">
        <v>316</v>
      </c>
      <c r="Y88" s="2" t="s">
        <v>80</v>
      </c>
      <c r="Z88" s="2"/>
      <c r="AA88" s="2"/>
      <c r="AB88" s="2"/>
      <c r="AC88" s="2" t="s">
        <v>79</v>
      </c>
      <c r="AD88" s="2" t="s">
        <v>317</v>
      </c>
      <c r="AE88" s="2" t="s">
        <v>310</v>
      </c>
      <c r="AF88" s="2" t="s">
        <v>82</v>
      </c>
      <c r="AG88" s="2">
        <v>9.5</v>
      </c>
      <c r="AH88" s="2" t="s">
        <v>84</v>
      </c>
      <c r="AI88" s="2" t="s">
        <v>84</v>
      </c>
      <c r="AJ88" s="2" t="s">
        <v>84</v>
      </c>
      <c r="AK88" s="2" t="s">
        <v>84</v>
      </c>
      <c r="AL88" s="2" t="s">
        <v>84</v>
      </c>
      <c r="AM88" s="2" t="s">
        <v>84</v>
      </c>
      <c r="AN88" s="2" t="s">
        <v>84</v>
      </c>
      <c r="AO88" s="2" t="s">
        <v>84</v>
      </c>
      <c r="AP88" s="2" t="s">
        <v>84</v>
      </c>
      <c r="AQ88" s="2" t="s">
        <v>85</v>
      </c>
      <c r="AR88" s="2" t="s">
        <v>80</v>
      </c>
      <c r="AS88" s="2" t="s">
        <v>80</v>
      </c>
      <c r="AT88" s="2"/>
      <c r="AU88" s="2" t="s">
        <v>80</v>
      </c>
      <c r="AV88" s="2" t="s">
        <v>79</v>
      </c>
      <c r="AW88" s="2" t="s">
        <v>92</v>
      </c>
      <c r="AX88" s="2" t="s">
        <v>318</v>
      </c>
      <c r="AY88" s="2" t="s">
        <v>100</v>
      </c>
      <c r="AZ88" s="2" t="s">
        <v>319</v>
      </c>
      <c r="BA88" s="2" t="s">
        <v>102</v>
      </c>
      <c r="BB88" s="2" t="s">
        <v>79</v>
      </c>
      <c r="BC88" s="2" t="s">
        <v>203</v>
      </c>
      <c r="BD88" s="2" t="s">
        <v>320</v>
      </c>
      <c r="BE88" s="2" t="s">
        <v>153</v>
      </c>
      <c r="BF88" s="2" t="s">
        <v>321</v>
      </c>
      <c r="BG88" s="2" t="s">
        <v>79</v>
      </c>
      <c r="BH88" s="2" t="s">
        <v>79</v>
      </c>
      <c r="BI88" s="2" t="s">
        <v>107</v>
      </c>
      <c r="BJ88" s="2" t="s">
        <v>322</v>
      </c>
      <c r="BK88" s="2" t="s">
        <v>79</v>
      </c>
      <c r="BL88" s="2" t="s">
        <v>109</v>
      </c>
      <c r="BM88" s="2">
        <v>2017</v>
      </c>
    </row>
    <row r="89" spans="1:65" ht="409.5" x14ac:dyDescent="0.25">
      <c r="A89" s="2" t="s">
        <v>383</v>
      </c>
      <c r="B89" s="2" t="s">
        <v>79</v>
      </c>
      <c r="C89" s="2" t="s">
        <v>385</v>
      </c>
      <c r="D89" s="2" t="s">
        <v>79</v>
      </c>
      <c r="E89" s="2" t="s">
        <v>79</v>
      </c>
      <c r="F89" s="2" t="s">
        <v>386</v>
      </c>
      <c r="G89" s="2" t="s">
        <v>89</v>
      </c>
      <c r="H89" s="2" t="s">
        <v>79</v>
      </c>
      <c r="I89" s="2" t="s">
        <v>116</v>
      </c>
      <c r="J89" s="2" t="s">
        <v>111</v>
      </c>
      <c r="K89" s="2" t="s">
        <v>79</v>
      </c>
      <c r="L89" s="2" t="s">
        <v>92</v>
      </c>
      <c r="M89" s="2" t="s">
        <v>387</v>
      </c>
      <c r="N89" s="2"/>
      <c r="O89" s="2"/>
      <c r="P89" s="2" t="s">
        <v>80</v>
      </c>
      <c r="Q89" s="2"/>
      <c r="R89" s="2" t="s">
        <v>92</v>
      </c>
      <c r="S89" s="2" t="s">
        <v>224</v>
      </c>
      <c r="T89" s="2" t="s">
        <v>388</v>
      </c>
      <c r="U89" s="2" t="s">
        <v>389</v>
      </c>
      <c r="V89" s="2" t="s">
        <v>95</v>
      </c>
      <c r="W89" s="2" t="s">
        <v>390</v>
      </c>
      <c r="X89" s="2" t="s">
        <v>391</v>
      </c>
      <c r="Y89" s="2" t="s">
        <v>80</v>
      </c>
      <c r="Z89" s="2"/>
      <c r="AA89" s="2"/>
      <c r="AB89" s="2"/>
      <c r="AC89" s="2" t="s">
        <v>79</v>
      </c>
      <c r="AD89" s="2" t="s">
        <v>392</v>
      </c>
      <c r="AE89" s="2" t="s">
        <v>384</v>
      </c>
      <c r="AF89" s="2" t="s">
        <v>82</v>
      </c>
      <c r="AG89" s="2">
        <v>9</v>
      </c>
      <c r="AH89" s="2" t="s">
        <v>84</v>
      </c>
      <c r="AI89" s="2" t="s">
        <v>84</v>
      </c>
      <c r="AJ89" s="2" t="s">
        <v>84</v>
      </c>
      <c r="AK89" s="2" t="s">
        <v>84</v>
      </c>
      <c r="AL89" s="2" t="s">
        <v>84</v>
      </c>
      <c r="AM89" s="2" t="s">
        <v>84</v>
      </c>
      <c r="AN89" s="2" t="s">
        <v>85</v>
      </c>
      <c r="AO89" s="2" t="s">
        <v>84</v>
      </c>
      <c r="AP89" s="2" t="s">
        <v>84</v>
      </c>
      <c r="AQ89" s="2" t="s">
        <v>85</v>
      </c>
      <c r="AR89" s="2" t="s">
        <v>80</v>
      </c>
      <c r="AS89" s="2" t="s">
        <v>80</v>
      </c>
      <c r="AT89" s="2"/>
      <c r="AU89" s="2" t="s">
        <v>80</v>
      </c>
      <c r="AV89" s="2" t="s">
        <v>79</v>
      </c>
      <c r="AW89" s="2" t="s">
        <v>92</v>
      </c>
      <c r="AX89" s="2" t="s">
        <v>393</v>
      </c>
      <c r="AY89" s="2" t="s">
        <v>100</v>
      </c>
      <c r="AZ89" s="2" t="s">
        <v>394</v>
      </c>
      <c r="BA89" s="2" t="s">
        <v>102</v>
      </c>
      <c r="BB89" s="2" t="s">
        <v>79</v>
      </c>
      <c r="BC89" s="2" t="s">
        <v>306</v>
      </c>
      <c r="BD89" s="2" t="s">
        <v>395</v>
      </c>
      <c r="BE89" s="2" t="s">
        <v>104</v>
      </c>
      <c r="BF89" s="2" t="s">
        <v>396</v>
      </c>
      <c r="BG89" s="2" t="s">
        <v>79</v>
      </c>
      <c r="BH89" s="2" t="s">
        <v>79</v>
      </c>
      <c r="BI89" s="2" t="s">
        <v>107</v>
      </c>
      <c r="BJ89" s="2" t="s">
        <v>397</v>
      </c>
      <c r="BK89" s="2" t="s">
        <v>79</v>
      </c>
      <c r="BL89" s="2" t="s">
        <v>109</v>
      </c>
      <c r="BM89" s="2">
        <v>2017</v>
      </c>
    </row>
    <row r="90" spans="1:65" ht="409.5" x14ac:dyDescent="0.25">
      <c r="A90" s="2" t="s">
        <v>338</v>
      </c>
      <c r="B90" s="2" t="s">
        <v>92</v>
      </c>
      <c r="C90" s="2" t="s">
        <v>340</v>
      </c>
      <c r="D90" s="2" t="s">
        <v>79</v>
      </c>
      <c r="E90" s="2" t="s">
        <v>79</v>
      </c>
      <c r="F90" s="2" t="s">
        <v>341</v>
      </c>
      <c r="G90" s="2" t="s">
        <v>89</v>
      </c>
      <c r="H90" s="2" t="s">
        <v>79</v>
      </c>
      <c r="I90" s="2" t="s">
        <v>116</v>
      </c>
      <c r="J90" s="2" t="s">
        <v>270</v>
      </c>
      <c r="K90" s="2" t="s">
        <v>79</v>
      </c>
      <c r="L90" s="2" t="s">
        <v>92</v>
      </c>
      <c r="M90" s="2" t="s">
        <v>342</v>
      </c>
      <c r="N90" s="2"/>
      <c r="O90" s="2"/>
      <c r="P90" s="2" t="s">
        <v>80</v>
      </c>
      <c r="Q90" s="2"/>
      <c r="R90" s="2" t="s">
        <v>92</v>
      </c>
      <c r="S90" s="2" t="s">
        <v>224</v>
      </c>
      <c r="T90" s="2" t="s">
        <v>161</v>
      </c>
      <c r="U90" s="2" t="s">
        <v>343</v>
      </c>
      <c r="V90" s="2" t="s">
        <v>95</v>
      </c>
      <c r="W90" s="2" t="s">
        <v>344</v>
      </c>
      <c r="X90" s="2" t="s">
        <v>345</v>
      </c>
      <c r="Y90" s="2" t="s">
        <v>80</v>
      </c>
      <c r="Z90" s="2"/>
      <c r="AA90" s="2"/>
      <c r="AB90" s="2"/>
      <c r="AC90" s="2" t="s">
        <v>79</v>
      </c>
      <c r="AD90" s="2" t="s">
        <v>346</v>
      </c>
      <c r="AE90" s="2" t="s">
        <v>339</v>
      </c>
      <c r="AF90" s="2" t="s">
        <v>82</v>
      </c>
      <c r="AG90" s="2">
        <v>9.5</v>
      </c>
      <c r="AH90" s="2" t="s">
        <v>84</v>
      </c>
      <c r="AI90" s="2" t="s">
        <v>84</v>
      </c>
      <c r="AJ90" s="2" t="s">
        <v>84</v>
      </c>
      <c r="AK90" s="2" t="s">
        <v>84</v>
      </c>
      <c r="AL90" s="2" t="s">
        <v>84</v>
      </c>
      <c r="AM90" s="2" t="s">
        <v>84</v>
      </c>
      <c r="AN90" s="2" t="s">
        <v>84</v>
      </c>
      <c r="AO90" s="2" t="s">
        <v>84</v>
      </c>
      <c r="AP90" s="2" t="s">
        <v>84</v>
      </c>
      <c r="AQ90" s="2" t="s">
        <v>85</v>
      </c>
      <c r="AR90" s="2" t="s">
        <v>80</v>
      </c>
      <c r="AS90" s="2" t="s">
        <v>80</v>
      </c>
      <c r="AT90" s="2"/>
      <c r="AU90" s="2" t="s">
        <v>80</v>
      </c>
      <c r="AV90" s="2" t="s">
        <v>79</v>
      </c>
      <c r="AW90" s="2" t="s">
        <v>92</v>
      </c>
      <c r="AX90" s="2" t="s">
        <v>347</v>
      </c>
      <c r="AY90" s="2" t="s">
        <v>100</v>
      </c>
      <c r="AZ90" s="2" t="s">
        <v>348</v>
      </c>
      <c r="BA90" s="2" t="s">
        <v>102</v>
      </c>
      <c r="BB90" s="2" t="s">
        <v>79</v>
      </c>
      <c r="BC90" s="2" t="s">
        <v>203</v>
      </c>
      <c r="BD90" s="2" t="s">
        <v>349</v>
      </c>
      <c r="BE90" s="2" t="s">
        <v>153</v>
      </c>
      <c r="BF90" s="2" t="s">
        <v>350</v>
      </c>
      <c r="BG90" s="2" t="s">
        <v>80</v>
      </c>
      <c r="BH90" s="2" t="s">
        <v>79</v>
      </c>
      <c r="BI90" s="2" t="s">
        <v>107</v>
      </c>
      <c r="BJ90" s="2" t="s">
        <v>351</v>
      </c>
      <c r="BK90" s="2" t="s">
        <v>79</v>
      </c>
      <c r="BL90" s="2" t="s">
        <v>109</v>
      </c>
      <c r="BM90" s="2">
        <v>2017</v>
      </c>
    </row>
    <row r="91" spans="1:65" ht="409.5" x14ac:dyDescent="0.25">
      <c r="A91" s="2" t="s">
        <v>323</v>
      </c>
      <c r="B91" s="2" t="s">
        <v>79</v>
      </c>
      <c r="C91" s="2" t="s">
        <v>325</v>
      </c>
      <c r="D91" s="2" t="s">
        <v>79</v>
      </c>
      <c r="E91" s="2" t="s">
        <v>79</v>
      </c>
      <c r="F91" s="2" t="s">
        <v>326</v>
      </c>
      <c r="G91" s="2" t="s">
        <v>89</v>
      </c>
      <c r="H91" s="2" t="s">
        <v>79</v>
      </c>
      <c r="I91" s="2" t="s">
        <v>116</v>
      </c>
      <c r="J91" s="2" t="s">
        <v>270</v>
      </c>
      <c r="K91" s="2" t="s">
        <v>79</v>
      </c>
      <c r="L91" s="2" t="s">
        <v>79</v>
      </c>
      <c r="M91" s="2" t="s">
        <v>327</v>
      </c>
      <c r="N91" s="2"/>
      <c r="O91" s="2"/>
      <c r="P91" s="2" t="s">
        <v>80</v>
      </c>
      <c r="Q91" s="2"/>
      <c r="R91" s="2" t="s">
        <v>92</v>
      </c>
      <c r="S91" s="2" t="s">
        <v>224</v>
      </c>
      <c r="T91" s="2" t="s">
        <v>328</v>
      </c>
      <c r="U91" s="2" t="s">
        <v>329</v>
      </c>
      <c r="V91" s="2" t="s">
        <v>95</v>
      </c>
      <c r="W91" s="2" t="s">
        <v>330</v>
      </c>
      <c r="X91" s="2" t="s">
        <v>331</v>
      </c>
      <c r="Y91" s="2" t="s">
        <v>80</v>
      </c>
      <c r="Z91" s="2"/>
      <c r="AA91" s="2"/>
      <c r="AB91" s="2"/>
      <c r="AC91" s="2" t="s">
        <v>79</v>
      </c>
      <c r="AD91" s="2" t="s">
        <v>332</v>
      </c>
      <c r="AE91" s="2" t="s">
        <v>324</v>
      </c>
      <c r="AF91" s="2" t="s">
        <v>82</v>
      </c>
      <c r="AG91" s="2">
        <v>9.5</v>
      </c>
      <c r="AH91" s="2" t="s">
        <v>84</v>
      </c>
      <c r="AI91" s="2" t="s">
        <v>84</v>
      </c>
      <c r="AJ91" s="2" t="s">
        <v>84</v>
      </c>
      <c r="AK91" s="2" t="s">
        <v>84</v>
      </c>
      <c r="AL91" s="2" t="s">
        <v>84</v>
      </c>
      <c r="AM91" s="2" t="s">
        <v>84</v>
      </c>
      <c r="AN91" s="2" t="s">
        <v>84</v>
      </c>
      <c r="AO91" s="2" t="s">
        <v>84</v>
      </c>
      <c r="AP91" s="2" t="s">
        <v>84</v>
      </c>
      <c r="AQ91" s="2" t="s">
        <v>85</v>
      </c>
      <c r="AR91" s="2" t="s">
        <v>80</v>
      </c>
      <c r="AS91" s="2" t="s">
        <v>80</v>
      </c>
      <c r="AT91" s="2"/>
      <c r="AU91" s="2" t="s">
        <v>80</v>
      </c>
      <c r="AV91" s="2" t="s">
        <v>79</v>
      </c>
      <c r="AW91" s="2" t="s">
        <v>92</v>
      </c>
      <c r="AX91" s="2" t="s">
        <v>333</v>
      </c>
      <c r="AY91" s="2" t="s">
        <v>100</v>
      </c>
      <c r="AZ91" s="2" t="s">
        <v>334</v>
      </c>
      <c r="BA91" s="2" t="s">
        <v>102</v>
      </c>
      <c r="BB91" s="2" t="s">
        <v>79</v>
      </c>
      <c r="BC91" s="2" t="s">
        <v>203</v>
      </c>
      <c r="BD91" s="2" t="s">
        <v>335</v>
      </c>
      <c r="BE91" s="2" t="s">
        <v>153</v>
      </c>
      <c r="BF91" s="2" t="s">
        <v>336</v>
      </c>
      <c r="BG91" s="2" t="s">
        <v>79</v>
      </c>
      <c r="BH91" s="2" t="s">
        <v>79</v>
      </c>
      <c r="BI91" s="2" t="s">
        <v>107</v>
      </c>
      <c r="BJ91" s="2" t="s">
        <v>337</v>
      </c>
      <c r="BK91" s="2" t="s">
        <v>79</v>
      </c>
      <c r="BL91" s="2" t="s">
        <v>109</v>
      </c>
      <c r="BM91" s="2">
        <v>2017</v>
      </c>
    </row>
    <row r="92" spans="1:65" ht="409.5" x14ac:dyDescent="0.25">
      <c r="A92" s="2" t="s">
        <v>253</v>
      </c>
      <c r="B92" s="2" t="s">
        <v>79</v>
      </c>
      <c r="C92" s="2" t="s">
        <v>255</v>
      </c>
      <c r="D92" s="2" t="s">
        <v>79</v>
      </c>
      <c r="E92" s="2" t="s">
        <v>79</v>
      </c>
      <c r="F92" s="2" t="s">
        <v>256</v>
      </c>
      <c r="G92" s="2" t="s">
        <v>89</v>
      </c>
      <c r="H92" s="2" t="s">
        <v>79</v>
      </c>
      <c r="I92" s="2" t="s">
        <v>116</v>
      </c>
      <c r="J92" s="2" t="s">
        <v>78</v>
      </c>
      <c r="K92" s="2" t="s">
        <v>79</v>
      </c>
      <c r="L92" s="2" t="s">
        <v>79</v>
      </c>
      <c r="M92" s="2" t="s">
        <v>257</v>
      </c>
      <c r="N92" s="2"/>
      <c r="O92" s="2"/>
      <c r="P92" s="2" t="s">
        <v>80</v>
      </c>
      <c r="Q92" s="2"/>
      <c r="R92" s="2" t="s">
        <v>92</v>
      </c>
      <c r="S92" s="2" t="s">
        <v>224</v>
      </c>
      <c r="T92" s="2" t="s">
        <v>93</v>
      </c>
      <c r="U92" s="2" t="s">
        <v>258</v>
      </c>
      <c r="V92" s="2" t="s">
        <v>95</v>
      </c>
      <c r="W92" s="2" t="s">
        <v>259</v>
      </c>
      <c r="X92" s="2" t="s">
        <v>260</v>
      </c>
      <c r="Y92" s="2" t="s">
        <v>80</v>
      </c>
      <c r="Z92" s="2"/>
      <c r="AA92" s="2"/>
      <c r="AB92" s="2"/>
      <c r="AC92" s="2" t="s">
        <v>79</v>
      </c>
      <c r="AD92" s="2" t="s">
        <v>261</v>
      </c>
      <c r="AE92" s="2" t="s">
        <v>254</v>
      </c>
      <c r="AF92" s="2" t="s">
        <v>82</v>
      </c>
      <c r="AG92" s="2">
        <v>9.5</v>
      </c>
      <c r="AH92" s="2" t="s">
        <v>84</v>
      </c>
      <c r="AI92" s="2" t="s">
        <v>84</v>
      </c>
      <c r="AJ92" s="2" t="s">
        <v>84</v>
      </c>
      <c r="AK92" s="2" t="s">
        <v>84</v>
      </c>
      <c r="AL92" s="2" t="s">
        <v>84</v>
      </c>
      <c r="AM92" s="2" t="s">
        <v>84</v>
      </c>
      <c r="AN92" s="2" t="s">
        <v>84</v>
      </c>
      <c r="AO92" s="2" t="s">
        <v>84</v>
      </c>
      <c r="AP92" s="2" t="s">
        <v>84</v>
      </c>
      <c r="AQ92" s="2" t="s">
        <v>85</v>
      </c>
      <c r="AR92" s="2" t="s">
        <v>80</v>
      </c>
      <c r="AS92" s="2" t="s">
        <v>80</v>
      </c>
      <c r="AT92" s="2"/>
      <c r="AU92" s="2" t="s">
        <v>80</v>
      </c>
      <c r="AV92" s="2" t="s">
        <v>79</v>
      </c>
      <c r="AW92" s="2" t="s">
        <v>92</v>
      </c>
      <c r="AX92" s="2" t="s">
        <v>262</v>
      </c>
      <c r="AY92" s="2" t="s">
        <v>100</v>
      </c>
      <c r="AZ92" s="2" t="s">
        <v>263</v>
      </c>
      <c r="BA92" s="2" t="s">
        <v>102</v>
      </c>
      <c r="BB92" s="2" t="s">
        <v>79</v>
      </c>
      <c r="BC92" s="2" t="s">
        <v>203</v>
      </c>
      <c r="BD92" s="2" t="s">
        <v>264</v>
      </c>
      <c r="BE92" s="2" t="s">
        <v>104</v>
      </c>
      <c r="BF92" s="2" t="s">
        <v>265</v>
      </c>
      <c r="BG92" s="2" t="s">
        <v>79</v>
      </c>
      <c r="BH92" s="2" t="s">
        <v>79</v>
      </c>
      <c r="BI92" s="2" t="s">
        <v>266</v>
      </c>
      <c r="BJ92" s="2" t="s">
        <v>267</v>
      </c>
      <c r="BK92" s="2" t="s">
        <v>79</v>
      </c>
      <c r="BL92" s="2" t="s">
        <v>268</v>
      </c>
      <c r="BM92" s="2">
        <v>2016</v>
      </c>
    </row>
    <row r="93" spans="1:65" ht="409.5" x14ac:dyDescent="0.25">
      <c r="A93" s="2" t="s">
        <v>292</v>
      </c>
      <c r="B93" s="2" t="s">
        <v>92</v>
      </c>
      <c r="C93" s="2" t="s">
        <v>295</v>
      </c>
      <c r="D93" s="2" t="s">
        <v>79</v>
      </c>
      <c r="E93" s="2" t="s">
        <v>92</v>
      </c>
      <c r="F93" s="2" t="s">
        <v>296</v>
      </c>
      <c r="G93" s="2" t="s">
        <v>143</v>
      </c>
      <c r="H93" s="2" t="s">
        <v>106</v>
      </c>
      <c r="I93" s="2" t="s">
        <v>90</v>
      </c>
      <c r="J93" s="2" t="s">
        <v>189</v>
      </c>
      <c r="K93" s="2" t="s">
        <v>79</v>
      </c>
      <c r="L93" s="2" t="s">
        <v>79</v>
      </c>
      <c r="M93" s="2" t="s">
        <v>297</v>
      </c>
      <c r="N93" s="2"/>
      <c r="O93" s="2"/>
      <c r="P93" s="2" t="s">
        <v>80</v>
      </c>
      <c r="Q93" s="2"/>
      <c r="R93" s="2" t="s">
        <v>92</v>
      </c>
      <c r="S93" s="2" t="s">
        <v>293</v>
      </c>
      <c r="T93" s="2" t="s">
        <v>93</v>
      </c>
      <c r="U93" s="2" t="s">
        <v>298</v>
      </c>
      <c r="V93" s="2" t="s">
        <v>95</v>
      </c>
      <c r="W93" s="2" t="s">
        <v>299</v>
      </c>
      <c r="X93" s="2" t="s">
        <v>300</v>
      </c>
      <c r="Y93" s="2" t="s">
        <v>80</v>
      </c>
      <c r="Z93" s="2"/>
      <c r="AA93" s="2"/>
      <c r="AB93" s="2"/>
      <c r="AC93" s="2" t="s">
        <v>79</v>
      </c>
      <c r="AD93" s="2" t="s">
        <v>301</v>
      </c>
      <c r="AE93" s="2" t="s">
        <v>294</v>
      </c>
      <c r="AF93" s="2" t="s">
        <v>82</v>
      </c>
      <c r="AG93" s="2">
        <v>9</v>
      </c>
      <c r="AH93" s="2" t="s">
        <v>84</v>
      </c>
      <c r="AI93" s="2" t="s">
        <v>84</v>
      </c>
      <c r="AJ93" s="2" t="s">
        <v>84</v>
      </c>
      <c r="AK93" s="2" t="s">
        <v>84</v>
      </c>
      <c r="AL93" s="2" t="s">
        <v>84</v>
      </c>
      <c r="AM93" s="2" t="s">
        <v>84</v>
      </c>
      <c r="AN93" s="2" t="s">
        <v>84</v>
      </c>
      <c r="AO93" s="2" t="s">
        <v>84</v>
      </c>
      <c r="AP93" s="2" t="s">
        <v>85</v>
      </c>
      <c r="AQ93" s="2" t="s">
        <v>85</v>
      </c>
      <c r="AR93" s="2" t="s">
        <v>80</v>
      </c>
      <c r="AS93" s="2" t="s">
        <v>80</v>
      </c>
      <c r="AT93" s="2"/>
      <c r="AU93" s="2" t="s">
        <v>80</v>
      </c>
      <c r="AV93" s="2" t="s">
        <v>79</v>
      </c>
      <c r="AW93" s="2" t="s">
        <v>92</v>
      </c>
      <c r="AX93" s="2" t="s">
        <v>302</v>
      </c>
      <c r="AY93" s="2" t="s">
        <v>303</v>
      </c>
      <c r="AZ93" s="2" t="s">
        <v>304</v>
      </c>
      <c r="BA93" s="2" t="s">
        <v>305</v>
      </c>
      <c r="BB93" s="2" t="s">
        <v>79</v>
      </c>
      <c r="BC93" s="2" t="s">
        <v>306</v>
      </c>
      <c r="BD93" s="2" t="s">
        <v>307</v>
      </c>
      <c r="BE93" s="2" t="s">
        <v>104</v>
      </c>
      <c r="BF93" s="2" t="s">
        <v>308</v>
      </c>
      <c r="BG93" s="2" t="s">
        <v>92</v>
      </c>
      <c r="BH93" s="2" t="s">
        <v>79</v>
      </c>
      <c r="BI93" s="2" t="s">
        <v>155</v>
      </c>
      <c r="BJ93" s="2"/>
      <c r="BK93" s="2" t="s">
        <v>80</v>
      </c>
      <c r="BL93" s="2" t="s">
        <v>172</v>
      </c>
      <c r="BM93" s="2">
        <v>2016</v>
      </c>
    </row>
    <row r="94" spans="1:65" ht="409.5" x14ac:dyDescent="0.25">
      <c r="A94" s="2" t="s">
        <v>269</v>
      </c>
      <c r="B94" s="2" t="s">
        <v>80</v>
      </c>
      <c r="C94" s="2" t="s">
        <v>273</v>
      </c>
      <c r="D94" s="2" t="s">
        <v>79</v>
      </c>
      <c r="E94" s="2" t="s">
        <v>79</v>
      </c>
      <c r="F94" s="2" t="s">
        <v>274</v>
      </c>
      <c r="G94" s="2" t="s">
        <v>89</v>
      </c>
      <c r="H94" s="2" t="s">
        <v>80</v>
      </c>
      <c r="I94" s="2" t="s">
        <v>116</v>
      </c>
      <c r="J94" s="2" t="s">
        <v>270</v>
      </c>
      <c r="K94" s="2" t="s">
        <v>79</v>
      </c>
      <c r="L94" s="2" t="s">
        <v>92</v>
      </c>
      <c r="M94" s="2" t="s">
        <v>275</v>
      </c>
      <c r="N94" s="2" t="s">
        <v>276</v>
      </c>
      <c r="O94" s="2" t="s">
        <v>277</v>
      </c>
      <c r="P94" s="2" t="s">
        <v>79</v>
      </c>
      <c r="Q94" s="2" t="s">
        <v>278</v>
      </c>
      <c r="R94" s="2" t="s">
        <v>92</v>
      </c>
      <c r="S94" s="2" t="s">
        <v>271</v>
      </c>
      <c r="T94" s="2" t="s">
        <v>279</v>
      </c>
      <c r="U94" s="2" t="s">
        <v>280</v>
      </c>
      <c r="V94" s="2" t="s">
        <v>95</v>
      </c>
      <c r="W94" s="2" t="s">
        <v>281</v>
      </c>
      <c r="X94" s="2" t="s">
        <v>282</v>
      </c>
      <c r="Y94" s="2" t="s">
        <v>80</v>
      </c>
      <c r="Z94" s="2"/>
      <c r="AA94" s="2"/>
      <c r="AB94" s="2"/>
      <c r="AC94" s="2" t="s">
        <v>79</v>
      </c>
      <c r="AD94" s="2" t="s">
        <v>283</v>
      </c>
      <c r="AE94" s="2" t="s">
        <v>272</v>
      </c>
      <c r="AF94" s="2" t="s">
        <v>82</v>
      </c>
      <c r="AG94" s="2">
        <v>9.5</v>
      </c>
      <c r="AH94" s="2" t="s">
        <v>84</v>
      </c>
      <c r="AI94" s="2" t="s">
        <v>84</v>
      </c>
      <c r="AJ94" s="2" t="s">
        <v>84</v>
      </c>
      <c r="AK94" s="2" t="s">
        <v>84</v>
      </c>
      <c r="AL94" s="2" t="s">
        <v>84</v>
      </c>
      <c r="AM94" s="2" t="s">
        <v>84</v>
      </c>
      <c r="AN94" s="2" t="s">
        <v>84</v>
      </c>
      <c r="AO94" s="2" t="s">
        <v>84</v>
      </c>
      <c r="AP94" s="2" t="s">
        <v>84</v>
      </c>
      <c r="AQ94" s="2" t="s">
        <v>85</v>
      </c>
      <c r="AR94" s="2" t="s">
        <v>80</v>
      </c>
      <c r="AS94" s="2" t="s">
        <v>80</v>
      </c>
      <c r="AT94" s="2"/>
      <c r="AU94" s="2" t="s">
        <v>80</v>
      </c>
      <c r="AV94" s="2" t="s">
        <v>79</v>
      </c>
      <c r="AW94" s="2" t="s">
        <v>92</v>
      </c>
      <c r="AX94" s="2" t="s">
        <v>284</v>
      </c>
      <c r="AY94" s="2" t="s">
        <v>100</v>
      </c>
      <c r="AZ94" s="2" t="s">
        <v>285</v>
      </c>
      <c r="BA94" s="2" t="s">
        <v>286</v>
      </c>
      <c r="BB94" s="2" t="s">
        <v>79</v>
      </c>
      <c r="BC94" s="2" t="s">
        <v>287</v>
      </c>
      <c r="BD94" s="2" t="s">
        <v>288</v>
      </c>
      <c r="BE94" s="2" t="s">
        <v>153</v>
      </c>
      <c r="BF94" s="2"/>
      <c r="BG94" s="2" t="s">
        <v>80</v>
      </c>
      <c r="BH94" s="2" t="s">
        <v>79</v>
      </c>
      <c r="BI94" s="2" t="s">
        <v>289</v>
      </c>
      <c r="BJ94" s="2" t="s">
        <v>290</v>
      </c>
      <c r="BK94" s="2" t="s">
        <v>79</v>
      </c>
      <c r="BL94" s="2" t="s">
        <v>291</v>
      </c>
      <c r="BM94" s="2">
        <v>2016</v>
      </c>
    </row>
    <row r="95" spans="1:65" ht="409.5" x14ac:dyDescent="0.25">
      <c r="A95" s="2" t="s">
        <v>238</v>
      </c>
      <c r="B95" s="2" t="s">
        <v>79</v>
      </c>
      <c r="C95" s="2" t="s">
        <v>240</v>
      </c>
      <c r="D95" s="2" t="s">
        <v>79</v>
      </c>
      <c r="E95" s="2" t="s">
        <v>79</v>
      </c>
      <c r="F95" s="2" t="s">
        <v>241</v>
      </c>
      <c r="G95" s="2" t="s">
        <v>89</v>
      </c>
      <c r="H95" s="2" t="s">
        <v>79</v>
      </c>
      <c r="I95" s="2" t="s">
        <v>116</v>
      </c>
      <c r="J95" s="2" t="s">
        <v>78</v>
      </c>
      <c r="K95" s="2" t="s">
        <v>79</v>
      </c>
      <c r="L95" s="2" t="s">
        <v>92</v>
      </c>
      <c r="M95" s="2" t="s">
        <v>242</v>
      </c>
      <c r="N95" s="2"/>
      <c r="O95" s="2"/>
      <c r="P95" s="2" t="s">
        <v>80</v>
      </c>
      <c r="Q95" s="2"/>
      <c r="R95" s="2" t="s">
        <v>92</v>
      </c>
      <c r="S95" s="2" t="s">
        <v>224</v>
      </c>
      <c r="T95" s="2" t="s">
        <v>243</v>
      </c>
      <c r="U95" s="2" t="s">
        <v>244</v>
      </c>
      <c r="V95" s="2" t="s">
        <v>95</v>
      </c>
      <c r="W95" s="2" t="s">
        <v>245</v>
      </c>
      <c r="X95" s="2" t="s">
        <v>246</v>
      </c>
      <c r="Y95" s="2" t="s">
        <v>80</v>
      </c>
      <c r="Z95" s="2"/>
      <c r="AA95" s="2"/>
      <c r="AB95" s="2"/>
      <c r="AC95" s="2" t="s">
        <v>79</v>
      </c>
      <c r="AD95" s="2" t="s">
        <v>247</v>
      </c>
      <c r="AE95" s="2" t="s">
        <v>239</v>
      </c>
      <c r="AF95" s="2" t="s">
        <v>82</v>
      </c>
      <c r="AG95" s="2">
        <v>10</v>
      </c>
      <c r="AH95" s="2" t="s">
        <v>84</v>
      </c>
      <c r="AI95" s="2" t="s">
        <v>84</v>
      </c>
      <c r="AJ95" s="2" t="s">
        <v>84</v>
      </c>
      <c r="AK95" s="2" t="s">
        <v>84</v>
      </c>
      <c r="AL95" s="2" t="s">
        <v>84</v>
      </c>
      <c r="AM95" s="2" t="s">
        <v>84</v>
      </c>
      <c r="AN95" s="2" t="s">
        <v>84</v>
      </c>
      <c r="AO95" s="2" t="s">
        <v>84</v>
      </c>
      <c r="AP95" s="2" t="s">
        <v>84</v>
      </c>
      <c r="AQ95" s="2" t="s">
        <v>84</v>
      </c>
      <c r="AR95" s="2" t="s">
        <v>80</v>
      </c>
      <c r="AS95" s="2" t="s">
        <v>80</v>
      </c>
      <c r="AT95" s="2"/>
      <c r="AU95" s="2" t="s">
        <v>80</v>
      </c>
      <c r="AV95" s="2" t="s">
        <v>79</v>
      </c>
      <c r="AW95" s="2" t="s">
        <v>92</v>
      </c>
      <c r="AX95" s="2" t="s">
        <v>248</v>
      </c>
      <c r="AY95" s="2" t="s">
        <v>100</v>
      </c>
      <c r="AZ95" s="2" t="s">
        <v>249</v>
      </c>
      <c r="BA95" s="2" t="s">
        <v>102</v>
      </c>
      <c r="BB95" s="2" t="s">
        <v>79</v>
      </c>
      <c r="BC95" s="2" t="s">
        <v>203</v>
      </c>
      <c r="BD95" s="2" t="s">
        <v>250</v>
      </c>
      <c r="BE95" s="2" t="s">
        <v>153</v>
      </c>
      <c r="BF95" s="2" t="s">
        <v>251</v>
      </c>
      <c r="BG95" s="2" t="s">
        <v>92</v>
      </c>
      <c r="BH95" s="2" t="s">
        <v>79</v>
      </c>
      <c r="BI95" s="2"/>
      <c r="BJ95" s="2" t="s">
        <v>252</v>
      </c>
      <c r="BK95" s="2" t="s">
        <v>79</v>
      </c>
      <c r="BL95" s="2" t="s">
        <v>109</v>
      </c>
      <c r="BM95" s="2">
        <v>2016</v>
      </c>
    </row>
    <row r="96" spans="1:65" ht="409.5" x14ac:dyDescent="0.25">
      <c r="A96" s="2" t="s">
        <v>1457</v>
      </c>
      <c r="B96" s="2" t="s">
        <v>80</v>
      </c>
      <c r="C96" s="2" t="s">
        <v>1459</v>
      </c>
      <c r="D96" s="2" t="s">
        <v>80</v>
      </c>
      <c r="E96" s="2"/>
      <c r="F96" s="2"/>
      <c r="G96" s="2" t="s">
        <v>143</v>
      </c>
      <c r="H96" s="2" t="s">
        <v>80</v>
      </c>
      <c r="I96" s="2"/>
      <c r="J96" s="2" t="s">
        <v>111</v>
      </c>
      <c r="K96" s="2" t="s">
        <v>79</v>
      </c>
      <c r="L96" s="2"/>
      <c r="M96" s="2" t="s">
        <v>1460</v>
      </c>
      <c r="N96" s="2"/>
      <c r="O96" s="2"/>
      <c r="P96" s="2" t="s">
        <v>80</v>
      </c>
      <c r="Q96" s="2"/>
      <c r="R96" s="2"/>
      <c r="S96" s="2"/>
      <c r="T96" s="2" t="s">
        <v>93</v>
      </c>
      <c r="U96" s="2" t="s">
        <v>1461</v>
      </c>
      <c r="V96" s="2" t="s">
        <v>95</v>
      </c>
      <c r="W96" s="2"/>
      <c r="X96" s="2"/>
      <c r="Y96" s="2" t="s">
        <v>80</v>
      </c>
      <c r="Z96" s="2"/>
      <c r="AA96" s="2"/>
      <c r="AB96" s="2"/>
      <c r="AC96" s="2" t="s">
        <v>80</v>
      </c>
      <c r="AD96" s="2" t="s">
        <v>1462</v>
      </c>
      <c r="AE96" s="2" t="s">
        <v>1458</v>
      </c>
      <c r="AF96" s="2" t="s">
        <v>82</v>
      </c>
      <c r="AG96" s="2">
        <v>7.5</v>
      </c>
      <c r="AH96" s="2" t="s">
        <v>84</v>
      </c>
      <c r="AI96" s="2" t="s">
        <v>84</v>
      </c>
      <c r="AJ96" s="2" t="s">
        <v>84</v>
      </c>
      <c r="AK96" s="2" t="s">
        <v>86</v>
      </c>
      <c r="AL96" s="2" t="s">
        <v>84</v>
      </c>
      <c r="AM96" s="2" t="s">
        <v>84</v>
      </c>
      <c r="AN96" s="2" t="s">
        <v>84</v>
      </c>
      <c r="AO96" s="2" t="s">
        <v>86</v>
      </c>
      <c r="AP96" s="2" t="s">
        <v>85</v>
      </c>
      <c r="AQ96" s="2" t="s">
        <v>84</v>
      </c>
      <c r="AR96" s="2"/>
      <c r="AS96" s="2" t="s">
        <v>80</v>
      </c>
      <c r="AT96" s="2"/>
      <c r="AU96" s="2"/>
      <c r="AV96" s="2" t="s">
        <v>79</v>
      </c>
      <c r="AW96" s="2"/>
      <c r="AX96" s="2" t="s">
        <v>1463</v>
      </c>
      <c r="AY96" s="2" t="s">
        <v>303</v>
      </c>
      <c r="AZ96" s="2" t="s">
        <v>1464</v>
      </c>
      <c r="BA96" s="2" t="s">
        <v>514</v>
      </c>
      <c r="BB96" s="2" t="s">
        <v>79</v>
      </c>
      <c r="BC96" s="2" t="s">
        <v>1434</v>
      </c>
      <c r="BD96" s="2" t="s">
        <v>1465</v>
      </c>
      <c r="BE96" s="2" t="s">
        <v>648</v>
      </c>
      <c r="BF96" s="2"/>
      <c r="BG96" s="2" t="s">
        <v>80</v>
      </c>
      <c r="BH96" s="2" t="s">
        <v>79</v>
      </c>
      <c r="BI96" s="2"/>
      <c r="BJ96" s="2"/>
      <c r="BK96" s="2" t="s">
        <v>80</v>
      </c>
      <c r="BL96" s="2" t="s">
        <v>172</v>
      </c>
      <c r="BM96" s="2">
        <v>2015</v>
      </c>
    </row>
    <row r="97" spans="1:65" ht="409.5" x14ac:dyDescent="0.25">
      <c r="A97" s="2" t="s">
        <v>223</v>
      </c>
      <c r="B97" s="2" t="s">
        <v>79</v>
      </c>
      <c r="C97" s="2" t="s">
        <v>226</v>
      </c>
      <c r="D97" s="2" t="s">
        <v>79</v>
      </c>
      <c r="E97" s="2" t="s">
        <v>79</v>
      </c>
      <c r="F97" s="2" t="s">
        <v>227</v>
      </c>
      <c r="G97" s="2" t="s">
        <v>89</v>
      </c>
      <c r="H97" s="2" t="s">
        <v>79</v>
      </c>
      <c r="I97" s="2" t="s">
        <v>116</v>
      </c>
      <c r="J97" s="2" t="s">
        <v>189</v>
      </c>
      <c r="K97" s="2" t="s">
        <v>79</v>
      </c>
      <c r="L97" s="2" t="s">
        <v>79</v>
      </c>
      <c r="M97" s="2" t="s">
        <v>228</v>
      </c>
      <c r="N97" s="2"/>
      <c r="O97" s="2"/>
      <c r="P97" s="2" t="s">
        <v>80</v>
      </c>
      <c r="Q97" s="2"/>
      <c r="R97" s="2" t="s">
        <v>92</v>
      </c>
      <c r="S97" s="2" t="s">
        <v>224</v>
      </c>
      <c r="T97" s="2" t="s">
        <v>161</v>
      </c>
      <c r="U97" s="2" t="s">
        <v>229</v>
      </c>
      <c r="V97" s="2" t="s">
        <v>95</v>
      </c>
      <c r="W97" s="2" t="s">
        <v>230</v>
      </c>
      <c r="X97" s="2" t="s">
        <v>231</v>
      </c>
      <c r="Y97" s="2" t="s">
        <v>80</v>
      </c>
      <c r="Z97" s="2"/>
      <c r="AA97" s="2"/>
      <c r="AB97" s="2"/>
      <c r="AC97" s="2" t="s">
        <v>79</v>
      </c>
      <c r="AD97" s="2" t="s">
        <v>232</v>
      </c>
      <c r="AE97" s="2" t="s">
        <v>225</v>
      </c>
      <c r="AF97" s="2" t="s">
        <v>82</v>
      </c>
      <c r="AG97" s="2">
        <v>9.5</v>
      </c>
      <c r="AH97" s="2" t="s">
        <v>84</v>
      </c>
      <c r="AI97" s="2" t="s">
        <v>84</v>
      </c>
      <c r="AJ97" s="2" t="s">
        <v>84</v>
      </c>
      <c r="AK97" s="2" t="s">
        <v>84</v>
      </c>
      <c r="AL97" s="2" t="s">
        <v>84</v>
      </c>
      <c r="AM97" s="2" t="s">
        <v>84</v>
      </c>
      <c r="AN97" s="2" t="s">
        <v>84</v>
      </c>
      <c r="AO97" s="2" t="s">
        <v>84</v>
      </c>
      <c r="AP97" s="2" t="s">
        <v>84</v>
      </c>
      <c r="AQ97" s="2" t="s">
        <v>85</v>
      </c>
      <c r="AR97" s="2" t="s">
        <v>80</v>
      </c>
      <c r="AS97" s="2" t="s">
        <v>80</v>
      </c>
      <c r="AT97" s="2"/>
      <c r="AU97" s="2" t="s">
        <v>80</v>
      </c>
      <c r="AV97" s="2" t="s">
        <v>79</v>
      </c>
      <c r="AW97" s="2" t="s">
        <v>92</v>
      </c>
      <c r="AX97" s="2" t="s">
        <v>233</v>
      </c>
      <c r="AY97" s="2" t="s">
        <v>100</v>
      </c>
      <c r="AZ97" s="2" t="s">
        <v>234</v>
      </c>
      <c r="BA97" s="2" t="s">
        <v>202</v>
      </c>
      <c r="BB97" s="2" t="s">
        <v>79</v>
      </c>
      <c r="BC97" s="2" t="s">
        <v>203</v>
      </c>
      <c r="BD97" s="2" t="s">
        <v>235</v>
      </c>
      <c r="BE97" s="2" t="s">
        <v>104</v>
      </c>
      <c r="BF97" s="2" t="s">
        <v>236</v>
      </c>
      <c r="BG97" s="2" t="s">
        <v>79</v>
      </c>
      <c r="BH97" s="2" t="s">
        <v>79</v>
      </c>
      <c r="BI97" s="2" t="s">
        <v>107</v>
      </c>
      <c r="BJ97" s="2" t="s">
        <v>237</v>
      </c>
      <c r="BK97" s="2" t="s">
        <v>79</v>
      </c>
      <c r="BL97" s="2" t="s">
        <v>109</v>
      </c>
      <c r="BM97" s="2">
        <v>2015</v>
      </c>
    </row>
    <row r="98" spans="1:65" ht="409.5" x14ac:dyDescent="0.25">
      <c r="A98" s="2" t="s">
        <v>1466</v>
      </c>
      <c r="B98" s="2" t="s">
        <v>80</v>
      </c>
      <c r="C98" s="2" t="s">
        <v>1468</v>
      </c>
      <c r="D98" s="2" t="s">
        <v>80</v>
      </c>
      <c r="E98" s="2"/>
      <c r="F98" s="2"/>
      <c r="G98" s="2" t="s">
        <v>143</v>
      </c>
      <c r="H98" s="2" t="s">
        <v>80</v>
      </c>
      <c r="I98" s="2"/>
      <c r="J98" s="2" t="s">
        <v>111</v>
      </c>
      <c r="K98" s="2" t="s">
        <v>79</v>
      </c>
      <c r="L98" s="2"/>
      <c r="M98" s="2" t="s">
        <v>1469</v>
      </c>
      <c r="N98" s="2"/>
      <c r="O98" s="2"/>
      <c r="P98" s="2" t="s">
        <v>80</v>
      </c>
      <c r="Q98" s="2"/>
      <c r="R98" s="2"/>
      <c r="S98" s="2"/>
      <c r="T98" s="2" t="s">
        <v>118</v>
      </c>
      <c r="U98" s="2" t="s">
        <v>1470</v>
      </c>
      <c r="V98" s="2" t="s">
        <v>95</v>
      </c>
      <c r="W98" s="2"/>
      <c r="X98" s="2"/>
      <c r="Y98" s="2" t="s">
        <v>80</v>
      </c>
      <c r="Z98" s="2"/>
      <c r="AA98" s="2"/>
      <c r="AB98" s="2"/>
      <c r="AC98" s="2" t="s">
        <v>80</v>
      </c>
      <c r="AD98" s="2" t="s">
        <v>1471</v>
      </c>
      <c r="AE98" s="2" t="s">
        <v>1467</v>
      </c>
      <c r="AF98" s="2" t="s">
        <v>82</v>
      </c>
      <c r="AG98" s="2">
        <v>6.5</v>
      </c>
      <c r="AH98" s="2" t="s">
        <v>84</v>
      </c>
      <c r="AI98" s="2" t="s">
        <v>84</v>
      </c>
      <c r="AJ98" s="2" t="s">
        <v>84</v>
      </c>
      <c r="AK98" s="2" t="s">
        <v>86</v>
      </c>
      <c r="AL98" s="2" t="s">
        <v>84</v>
      </c>
      <c r="AM98" s="2" t="s">
        <v>84</v>
      </c>
      <c r="AN98" s="2" t="s">
        <v>84</v>
      </c>
      <c r="AO98" s="2" t="s">
        <v>86</v>
      </c>
      <c r="AP98" s="2" t="s">
        <v>86</v>
      </c>
      <c r="AQ98" s="2" t="s">
        <v>85</v>
      </c>
      <c r="AR98" s="2"/>
      <c r="AS98" s="2" t="s">
        <v>80</v>
      </c>
      <c r="AT98" s="2"/>
      <c r="AU98" s="2"/>
      <c r="AV98" s="2" t="s">
        <v>79</v>
      </c>
      <c r="AW98" s="2"/>
      <c r="AX98" s="2" t="s">
        <v>1472</v>
      </c>
      <c r="AY98" s="2" t="s">
        <v>303</v>
      </c>
      <c r="AZ98" s="2" t="s">
        <v>1473</v>
      </c>
      <c r="BA98" s="2" t="s">
        <v>514</v>
      </c>
      <c r="BB98" s="2" t="s">
        <v>79</v>
      </c>
      <c r="BC98" s="2" t="s">
        <v>1434</v>
      </c>
      <c r="BD98" s="2" t="s">
        <v>1474</v>
      </c>
      <c r="BE98" s="2" t="s">
        <v>648</v>
      </c>
      <c r="BF98" s="2"/>
      <c r="BG98" s="2" t="s">
        <v>80</v>
      </c>
      <c r="BH98" s="2" t="s">
        <v>79</v>
      </c>
      <c r="BI98" s="2"/>
      <c r="BJ98" s="2"/>
      <c r="BK98" s="2" t="s">
        <v>80</v>
      </c>
      <c r="BL98" s="2" t="s">
        <v>172</v>
      </c>
      <c r="BM98" s="2">
        <v>2014</v>
      </c>
    </row>
    <row r="99" spans="1:65" ht="409.5" x14ac:dyDescent="0.25">
      <c r="A99" s="2" t="s">
        <v>208</v>
      </c>
      <c r="B99" s="2" t="s">
        <v>80</v>
      </c>
      <c r="C99" s="2" t="s">
        <v>210</v>
      </c>
      <c r="D99" s="2" t="s">
        <v>79</v>
      </c>
      <c r="E99" s="2" t="s">
        <v>79</v>
      </c>
      <c r="F99" s="2" t="s">
        <v>211</v>
      </c>
      <c r="G99" s="2" t="s">
        <v>89</v>
      </c>
      <c r="H99" s="2" t="s">
        <v>106</v>
      </c>
      <c r="I99" s="2" t="s">
        <v>116</v>
      </c>
      <c r="J99" s="2" t="s">
        <v>111</v>
      </c>
      <c r="K99" s="2" t="s">
        <v>79</v>
      </c>
      <c r="L99" s="2" t="s">
        <v>92</v>
      </c>
      <c r="M99" s="2" t="s">
        <v>212</v>
      </c>
      <c r="N99" s="2"/>
      <c r="O99" s="2"/>
      <c r="P99" s="2" t="s">
        <v>80</v>
      </c>
      <c r="Q99" s="2"/>
      <c r="R99" s="2" t="s">
        <v>92</v>
      </c>
      <c r="S99" s="2" t="s">
        <v>112</v>
      </c>
      <c r="T99" s="2" t="s">
        <v>213</v>
      </c>
      <c r="U99" s="2" t="s">
        <v>214</v>
      </c>
      <c r="V99" s="2" t="s">
        <v>95</v>
      </c>
      <c r="W99" s="2" t="s">
        <v>215</v>
      </c>
      <c r="X99" s="2" t="s">
        <v>216</v>
      </c>
      <c r="Y99" s="2" t="s">
        <v>80</v>
      </c>
      <c r="Z99" s="2"/>
      <c r="AA99" s="2"/>
      <c r="AB99" s="2"/>
      <c r="AC99" s="2" t="s">
        <v>79</v>
      </c>
      <c r="AD99" s="2" t="s">
        <v>217</v>
      </c>
      <c r="AE99" s="2" t="s">
        <v>209</v>
      </c>
      <c r="AF99" s="2" t="s">
        <v>82</v>
      </c>
      <c r="AG99" s="2">
        <v>9.5</v>
      </c>
      <c r="AH99" s="2" t="s">
        <v>84</v>
      </c>
      <c r="AI99" s="2" t="s">
        <v>84</v>
      </c>
      <c r="AJ99" s="2" t="s">
        <v>84</v>
      </c>
      <c r="AK99" s="2" t="s">
        <v>84</v>
      </c>
      <c r="AL99" s="2" t="s">
        <v>84</v>
      </c>
      <c r="AM99" s="2" t="s">
        <v>84</v>
      </c>
      <c r="AN99" s="2" t="s">
        <v>84</v>
      </c>
      <c r="AO99" s="2" t="s">
        <v>84</v>
      </c>
      <c r="AP99" s="2" t="s">
        <v>84</v>
      </c>
      <c r="AQ99" s="2" t="s">
        <v>85</v>
      </c>
      <c r="AR99" s="2" t="s">
        <v>80</v>
      </c>
      <c r="AS99" s="2" t="s">
        <v>80</v>
      </c>
      <c r="AT99" s="2"/>
      <c r="AU99" s="2" t="s">
        <v>80</v>
      </c>
      <c r="AV99" s="2" t="s">
        <v>79</v>
      </c>
      <c r="AW99" s="2" t="s">
        <v>92</v>
      </c>
      <c r="AX99" s="2" t="s">
        <v>218</v>
      </c>
      <c r="AY99" s="2" t="s">
        <v>100</v>
      </c>
      <c r="AZ99" s="2" t="s">
        <v>219</v>
      </c>
      <c r="BA99" s="2" t="s">
        <v>102</v>
      </c>
      <c r="BB99" s="2" t="s">
        <v>79</v>
      </c>
      <c r="BC99" s="2" t="s">
        <v>168</v>
      </c>
      <c r="BD99" s="2" t="s">
        <v>220</v>
      </c>
      <c r="BE99" s="2" t="s">
        <v>153</v>
      </c>
      <c r="BF99" s="2" t="s">
        <v>221</v>
      </c>
      <c r="BG99" s="2" t="s">
        <v>80</v>
      </c>
      <c r="BH99" s="2" t="s">
        <v>79</v>
      </c>
      <c r="BI99" s="2" t="s">
        <v>107</v>
      </c>
      <c r="BJ99" s="2" t="s">
        <v>222</v>
      </c>
      <c r="BK99" s="2" t="s">
        <v>79</v>
      </c>
      <c r="BL99" s="2" t="s">
        <v>109</v>
      </c>
      <c r="BM99" s="2">
        <v>2013</v>
      </c>
    </row>
    <row r="100" spans="1:65" ht="409.5" x14ac:dyDescent="0.25">
      <c r="A100" s="2" t="s">
        <v>188</v>
      </c>
      <c r="B100" s="2" t="s">
        <v>79</v>
      </c>
      <c r="C100" s="2" t="s">
        <v>191</v>
      </c>
      <c r="D100" s="2" t="s">
        <v>79</v>
      </c>
      <c r="E100" s="2" t="s">
        <v>92</v>
      </c>
      <c r="F100" s="2" t="s">
        <v>192</v>
      </c>
      <c r="G100" s="2" t="s">
        <v>193</v>
      </c>
      <c r="H100" s="2" t="s">
        <v>79</v>
      </c>
      <c r="I100" s="2" t="s">
        <v>194</v>
      </c>
      <c r="J100" s="2" t="s">
        <v>189</v>
      </c>
      <c r="K100" s="2" t="s">
        <v>79</v>
      </c>
      <c r="L100" s="2" t="s">
        <v>79</v>
      </c>
      <c r="M100" s="2" t="s">
        <v>195</v>
      </c>
      <c r="N100" s="2"/>
      <c r="O100" s="2"/>
      <c r="P100" s="2" t="s">
        <v>80</v>
      </c>
      <c r="Q100" s="2"/>
      <c r="R100" s="2" t="s">
        <v>92</v>
      </c>
      <c r="S100" s="2" t="s">
        <v>81</v>
      </c>
      <c r="T100" s="2" t="s">
        <v>178</v>
      </c>
      <c r="U100" s="2" t="s">
        <v>196</v>
      </c>
      <c r="V100" s="2" t="s">
        <v>95</v>
      </c>
      <c r="W100" s="2" t="s">
        <v>197</v>
      </c>
      <c r="X100" s="2" t="s">
        <v>198</v>
      </c>
      <c r="Y100" s="2" t="s">
        <v>80</v>
      </c>
      <c r="Z100" s="2"/>
      <c r="AA100" s="2"/>
      <c r="AB100" s="2"/>
      <c r="AC100" s="2" t="s">
        <v>79</v>
      </c>
      <c r="AD100" s="2" t="s">
        <v>199</v>
      </c>
      <c r="AE100" s="2" t="s">
        <v>190</v>
      </c>
      <c r="AF100" s="2" t="s">
        <v>82</v>
      </c>
      <c r="AG100" s="2">
        <v>9</v>
      </c>
      <c r="AH100" s="2" t="s">
        <v>84</v>
      </c>
      <c r="AI100" s="2" t="s">
        <v>84</v>
      </c>
      <c r="AJ100" s="2" t="s">
        <v>84</v>
      </c>
      <c r="AK100" s="2" t="s">
        <v>84</v>
      </c>
      <c r="AL100" s="2" t="s">
        <v>84</v>
      </c>
      <c r="AM100" s="2" t="s">
        <v>84</v>
      </c>
      <c r="AN100" s="2" t="s">
        <v>85</v>
      </c>
      <c r="AO100" s="2" t="s">
        <v>84</v>
      </c>
      <c r="AP100" s="2" t="s">
        <v>84</v>
      </c>
      <c r="AQ100" s="2" t="s">
        <v>85</v>
      </c>
      <c r="AR100" s="2" t="s">
        <v>80</v>
      </c>
      <c r="AS100" s="2" t="s">
        <v>80</v>
      </c>
      <c r="AT100" s="2"/>
      <c r="AU100" s="2" t="s">
        <v>80</v>
      </c>
      <c r="AV100" s="2" t="s">
        <v>79</v>
      </c>
      <c r="AW100" s="2" t="s">
        <v>92</v>
      </c>
      <c r="AX100" s="2" t="s">
        <v>200</v>
      </c>
      <c r="AY100" s="2" t="s">
        <v>100</v>
      </c>
      <c r="AZ100" s="2" t="s">
        <v>201</v>
      </c>
      <c r="BA100" s="2" t="s">
        <v>202</v>
      </c>
      <c r="BB100" s="2" t="s">
        <v>79</v>
      </c>
      <c r="BC100" s="2" t="s">
        <v>203</v>
      </c>
      <c r="BD100" s="2" t="s">
        <v>204</v>
      </c>
      <c r="BE100" s="2" t="s">
        <v>104</v>
      </c>
      <c r="BF100" s="2" t="s">
        <v>205</v>
      </c>
      <c r="BG100" s="2" t="s">
        <v>79</v>
      </c>
      <c r="BH100" s="2" t="s">
        <v>106</v>
      </c>
      <c r="BI100" s="2" t="s">
        <v>206</v>
      </c>
      <c r="BJ100" s="2" t="s">
        <v>207</v>
      </c>
      <c r="BK100" s="2" t="s">
        <v>79</v>
      </c>
      <c r="BL100" s="2" t="s">
        <v>109</v>
      </c>
      <c r="BM100" s="2">
        <v>2013</v>
      </c>
    </row>
    <row r="101" spans="1:65" ht="409.5" x14ac:dyDescent="0.25">
      <c r="A101" s="2" t="s">
        <v>156</v>
      </c>
      <c r="B101" s="2" t="s">
        <v>92</v>
      </c>
      <c r="C101" s="2" t="s">
        <v>158</v>
      </c>
      <c r="D101" s="2" t="s">
        <v>79</v>
      </c>
      <c r="E101" s="2" t="s">
        <v>79</v>
      </c>
      <c r="F101" s="2" t="s">
        <v>159</v>
      </c>
      <c r="G101" s="2" t="s">
        <v>89</v>
      </c>
      <c r="H101" s="2" t="s">
        <v>106</v>
      </c>
      <c r="I101" s="2" t="s">
        <v>116</v>
      </c>
      <c r="J101" s="2" t="s">
        <v>111</v>
      </c>
      <c r="K101" s="2" t="s">
        <v>79</v>
      </c>
      <c r="L101" s="2" t="s">
        <v>92</v>
      </c>
      <c r="M101" s="2" t="s">
        <v>160</v>
      </c>
      <c r="N101" s="2"/>
      <c r="O101" s="2"/>
      <c r="P101" s="2" t="s">
        <v>80</v>
      </c>
      <c r="Q101" s="2"/>
      <c r="R101" s="2" t="s">
        <v>92</v>
      </c>
      <c r="S101" s="2" t="s">
        <v>112</v>
      </c>
      <c r="T101" s="2" t="s">
        <v>161</v>
      </c>
      <c r="U101" s="2" t="s">
        <v>162</v>
      </c>
      <c r="V101" s="2" t="s">
        <v>95</v>
      </c>
      <c r="W101" s="2" t="s">
        <v>163</v>
      </c>
      <c r="X101" s="2" t="s">
        <v>164</v>
      </c>
      <c r="Y101" s="2" t="s">
        <v>80</v>
      </c>
      <c r="Z101" s="2"/>
      <c r="AA101" s="2"/>
      <c r="AB101" s="2"/>
      <c r="AC101" s="2" t="s">
        <v>79</v>
      </c>
      <c r="AD101" s="2" t="s">
        <v>165</v>
      </c>
      <c r="AE101" s="2" t="s">
        <v>157</v>
      </c>
      <c r="AF101" s="2" t="s">
        <v>82</v>
      </c>
      <c r="AG101" s="2">
        <v>9.5</v>
      </c>
      <c r="AH101" s="2" t="s">
        <v>84</v>
      </c>
      <c r="AI101" s="2" t="s">
        <v>84</v>
      </c>
      <c r="AJ101" s="2" t="s">
        <v>84</v>
      </c>
      <c r="AK101" s="2" t="s">
        <v>84</v>
      </c>
      <c r="AL101" s="2" t="s">
        <v>84</v>
      </c>
      <c r="AM101" s="2" t="s">
        <v>84</v>
      </c>
      <c r="AN101" s="2" t="s">
        <v>84</v>
      </c>
      <c r="AO101" s="2" t="s">
        <v>84</v>
      </c>
      <c r="AP101" s="2" t="s">
        <v>84</v>
      </c>
      <c r="AQ101" s="2" t="s">
        <v>85</v>
      </c>
      <c r="AR101" s="2" t="s">
        <v>80</v>
      </c>
      <c r="AS101" s="2" t="s">
        <v>80</v>
      </c>
      <c r="AT101" s="2"/>
      <c r="AU101" s="2" t="s">
        <v>80</v>
      </c>
      <c r="AV101" s="2" t="s">
        <v>79</v>
      </c>
      <c r="AW101" s="2" t="s">
        <v>92</v>
      </c>
      <c r="AX101" s="2" t="s">
        <v>166</v>
      </c>
      <c r="AY101" s="2" t="s">
        <v>100</v>
      </c>
      <c r="AZ101" s="2" t="s">
        <v>167</v>
      </c>
      <c r="BA101" s="2" t="s">
        <v>102</v>
      </c>
      <c r="BB101" s="2" t="s">
        <v>79</v>
      </c>
      <c r="BC101" s="2" t="s">
        <v>168</v>
      </c>
      <c r="BD101" s="2" t="s">
        <v>169</v>
      </c>
      <c r="BE101" s="2" t="s">
        <v>153</v>
      </c>
      <c r="BF101" s="2" t="s">
        <v>170</v>
      </c>
      <c r="BG101" s="2" t="s">
        <v>80</v>
      </c>
      <c r="BH101" s="2" t="s">
        <v>79</v>
      </c>
      <c r="BI101" s="2" t="s">
        <v>107</v>
      </c>
      <c r="BJ101" s="2" t="s">
        <v>171</v>
      </c>
      <c r="BK101" s="2" t="s">
        <v>79</v>
      </c>
      <c r="BL101" s="2" t="s">
        <v>172</v>
      </c>
      <c r="BM101" s="2">
        <v>2012</v>
      </c>
    </row>
    <row r="102" spans="1:65" ht="409.5" x14ac:dyDescent="0.25">
      <c r="A102" s="2" t="s">
        <v>173</v>
      </c>
      <c r="B102" s="2" t="s">
        <v>80</v>
      </c>
      <c r="C102" s="2" t="s">
        <v>175</v>
      </c>
      <c r="D102" s="2" t="s">
        <v>79</v>
      </c>
      <c r="E102" s="2" t="s">
        <v>79</v>
      </c>
      <c r="F102" s="2" t="s">
        <v>176</v>
      </c>
      <c r="G102" s="2" t="s">
        <v>89</v>
      </c>
      <c r="H102" s="2" t="s">
        <v>106</v>
      </c>
      <c r="I102" s="2" t="s">
        <v>116</v>
      </c>
      <c r="J102" s="2" t="s">
        <v>111</v>
      </c>
      <c r="K102" s="2" t="s">
        <v>79</v>
      </c>
      <c r="L102" s="2" t="s">
        <v>92</v>
      </c>
      <c r="M102" s="2" t="s">
        <v>177</v>
      </c>
      <c r="N102" s="2"/>
      <c r="O102" s="2"/>
      <c r="P102" s="2" t="s">
        <v>80</v>
      </c>
      <c r="Q102" s="2"/>
      <c r="R102" s="2" t="s">
        <v>92</v>
      </c>
      <c r="S102" s="2" t="s">
        <v>112</v>
      </c>
      <c r="T102" s="2" t="s">
        <v>178</v>
      </c>
      <c r="U102" s="2" t="s">
        <v>179</v>
      </c>
      <c r="V102" s="2" t="s">
        <v>95</v>
      </c>
      <c r="W102" s="2" t="s">
        <v>180</v>
      </c>
      <c r="X102" s="2" t="s">
        <v>181</v>
      </c>
      <c r="Y102" s="2" t="s">
        <v>80</v>
      </c>
      <c r="Z102" s="2"/>
      <c r="AA102" s="2"/>
      <c r="AB102" s="2"/>
      <c r="AC102" s="2" t="s">
        <v>79</v>
      </c>
      <c r="AD102" s="2" t="s">
        <v>182</v>
      </c>
      <c r="AE102" s="2" t="s">
        <v>174</v>
      </c>
      <c r="AF102" s="2" t="s">
        <v>82</v>
      </c>
      <c r="AG102" s="2">
        <v>9.5</v>
      </c>
      <c r="AH102" s="2" t="s">
        <v>84</v>
      </c>
      <c r="AI102" s="2" t="s">
        <v>84</v>
      </c>
      <c r="AJ102" s="2" t="s">
        <v>84</v>
      </c>
      <c r="AK102" s="2" t="s">
        <v>84</v>
      </c>
      <c r="AL102" s="2" t="s">
        <v>84</v>
      </c>
      <c r="AM102" s="2" t="s">
        <v>84</v>
      </c>
      <c r="AN102" s="2" t="s">
        <v>84</v>
      </c>
      <c r="AO102" s="2" t="s">
        <v>84</v>
      </c>
      <c r="AP102" s="2" t="s">
        <v>84</v>
      </c>
      <c r="AQ102" s="2" t="s">
        <v>85</v>
      </c>
      <c r="AR102" s="2" t="s">
        <v>80</v>
      </c>
      <c r="AS102" s="2" t="s">
        <v>80</v>
      </c>
      <c r="AT102" s="2"/>
      <c r="AU102" s="2" t="s">
        <v>80</v>
      </c>
      <c r="AV102" s="2" t="s">
        <v>79</v>
      </c>
      <c r="AW102" s="2" t="s">
        <v>92</v>
      </c>
      <c r="AX102" s="2" t="s">
        <v>183</v>
      </c>
      <c r="AY102" s="2" t="s">
        <v>100</v>
      </c>
      <c r="AZ102" s="2" t="s">
        <v>184</v>
      </c>
      <c r="BA102" s="2" t="s">
        <v>102</v>
      </c>
      <c r="BB102" s="2" t="s">
        <v>79</v>
      </c>
      <c r="BC102" s="2" t="s">
        <v>168</v>
      </c>
      <c r="BD102" s="2" t="s">
        <v>185</v>
      </c>
      <c r="BE102" s="2" t="s">
        <v>153</v>
      </c>
      <c r="BF102" s="2" t="s">
        <v>186</v>
      </c>
      <c r="BG102" s="2" t="s">
        <v>92</v>
      </c>
      <c r="BH102" s="2" t="s">
        <v>79</v>
      </c>
      <c r="BI102" s="2" t="s">
        <v>107</v>
      </c>
      <c r="BJ102" s="2" t="s">
        <v>187</v>
      </c>
      <c r="BK102" s="2" t="s">
        <v>79</v>
      </c>
      <c r="BL102" s="2" t="s">
        <v>109</v>
      </c>
      <c r="BM102" s="2">
        <v>2012</v>
      </c>
    </row>
    <row r="103" spans="1:65" ht="409.5" x14ac:dyDescent="0.25">
      <c r="A103" s="2" t="s">
        <v>139</v>
      </c>
      <c r="B103" s="2" t="s">
        <v>92</v>
      </c>
      <c r="C103" s="2" t="s">
        <v>141</v>
      </c>
      <c r="D103" s="2" t="s">
        <v>79</v>
      </c>
      <c r="E103" s="2"/>
      <c r="F103" s="2" t="s">
        <v>142</v>
      </c>
      <c r="G103" s="2" t="s">
        <v>143</v>
      </c>
      <c r="H103" s="2" t="s">
        <v>79</v>
      </c>
      <c r="I103" s="2" t="s">
        <v>90</v>
      </c>
      <c r="J103" s="2" t="s">
        <v>111</v>
      </c>
      <c r="K103" s="2" t="s">
        <v>79</v>
      </c>
      <c r="L103" s="2"/>
      <c r="M103" s="2" t="s">
        <v>144</v>
      </c>
      <c r="N103" s="2"/>
      <c r="O103" s="2"/>
      <c r="P103" s="2" t="s">
        <v>80</v>
      </c>
      <c r="Q103" s="2"/>
      <c r="R103" s="2" t="s">
        <v>92</v>
      </c>
      <c r="S103" s="2" t="s">
        <v>112</v>
      </c>
      <c r="T103" s="2" t="s">
        <v>145</v>
      </c>
      <c r="U103" s="2" t="s">
        <v>146</v>
      </c>
      <c r="V103" s="2" t="s">
        <v>95</v>
      </c>
      <c r="W103" s="2" t="s">
        <v>147</v>
      </c>
      <c r="X103" s="2" t="s">
        <v>148</v>
      </c>
      <c r="Y103" s="2" t="s">
        <v>80</v>
      </c>
      <c r="Z103" s="2"/>
      <c r="AA103" s="2"/>
      <c r="AB103" s="2"/>
      <c r="AC103" s="2" t="s">
        <v>79</v>
      </c>
      <c r="AD103" s="2" t="s">
        <v>149</v>
      </c>
      <c r="AE103" s="2" t="s">
        <v>140</v>
      </c>
      <c r="AF103" s="2" t="s">
        <v>82</v>
      </c>
      <c r="AG103" s="2">
        <v>9</v>
      </c>
      <c r="AH103" s="2" t="s">
        <v>84</v>
      </c>
      <c r="AI103" s="2" t="s">
        <v>84</v>
      </c>
      <c r="AJ103" s="2" t="s">
        <v>84</v>
      </c>
      <c r="AK103" s="2" t="s">
        <v>84</v>
      </c>
      <c r="AL103" s="2" t="s">
        <v>84</v>
      </c>
      <c r="AM103" s="2" t="s">
        <v>84</v>
      </c>
      <c r="AN103" s="2" t="s">
        <v>84</v>
      </c>
      <c r="AO103" s="2" t="s">
        <v>84</v>
      </c>
      <c r="AP103" s="2" t="s">
        <v>85</v>
      </c>
      <c r="AQ103" s="2" t="s">
        <v>85</v>
      </c>
      <c r="AR103" s="2"/>
      <c r="AS103" s="2" t="s">
        <v>80</v>
      </c>
      <c r="AT103" s="2"/>
      <c r="AU103" s="2"/>
      <c r="AV103" s="2" t="s">
        <v>79</v>
      </c>
      <c r="AW103" s="2"/>
      <c r="AX103" s="2" t="s">
        <v>150</v>
      </c>
      <c r="AY103" s="2" t="s">
        <v>100</v>
      </c>
      <c r="AZ103" s="2" t="s">
        <v>151</v>
      </c>
      <c r="BA103" s="2" t="s">
        <v>102</v>
      </c>
      <c r="BB103" s="2" t="s">
        <v>79</v>
      </c>
      <c r="BC103" s="2"/>
      <c r="BD103" s="2" t="s">
        <v>152</v>
      </c>
      <c r="BE103" s="2" t="s">
        <v>153</v>
      </c>
      <c r="BF103" s="2" t="s">
        <v>154</v>
      </c>
      <c r="BG103" s="2" t="s">
        <v>106</v>
      </c>
      <c r="BH103" s="2" t="s">
        <v>79</v>
      </c>
      <c r="BI103" s="2" t="s">
        <v>155</v>
      </c>
      <c r="BJ103" s="2"/>
      <c r="BK103" s="2" t="s">
        <v>80</v>
      </c>
      <c r="BL103" s="2" t="s">
        <v>109</v>
      </c>
      <c r="BM103" s="2">
        <v>2012</v>
      </c>
    </row>
    <row r="104" spans="1:65" ht="409.5" x14ac:dyDescent="0.25">
      <c r="A104" s="2" t="s">
        <v>1642</v>
      </c>
      <c r="B104" s="2" t="s">
        <v>80</v>
      </c>
      <c r="C104" s="2" t="s">
        <v>1644</v>
      </c>
      <c r="D104" s="2" t="s">
        <v>79</v>
      </c>
      <c r="E104" s="2" t="s">
        <v>92</v>
      </c>
      <c r="F104" s="2"/>
      <c r="G104" s="2" t="s">
        <v>143</v>
      </c>
      <c r="H104" s="2" t="s">
        <v>106</v>
      </c>
      <c r="I104" s="2" t="s">
        <v>90</v>
      </c>
      <c r="J104" s="2" t="s">
        <v>111</v>
      </c>
      <c r="K104" s="2" t="s">
        <v>79</v>
      </c>
      <c r="L104" s="2" t="s">
        <v>92</v>
      </c>
      <c r="M104" s="2"/>
      <c r="N104" s="2"/>
      <c r="O104" s="2" t="s">
        <v>155</v>
      </c>
      <c r="P104" s="2" t="s">
        <v>80</v>
      </c>
      <c r="Q104" s="2"/>
      <c r="R104" s="2" t="s">
        <v>92</v>
      </c>
      <c r="S104" s="2" t="s">
        <v>143</v>
      </c>
      <c r="T104" s="2" t="s">
        <v>93</v>
      </c>
      <c r="U104" s="2" t="s">
        <v>1645</v>
      </c>
      <c r="V104" s="2" t="s">
        <v>95</v>
      </c>
      <c r="W104" s="2" t="s">
        <v>1646</v>
      </c>
      <c r="X104" s="2" t="s">
        <v>1647</v>
      </c>
      <c r="Y104" s="2" t="s">
        <v>80</v>
      </c>
      <c r="Z104" s="2"/>
      <c r="AA104" s="2"/>
      <c r="AB104" s="2"/>
      <c r="AC104" s="2" t="s">
        <v>79</v>
      </c>
      <c r="AD104" s="2" t="s">
        <v>1648</v>
      </c>
      <c r="AE104" s="2" t="s">
        <v>1643</v>
      </c>
      <c r="AF104" s="2" t="s">
        <v>82</v>
      </c>
      <c r="AG104" s="2">
        <v>8.5</v>
      </c>
      <c r="AH104" s="2" t="s">
        <v>84</v>
      </c>
      <c r="AI104" s="2" t="s">
        <v>84</v>
      </c>
      <c r="AJ104" s="2" t="s">
        <v>84</v>
      </c>
      <c r="AK104" s="2" t="s">
        <v>84</v>
      </c>
      <c r="AL104" s="2" t="s">
        <v>84</v>
      </c>
      <c r="AM104" s="2" t="s">
        <v>84</v>
      </c>
      <c r="AN104" s="2" t="s">
        <v>85</v>
      </c>
      <c r="AO104" s="2" t="s">
        <v>84</v>
      </c>
      <c r="AP104" s="2" t="s">
        <v>85</v>
      </c>
      <c r="AQ104" s="2" t="s">
        <v>85</v>
      </c>
      <c r="AR104" s="2" t="s">
        <v>80</v>
      </c>
      <c r="AS104" s="2" t="s">
        <v>80</v>
      </c>
      <c r="AT104" s="2"/>
      <c r="AU104" s="2" t="s">
        <v>80</v>
      </c>
      <c r="AV104" s="2" t="s">
        <v>79</v>
      </c>
      <c r="AW104" s="2" t="s">
        <v>79</v>
      </c>
      <c r="AX104" s="2"/>
      <c r="AY104" s="2" t="s">
        <v>303</v>
      </c>
      <c r="AZ104" s="2" t="s">
        <v>1649</v>
      </c>
      <c r="BA104" s="2" t="s">
        <v>514</v>
      </c>
      <c r="BB104" s="2" t="s">
        <v>79</v>
      </c>
      <c r="BC104" s="2" t="s">
        <v>1485</v>
      </c>
      <c r="BD104" s="2" t="s">
        <v>1650</v>
      </c>
      <c r="BE104" s="2" t="s">
        <v>732</v>
      </c>
      <c r="BF104" s="2"/>
      <c r="BG104" s="2" t="s">
        <v>80</v>
      </c>
      <c r="BH104" s="2" t="s">
        <v>106</v>
      </c>
      <c r="BI104" s="2" t="s">
        <v>155</v>
      </c>
      <c r="BJ104" s="2" t="s">
        <v>1651</v>
      </c>
      <c r="BK104" s="2" t="s">
        <v>80</v>
      </c>
      <c r="BL104" s="2" t="s">
        <v>172</v>
      </c>
      <c r="BM104" s="2">
        <v>2008</v>
      </c>
    </row>
    <row r="105" spans="1:65" ht="409.5" x14ac:dyDescent="0.25">
      <c r="A105" s="2" t="s">
        <v>77</v>
      </c>
      <c r="B105" s="2" t="s">
        <v>79</v>
      </c>
      <c r="C105" s="2" t="s">
        <v>87</v>
      </c>
      <c r="D105" s="2" t="s">
        <v>79</v>
      </c>
      <c r="E105" s="2"/>
      <c r="F105" s="2" t="s">
        <v>88</v>
      </c>
      <c r="G105" s="2" t="s">
        <v>89</v>
      </c>
      <c r="H105" s="2" t="s">
        <v>79</v>
      </c>
      <c r="I105" s="2" t="s">
        <v>90</v>
      </c>
      <c r="J105" s="2" t="s">
        <v>78</v>
      </c>
      <c r="K105" s="2" t="s">
        <v>79</v>
      </c>
      <c r="L105" s="2"/>
      <c r="M105" s="2" t="s">
        <v>91</v>
      </c>
      <c r="N105" s="2"/>
      <c r="O105" s="2"/>
      <c r="P105" s="2" t="s">
        <v>80</v>
      </c>
      <c r="Q105" s="2"/>
      <c r="R105" s="2" t="s">
        <v>92</v>
      </c>
      <c r="S105" s="2" t="s">
        <v>81</v>
      </c>
      <c r="T105" s="2" t="s">
        <v>93</v>
      </c>
      <c r="U105" s="2" t="s">
        <v>94</v>
      </c>
      <c r="V105" s="2" t="s">
        <v>95</v>
      </c>
      <c r="W105" s="2" t="s">
        <v>96</v>
      </c>
      <c r="X105" s="2" t="s">
        <v>97</v>
      </c>
      <c r="Y105" s="2" t="s">
        <v>80</v>
      </c>
      <c r="Z105" s="2"/>
      <c r="AA105" s="2"/>
      <c r="AB105" s="2"/>
      <c r="AC105" s="2" t="s">
        <v>79</v>
      </c>
      <c r="AD105" s="2" t="s">
        <v>98</v>
      </c>
      <c r="AE105" s="2" t="s">
        <v>83</v>
      </c>
      <c r="AF105" s="2" t="s">
        <v>82</v>
      </c>
      <c r="AG105" s="2">
        <v>7</v>
      </c>
      <c r="AH105" s="2" t="s">
        <v>84</v>
      </c>
      <c r="AI105" s="2" t="s">
        <v>86</v>
      </c>
      <c r="AJ105" s="2" t="s">
        <v>84</v>
      </c>
      <c r="AK105" s="2" t="s">
        <v>84</v>
      </c>
      <c r="AL105" s="2" t="s">
        <v>84</v>
      </c>
      <c r="AM105" s="2" t="s">
        <v>84</v>
      </c>
      <c r="AN105" s="2" t="s">
        <v>85</v>
      </c>
      <c r="AO105" s="2" t="s">
        <v>86</v>
      </c>
      <c r="AP105" s="2" t="s">
        <v>84</v>
      </c>
      <c r="AQ105" s="2" t="s">
        <v>85</v>
      </c>
      <c r="AR105" s="2"/>
      <c r="AS105" s="2" t="s">
        <v>80</v>
      </c>
      <c r="AT105" s="2"/>
      <c r="AU105" s="2"/>
      <c r="AV105" s="2" t="s">
        <v>79</v>
      </c>
      <c r="AW105" s="2"/>
      <c r="AX105" s="2" t="s">
        <v>99</v>
      </c>
      <c r="AY105" s="2" t="s">
        <v>100</v>
      </c>
      <c r="AZ105" s="2" t="s">
        <v>101</v>
      </c>
      <c r="BA105" s="2" t="s">
        <v>102</v>
      </c>
      <c r="BB105" s="2" t="s">
        <v>79</v>
      </c>
      <c r="BC105" s="2"/>
      <c r="BD105" s="2" t="s">
        <v>103</v>
      </c>
      <c r="BE105" s="2" t="s">
        <v>104</v>
      </c>
      <c r="BF105" s="2" t="s">
        <v>105</v>
      </c>
      <c r="BG105" s="2" t="s">
        <v>79</v>
      </c>
      <c r="BH105" s="2" t="s">
        <v>106</v>
      </c>
      <c r="BI105" s="2" t="s">
        <v>107</v>
      </c>
      <c r="BJ105" s="2" t="s">
        <v>108</v>
      </c>
      <c r="BK105" s="2" t="s">
        <v>79</v>
      </c>
      <c r="BL105" s="2" t="s">
        <v>109</v>
      </c>
      <c r="BM105" s="2">
        <v>2008</v>
      </c>
    </row>
    <row r="106" spans="1:65" ht="409.5" x14ac:dyDescent="0.25">
      <c r="A106" s="2" t="s">
        <v>110</v>
      </c>
      <c r="B106" s="2" t="s">
        <v>80</v>
      </c>
      <c r="C106" s="2" t="s">
        <v>114</v>
      </c>
      <c r="D106" s="2" t="s">
        <v>79</v>
      </c>
      <c r="E106" s="2"/>
      <c r="F106" s="2" t="s">
        <v>115</v>
      </c>
      <c r="G106" s="2" t="s">
        <v>89</v>
      </c>
      <c r="H106" s="2" t="s">
        <v>106</v>
      </c>
      <c r="I106" s="2" t="s">
        <v>116</v>
      </c>
      <c r="J106" s="2" t="s">
        <v>111</v>
      </c>
      <c r="K106" s="2" t="s">
        <v>79</v>
      </c>
      <c r="L106" s="2"/>
      <c r="M106" s="2" t="s">
        <v>117</v>
      </c>
      <c r="N106" s="2"/>
      <c r="O106" s="2"/>
      <c r="P106" s="2" t="s">
        <v>80</v>
      </c>
      <c r="Q106" s="2"/>
      <c r="R106" s="2" t="s">
        <v>92</v>
      </c>
      <c r="S106" s="2" t="s">
        <v>112</v>
      </c>
      <c r="T106" s="2" t="s">
        <v>118</v>
      </c>
      <c r="U106" s="2" t="s">
        <v>119</v>
      </c>
      <c r="V106" s="2" t="s">
        <v>95</v>
      </c>
      <c r="W106" s="2" t="s">
        <v>120</v>
      </c>
      <c r="X106" s="2" t="s">
        <v>121</v>
      </c>
      <c r="Y106" s="2" t="s">
        <v>80</v>
      </c>
      <c r="Z106" s="2"/>
      <c r="AA106" s="2"/>
      <c r="AB106" s="2"/>
      <c r="AC106" s="2" t="s">
        <v>79</v>
      </c>
      <c r="AD106" s="2" t="s">
        <v>122</v>
      </c>
      <c r="AE106" s="2" t="s">
        <v>113</v>
      </c>
      <c r="AF106" s="2" t="s">
        <v>82</v>
      </c>
      <c r="AG106" s="2">
        <v>7.5</v>
      </c>
      <c r="AH106" s="2" t="s">
        <v>84</v>
      </c>
      <c r="AI106" s="2" t="s">
        <v>86</v>
      </c>
      <c r="AJ106" s="2" t="s">
        <v>85</v>
      </c>
      <c r="AK106" s="2" t="s">
        <v>84</v>
      </c>
      <c r="AL106" s="2" t="s">
        <v>84</v>
      </c>
      <c r="AM106" s="2" t="s">
        <v>84</v>
      </c>
      <c r="AN106" s="2" t="s">
        <v>84</v>
      </c>
      <c r="AO106" s="2" t="s">
        <v>84</v>
      </c>
      <c r="AP106" s="2" t="s">
        <v>84</v>
      </c>
      <c r="AQ106" s="2" t="s">
        <v>86</v>
      </c>
      <c r="AR106" s="2"/>
      <c r="AS106" s="2" t="s">
        <v>80</v>
      </c>
      <c r="AT106" s="2"/>
      <c r="AU106" s="2"/>
      <c r="AV106" s="2" t="s">
        <v>79</v>
      </c>
      <c r="AW106" s="2"/>
      <c r="AX106" s="2" t="s">
        <v>123</v>
      </c>
      <c r="AY106" s="2" t="s">
        <v>100</v>
      </c>
      <c r="AZ106" s="2" t="s">
        <v>124</v>
      </c>
      <c r="BA106" s="2" t="s">
        <v>102</v>
      </c>
      <c r="BB106" s="2" t="s">
        <v>79</v>
      </c>
      <c r="BC106" s="2"/>
      <c r="BD106" s="2" t="s">
        <v>125</v>
      </c>
      <c r="BE106" s="2" t="s">
        <v>104</v>
      </c>
      <c r="BF106" s="2" t="s">
        <v>126</v>
      </c>
      <c r="BG106" s="2" t="s">
        <v>106</v>
      </c>
      <c r="BH106" s="2" t="s">
        <v>79</v>
      </c>
      <c r="BI106" s="2" t="s">
        <v>107</v>
      </c>
      <c r="BJ106" s="2" t="s">
        <v>127</v>
      </c>
      <c r="BK106" s="2" t="s">
        <v>79</v>
      </c>
      <c r="BL106" s="2" t="s">
        <v>109</v>
      </c>
      <c r="BM106" s="2">
        <v>2008</v>
      </c>
    </row>
    <row r="107" spans="1:65" ht="409.5" x14ac:dyDescent="0.25">
      <c r="A107" s="2" t="s">
        <v>128</v>
      </c>
      <c r="B107" s="2" t="s">
        <v>80</v>
      </c>
      <c r="C107" s="2" t="s">
        <v>130</v>
      </c>
      <c r="D107" s="2" t="s">
        <v>79</v>
      </c>
      <c r="E107" s="2"/>
      <c r="F107" s="2" t="s">
        <v>115</v>
      </c>
      <c r="G107" s="2" t="s">
        <v>89</v>
      </c>
      <c r="H107" s="2" t="s">
        <v>106</v>
      </c>
      <c r="I107" s="2" t="s">
        <v>116</v>
      </c>
      <c r="J107" s="2" t="s">
        <v>111</v>
      </c>
      <c r="K107" s="2" t="s">
        <v>79</v>
      </c>
      <c r="L107" s="2"/>
      <c r="M107" s="2" t="s">
        <v>117</v>
      </c>
      <c r="N107" s="2"/>
      <c r="O107" s="2"/>
      <c r="P107" s="2" t="s">
        <v>80</v>
      </c>
      <c r="Q107" s="2"/>
      <c r="R107" s="2" t="s">
        <v>92</v>
      </c>
      <c r="S107" s="2" t="s">
        <v>112</v>
      </c>
      <c r="T107" s="2" t="s">
        <v>118</v>
      </c>
      <c r="U107" s="2" t="s">
        <v>119</v>
      </c>
      <c r="V107" s="2" t="s">
        <v>95</v>
      </c>
      <c r="W107" s="2" t="s">
        <v>131</v>
      </c>
      <c r="X107" s="2" t="s">
        <v>132</v>
      </c>
      <c r="Y107" s="2" t="s">
        <v>80</v>
      </c>
      <c r="Z107" s="2"/>
      <c r="AA107" s="2"/>
      <c r="AB107" s="2" t="s">
        <v>133</v>
      </c>
      <c r="AC107" s="2" t="s">
        <v>79</v>
      </c>
      <c r="AD107" s="2" t="s">
        <v>134</v>
      </c>
      <c r="AE107" s="2" t="s">
        <v>129</v>
      </c>
      <c r="AF107" s="2" t="s">
        <v>82</v>
      </c>
      <c r="AG107" s="2">
        <v>7.5</v>
      </c>
      <c r="AH107" s="2" t="s">
        <v>84</v>
      </c>
      <c r="AI107" s="2" t="s">
        <v>86</v>
      </c>
      <c r="AJ107" s="2" t="s">
        <v>85</v>
      </c>
      <c r="AK107" s="2" t="s">
        <v>84</v>
      </c>
      <c r="AL107" s="2" t="s">
        <v>84</v>
      </c>
      <c r="AM107" s="2" t="s">
        <v>84</v>
      </c>
      <c r="AN107" s="2" t="s">
        <v>84</v>
      </c>
      <c r="AO107" s="2" t="s">
        <v>84</v>
      </c>
      <c r="AP107" s="2" t="s">
        <v>84</v>
      </c>
      <c r="AQ107" s="2" t="s">
        <v>86</v>
      </c>
      <c r="AR107" s="2"/>
      <c r="AS107" s="2" t="s">
        <v>80</v>
      </c>
      <c r="AT107" s="2"/>
      <c r="AU107" s="2"/>
      <c r="AV107" s="2" t="s">
        <v>79</v>
      </c>
      <c r="AW107" s="2"/>
      <c r="AX107" s="2" t="s">
        <v>135</v>
      </c>
      <c r="AY107" s="2" t="s">
        <v>100</v>
      </c>
      <c r="AZ107" s="2" t="s">
        <v>136</v>
      </c>
      <c r="BA107" s="2" t="s">
        <v>102</v>
      </c>
      <c r="BB107" s="2" t="s">
        <v>79</v>
      </c>
      <c r="BC107" s="2"/>
      <c r="BD107" s="2" t="s">
        <v>137</v>
      </c>
      <c r="BE107" s="2" t="s">
        <v>104</v>
      </c>
      <c r="BF107" s="2" t="s">
        <v>138</v>
      </c>
      <c r="BG107" s="2" t="s">
        <v>106</v>
      </c>
      <c r="BH107" s="2" t="s">
        <v>79</v>
      </c>
      <c r="BI107" s="2" t="s">
        <v>107</v>
      </c>
      <c r="BJ107" s="2" t="s">
        <v>127</v>
      </c>
      <c r="BK107" s="2" t="s">
        <v>79</v>
      </c>
      <c r="BL107" s="2" t="s">
        <v>109</v>
      </c>
      <c r="BM107" s="2">
        <v>2008</v>
      </c>
    </row>
    <row r="108" spans="1:65" ht="405" x14ac:dyDescent="0.25">
      <c r="A108" s="2" t="s">
        <v>1445</v>
      </c>
      <c r="B108" s="2" t="s">
        <v>80</v>
      </c>
      <c r="C108" s="2" t="s">
        <v>1447</v>
      </c>
      <c r="D108" s="2" t="s">
        <v>80</v>
      </c>
      <c r="E108" s="2"/>
      <c r="F108" s="2"/>
      <c r="G108" s="2" t="s">
        <v>89</v>
      </c>
      <c r="H108" s="2" t="s">
        <v>80</v>
      </c>
      <c r="I108" s="2"/>
      <c r="J108" s="2" t="s">
        <v>189</v>
      </c>
      <c r="K108" s="2" t="s">
        <v>79</v>
      </c>
      <c r="L108" s="2"/>
      <c r="M108" s="2" t="s">
        <v>1448</v>
      </c>
      <c r="N108" s="2"/>
      <c r="O108" s="2"/>
      <c r="P108" s="2" t="s">
        <v>80</v>
      </c>
      <c r="Q108" s="2"/>
      <c r="R108" s="2" t="s">
        <v>92</v>
      </c>
      <c r="S108" s="2"/>
      <c r="T108" s="2" t="s">
        <v>357</v>
      </c>
      <c r="U108" s="2" t="s">
        <v>1449</v>
      </c>
      <c r="V108" s="2" t="s">
        <v>95</v>
      </c>
      <c r="W108" s="2" t="s">
        <v>1450</v>
      </c>
      <c r="X108" s="2" t="s">
        <v>1451</v>
      </c>
      <c r="Y108" s="2" t="s">
        <v>80</v>
      </c>
      <c r="Z108" s="2"/>
      <c r="AA108" s="2"/>
      <c r="AB108" s="2"/>
      <c r="AC108" s="2" t="s">
        <v>79</v>
      </c>
      <c r="AD108" s="2" t="s">
        <v>1452</v>
      </c>
      <c r="AE108" s="2" t="s">
        <v>1446</v>
      </c>
      <c r="AF108" s="2" t="s">
        <v>82</v>
      </c>
      <c r="AG108" s="2">
        <v>9</v>
      </c>
      <c r="AH108" s="2" t="s">
        <v>84</v>
      </c>
      <c r="AI108" s="2" t="s">
        <v>84</v>
      </c>
      <c r="AJ108" s="2" t="s">
        <v>84</v>
      </c>
      <c r="AK108" s="2" t="s">
        <v>84</v>
      </c>
      <c r="AL108" s="2" t="s">
        <v>84</v>
      </c>
      <c r="AM108" s="2" t="s">
        <v>84</v>
      </c>
      <c r="AN108" s="2" t="s">
        <v>84</v>
      </c>
      <c r="AO108" s="2" t="s">
        <v>86</v>
      </c>
      <c r="AP108" s="2" t="s">
        <v>84</v>
      </c>
      <c r="AQ108" s="2" t="s">
        <v>84</v>
      </c>
      <c r="AR108" s="2"/>
      <c r="AS108" s="2" t="s">
        <v>80</v>
      </c>
      <c r="AT108" s="2"/>
      <c r="AU108" s="2"/>
      <c r="AV108" s="2" t="s">
        <v>79</v>
      </c>
      <c r="AW108" s="2"/>
      <c r="AX108" s="2" t="s">
        <v>1453</v>
      </c>
      <c r="AY108" s="2" t="s">
        <v>303</v>
      </c>
      <c r="AZ108" s="2" t="s">
        <v>1454</v>
      </c>
      <c r="BA108" s="2" t="s">
        <v>143</v>
      </c>
      <c r="BB108" s="2" t="s">
        <v>79</v>
      </c>
      <c r="BC108" s="2"/>
      <c r="BD108" s="2" t="s">
        <v>1455</v>
      </c>
      <c r="BE108" s="2" t="s">
        <v>153</v>
      </c>
      <c r="BF108" s="2"/>
      <c r="BG108" s="2" t="s">
        <v>80</v>
      </c>
      <c r="BH108" s="2" t="s">
        <v>79</v>
      </c>
      <c r="BI108" s="2" t="s">
        <v>206</v>
      </c>
      <c r="BJ108" s="2" t="s">
        <v>1456</v>
      </c>
      <c r="BK108" s="2" t="s">
        <v>79</v>
      </c>
      <c r="BL108" s="2" t="s">
        <v>172</v>
      </c>
      <c r="BM108" s="2">
        <v>2004</v>
      </c>
    </row>
    <row r="109" spans="1:65" ht="405" x14ac:dyDescent="0.25">
      <c r="A109" s="2" t="s">
        <v>1436</v>
      </c>
      <c r="B109" s="2" t="s">
        <v>80</v>
      </c>
      <c r="C109" s="2" t="s">
        <v>1438</v>
      </c>
      <c r="D109" s="2" t="s">
        <v>80</v>
      </c>
      <c r="E109" s="2"/>
      <c r="F109" s="2"/>
      <c r="G109" s="2" t="s">
        <v>143</v>
      </c>
      <c r="H109" s="2" t="s">
        <v>80</v>
      </c>
      <c r="I109" s="2"/>
      <c r="J109" s="2" t="s">
        <v>111</v>
      </c>
      <c r="K109" s="2" t="s">
        <v>79</v>
      </c>
      <c r="L109" s="2"/>
      <c r="M109" s="2" t="s">
        <v>1439</v>
      </c>
      <c r="N109" s="2"/>
      <c r="O109" s="2"/>
      <c r="P109" s="2" t="s">
        <v>80</v>
      </c>
      <c r="Q109" s="2"/>
      <c r="R109" s="2"/>
      <c r="S109" s="2"/>
      <c r="T109" s="2" t="s">
        <v>639</v>
      </c>
      <c r="U109" s="2" t="s">
        <v>1440</v>
      </c>
      <c r="V109" s="2" t="s">
        <v>95</v>
      </c>
      <c r="W109" s="2"/>
      <c r="X109" s="2"/>
      <c r="Y109" s="2" t="s">
        <v>80</v>
      </c>
      <c r="Z109" s="2"/>
      <c r="AA109" s="2"/>
      <c r="AB109" s="2"/>
      <c r="AC109" s="2" t="s">
        <v>80</v>
      </c>
      <c r="AD109" s="2" t="s">
        <v>1441</v>
      </c>
      <c r="AE109" s="2" t="s">
        <v>1437</v>
      </c>
      <c r="AF109" s="2" t="s">
        <v>82</v>
      </c>
      <c r="AG109" s="2">
        <v>6.5</v>
      </c>
      <c r="AH109" s="2" t="s">
        <v>84</v>
      </c>
      <c r="AI109" s="2" t="s">
        <v>84</v>
      </c>
      <c r="AJ109" s="2" t="s">
        <v>84</v>
      </c>
      <c r="AK109" s="2" t="s">
        <v>86</v>
      </c>
      <c r="AL109" s="2" t="s">
        <v>84</v>
      </c>
      <c r="AM109" s="2" t="s">
        <v>84</v>
      </c>
      <c r="AN109" s="2" t="s">
        <v>84</v>
      </c>
      <c r="AO109" s="2" t="s">
        <v>86</v>
      </c>
      <c r="AP109" s="2" t="s">
        <v>86</v>
      </c>
      <c r="AQ109" s="2" t="s">
        <v>85</v>
      </c>
      <c r="AR109" s="2"/>
      <c r="AS109" s="2" t="s">
        <v>80</v>
      </c>
      <c r="AT109" s="2"/>
      <c r="AU109" s="2"/>
      <c r="AV109" s="2" t="s">
        <v>79</v>
      </c>
      <c r="AW109" s="2"/>
      <c r="AX109" s="2" t="s">
        <v>1442</v>
      </c>
      <c r="AY109" s="2" t="s">
        <v>303</v>
      </c>
      <c r="AZ109" s="2" t="s">
        <v>1443</v>
      </c>
      <c r="BA109" s="2" t="s">
        <v>514</v>
      </c>
      <c r="BB109" s="2" t="s">
        <v>79</v>
      </c>
      <c r="BC109" s="2" t="s">
        <v>1434</v>
      </c>
      <c r="BD109" s="2" t="s">
        <v>1444</v>
      </c>
      <c r="BE109" s="2" t="s">
        <v>648</v>
      </c>
      <c r="BF109" s="2"/>
      <c r="BG109" s="2" t="s">
        <v>80</v>
      </c>
      <c r="BH109" s="2" t="s">
        <v>79</v>
      </c>
      <c r="BI109" s="2"/>
      <c r="BJ109" s="2"/>
      <c r="BK109" s="2" t="s">
        <v>80</v>
      </c>
      <c r="BL109" s="2" t="s">
        <v>172</v>
      </c>
      <c r="BM109" s="2">
        <v>1999</v>
      </c>
    </row>
    <row r="110" spans="1:65" ht="409.5" x14ac:dyDescent="0.25">
      <c r="A110" s="2" t="s">
        <v>1425</v>
      </c>
      <c r="B110" s="2" t="s">
        <v>80</v>
      </c>
      <c r="C110" s="2" t="s">
        <v>1427</v>
      </c>
      <c r="D110" s="2" t="s">
        <v>80</v>
      </c>
      <c r="E110" s="2"/>
      <c r="F110" s="2"/>
      <c r="G110" s="2" t="s">
        <v>143</v>
      </c>
      <c r="H110" s="2" t="s">
        <v>80</v>
      </c>
      <c r="I110" s="2"/>
      <c r="J110" s="2" t="s">
        <v>111</v>
      </c>
      <c r="K110" s="2" t="s">
        <v>79</v>
      </c>
      <c r="L110" s="2"/>
      <c r="M110" s="2" t="s">
        <v>1428</v>
      </c>
      <c r="N110" s="2"/>
      <c r="O110" s="2"/>
      <c r="P110" s="2" t="s">
        <v>80</v>
      </c>
      <c r="Q110" s="2"/>
      <c r="R110" s="2"/>
      <c r="S110" s="2"/>
      <c r="T110" s="2" t="s">
        <v>1429</v>
      </c>
      <c r="U110" s="2" t="s">
        <v>1430</v>
      </c>
      <c r="V110" s="2" t="s">
        <v>95</v>
      </c>
      <c r="W110" s="2"/>
      <c r="X110" s="2"/>
      <c r="Y110" s="2" t="s">
        <v>80</v>
      </c>
      <c r="Z110" s="2"/>
      <c r="AA110" s="2"/>
      <c r="AB110" s="2"/>
      <c r="AC110" s="2" t="s">
        <v>80</v>
      </c>
      <c r="AD110" s="2" t="s">
        <v>1431</v>
      </c>
      <c r="AE110" s="2" t="s">
        <v>1426</v>
      </c>
      <c r="AF110" s="2" t="s">
        <v>82</v>
      </c>
      <c r="AG110" s="2">
        <v>6.5</v>
      </c>
      <c r="AH110" s="2" t="s">
        <v>84</v>
      </c>
      <c r="AI110" s="2" t="s">
        <v>84</v>
      </c>
      <c r="AJ110" s="2" t="s">
        <v>84</v>
      </c>
      <c r="AK110" s="2" t="s">
        <v>86</v>
      </c>
      <c r="AL110" s="2" t="s">
        <v>84</v>
      </c>
      <c r="AM110" s="2" t="s">
        <v>84</v>
      </c>
      <c r="AN110" s="2" t="s">
        <v>84</v>
      </c>
      <c r="AO110" s="2" t="s">
        <v>86</v>
      </c>
      <c r="AP110" s="2" t="s">
        <v>86</v>
      </c>
      <c r="AQ110" s="2" t="s">
        <v>85</v>
      </c>
      <c r="AR110" s="2"/>
      <c r="AS110" s="2" t="s">
        <v>80</v>
      </c>
      <c r="AT110" s="2"/>
      <c r="AU110" s="2"/>
      <c r="AV110" s="2" t="s">
        <v>79</v>
      </c>
      <c r="AW110" s="2"/>
      <c r="AX110" s="2" t="s">
        <v>1432</v>
      </c>
      <c r="AY110" s="2" t="s">
        <v>303</v>
      </c>
      <c r="AZ110" s="2" t="s">
        <v>1433</v>
      </c>
      <c r="BA110" s="2" t="s">
        <v>514</v>
      </c>
      <c r="BB110" s="2" t="s">
        <v>79</v>
      </c>
      <c r="BC110" s="2" t="s">
        <v>1434</v>
      </c>
      <c r="BD110" s="2" t="s">
        <v>1435</v>
      </c>
      <c r="BE110" s="2" t="s">
        <v>648</v>
      </c>
      <c r="BF110" s="2"/>
      <c r="BG110" s="2" t="s">
        <v>80</v>
      </c>
      <c r="BH110" s="2" t="s">
        <v>79</v>
      </c>
      <c r="BI110" s="2"/>
      <c r="BJ110" s="2"/>
      <c r="BK110" s="2" t="s">
        <v>80</v>
      </c>
      <c r="BL110" s="2" t="s">
        <v>172</v>
      </c>
      <c r="BM110" s="2">
        <v>1994</v>
      </c>
    </row>
    <row r="111" spans="1:65" ht="409.5" x14ac:dyDescent="0.25">
      <c r="A111" s="2" t="s">
        <v>1410</v>
      </c>
      <c r="B111" s="2" t="s">
        <v>92</v>
      </c>
      <c r="C111" s="2" t="s">
        <v>1412</v>
      </c>
      <c r="D111" s="2" t="s">
        <v>79</v>
      </c>
      <c r="E111" s="2"/>
      <c r="F111" s="2" t="s">
        <v>1413</v>
      </c>
      <c r="G111" s="2" t="s">
        <v>89</v>
      </c>
      <c r="H111" s="2" t="s">
        <v>79</v>
      </c>
      <c r="I111" s="2" t="s">
        <v>194</v>
      </c>
      <c r="J111" s="2" t="s">
        <v>111</v>
      </c>
      <c r="K111" s="2" t="s">
        <v>79</v>
      </c>
      <c r="L111" s="2"/>
      <c r="M111" s="2" t="s">
        <v>1414</v>
      </c>
      <c r="N111" s="2"/>
      <c r="O111" s="2"/>
      <c r="P111" s="2" t="s">
        <v>80</v>
      </c>
      <c r="Q111" s="2"/>
      <c r="R111" s="2" t="s">
        <v>92</v>
      </c>
      <c r="S111" s="2" t="s">
        <v>81</v>
      </c>
      <c r="T111" s="2" t="s">
        <v>357</v>
      </c>
      <c r="U111" s="2" t="s">
        <v>1415</v>
      </c>
      <c r="V111" s="2" t="s">
        <v>95</v>
      </c>
      <c r="W111" s="2" t="s">
        <v>1416</v>
      </c>
      <c r="X111" s="2" t="s">
        <v>1417</v>
      </c>
      <c r="Y111" s="2" t="s">
        <v>80</v>
      </c>
      <c r="Z111" s="2"/>
      <c r="AA111" s="2"/>
      <c r="AB111" s="2"/>
      <c r="AC111" s="2" t="s">
        <v>79</v>
      </c>
      <c r="AD111" s="2" t="s">
        <v>1418</v>
      </c>
      <c r="AE111" s="2" t="s">
        <v>1411</v>
      </c>
      <c r="AF111" s="2" t="s">
        <v>82</v>
      </c>
      <c r="AG111" s="2">
        <v>6.5</v>
      </c>
      <c r="AH111" s="2" t="s">
        <v>84</v>
      </c>
      <c r="AI111" s="2" t="s">
        <v>86</v>
      </c>
      <c r="AJ111" s="2" t="s">
        <v>84</v>
      </c>
      <c r="AK111" s="2" t="s">
        <v>84</v>
      </c>
      <c r="AL111" s="2" t="s">
        <v>84</v>
      </c>
      <c r="AM111" s="2" t="s">
        <v>84</v>
      </c>
      <c r="AN111" s="2" t="s">
        <v>86</v>
      </c>
      <c r="AO111" s="2" t="s">
        <v>86</v>
      </c>
      <c r="AP111" s="2" t="s">
        <v>84</v>
      </c>
      <c r="AQ111" s="2" t="s">
        <v>85</v>
      </c>
      <c r="AR111" s="2"/>
      <c r="AS111" s="2" t="s">
        <v>80</v>
      </c>
      <c r="AT111" s="2"/>
      <c r="AU111" s="2"/>
      <c r="AV111" s="2" t="s">
        <v>79</v>
      </c>
      <c r="AW111" s="2"/>
      <c r="AX111" s="2" t="s">
        <v>1419</v>
      </c>
      <c r="AY111" s="2" t="s">
        <v>100</v>
      </c>
      <c r="AZ111" s="2" t="s">
        <v>1420</v>
      </c>
      <c r="BA111" s="2" t="s">
        <v>102</v>
      </c>
      <c r="BB111" s="2" t="s">
        <v>79</v>
      </c>
      <c r="BC111" s="2"/>
      <c r="BD111" s="2" t="s">
        <v>1421</v>
      </c>
      <c r="BE111" s="2" t="s">
        <v>104</v>
      </c>
      <c r="BF111" s="2" t="s">
        <v>1422</v>
      </c>
      <c r="BG111" s="2" t="s">
        <v>80</v>
      </c>
      <c r="BH111" s="2" t="s">
        <v>80</v>
      </c>
      <c r="BI111" s="2" t="s">
        <v>107</v>
      </c>
      <c r="BJ111" s="2" t="s">
        <v>1423</v>
      </c>
      <c r="BK111" s="2" t="s">
        <v>79</v>
      </c>
      <c r="BL111" s="2" t="s">
        <v>1424</v>
      </c>
      <c r="BM111" s="2">
        <v>1966</v>
      </c>
    </row>
  </sheetData>
  <autoFilter ref="A1:BM11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111"/>
  <sheetViews>
    <sheetView showGridLines="0" workbookViewId="0">
      <pane ySplit="1" topLeftCell="A2" activePane="bottomLeft" state="frozen"/>
      <selection pane="bottomLeft"/>
    </sheetView>
  </sheetViews>
  <sheetFormatPr defaultRowHeight="15" x14ac:dyDescent="0.25"/>
  <cols>
    <col min="1" max="1" width="12.7109375" customWidth="1"/>
    <col min="2" max="2" width="28.7109375" customWidth="1"/>
    <col min="3" max="3" width="12.7109375" customWidth="1"/>
    <col min="4" max="4" width="13.7109375" customWidth="1"/>
    <col min="5" max="5" width="26.7109375" customWidth="1"/>
    <col min="6" max="6" width="13.7109375" customWidth="1"/>
    <col min="7" max="7" width="12.7109375" customWidth="1"/>
    <col min="8" max="8" width="30.7109375" customWidth="1"/>
    <col min="9" max="9" width="19.7109375" customWidth="1"/>
    <col min="10" max="10" width="12.7109375" customWidth="1"/>
    <col min="11" max="11" width="13.7109375" customWidth="1"/>
    <col min="12" max="12" width="26.7109375" customWidth="1"/>
    <col min="13" max="13" width="13.7109375" customWidth="1"/>
    <col min="14" max="14" width="22.7109375" customWidth="1"/>
    <col min="15" max="15" width="20.7109375" customWidth="1"/>
    <col min="16" max="18" width="21.7109375" customWidth="1"/>
    <col min="19" max="19" width="15.7109375" customWidth="1"/>
    <col min="20" max="20" width="18.7109375" customWidth="1"/>
    <col min="21" max="21" width="26.7109375" customWidth="1"/>
    <col min="22" max="22" width="21.7109375" customWidth="1"/>
    <col min="23" max="23" width="23.7109375" customWidth="1"/>
    <col min="24" max="24" width="14.7109375" customWidth="1"/>
    <col min="25" max="27" width="20.7109375" customWidth="1"/>
    <col min="28" max="28" width="12.7109375" customWidth="1"/>
    <col min="29" max="29" width="28.7109375" customWidth="1"/>
    <col min="30" max="30" width="26.7109375" customWidth="1"/>
    <col min="31" max="33" width="12.7109375" customWidth="1"/>
    <col min="34" max="39" width="30.7109375" customWidth="1"/>
    <col min="40" max="40" width="26.7109375" customWidth="1"/>
    <col min="41" max="43" width="30.7109375" customWidth="1"/>
    <col min="44" max="44" width="28.7109375" customWidth="1"/>
    <col min="45" max="46" width="18.7109375" customWidth="1"/>
    <col min="47" max="47" width="26.7109375" customWidth="1"/>
    <col min="48" max="48" width="13.7109375" customWidth="1"/>
    <col min="49" max="49" width="26.7109375" customWidth="1"/>
    <col min="50" max="50" width="13.7109375" customWidth="1"/>
    <col min="51" max="51" width="30.7109375" customWidth="1"/>
    <col min="52" max="52" width="14.7109375" customWidth="1"/>
    <col min="53" max="53" width="22.7109375" customWidth="1"/>
    <col min="54" max="54" width="23.7109375" customWidth="1"/>
    <col min="55" max="55" width="24.7109375" customWidth="1"/>
    <col min="56" max="56" width="12.7109375" customWidth="1"/>
    <col min="57" max="57" width="13.7109375" customWidth="1"/>
    <col min="58" max="58" width="17.7109375" customWidth="1"/>
    <col min="59" max="59" width="19.7109375" customWidth="1"/>
    <col min="60" max="60" width="20.7109375" customWidth="1"/>
    <col min="61" max="61" width="19.7109375" customWidth="1"/>
    <col min="62" max="62" width="20.7109375" customWidth="1"/>
    <col min="63" max="63" width="28.7109375" customWidth="1"/>
    <col min="64" max="65" width="12.7109375" customWidth="1"/>
  </cols>
  <sheetData>
    <row r="1" spans="1:65" ht="45" x14ac:dyDescent="0.25">
      <c r="A1" s="3" t="s">
        <v>12</v>
      </c>
      <c r="B1" s="3" t="s">
        <v>24</v>
      </c>
      <c r="C1" s="3" t="s">
        <v>39</v>
      </c>
      <c r="D1" s="3" t="s">
        <v>16</v>
      </c>
      <c r="E1" s="3" t="s">
        <v>40</v>
      </c>
      <c r="F1" s="3" t="s">
        <v>41</v>
      </c>
      <c r="G1" s="3" t="s">
        <v>42</v>
      </c>
      <c r="H1" s="3" t="s">
        <v>43</v>
      </c>
      <c r="I1" s="3" t="s">
        <v>44</v>
      </c>
      <c r="J1" s="3" t="s">
        <v>14</v>
      </c>
      <c r="K1" s="3" t="s">
        <v>15</v>
      </c>
      <c r="L1" s="3" t="s">
        <v>45</v>
      </c>
      <c r="M1" s="3" t="s">
        <v>46</v>
      </c>
      <c r="N1" s="3" t="s">
        <v>47</v>
      </c>
      <c r="O1" s="3" t="s">
        <v>48</v>
      </c>
      <c r="P1" s="3" t="s">
        <v>18</v>
      </c>
      <c r="Q1" s="3" t="s">
        <v>49</v>
      </c>
      <c r="R1" s="3" t="s">
        <v>50</v>
      </c>
      <c r="S1" s="3" t="s">
        <v>25</v>
      </c>
      <c r="T1" s="3" t="s">
        <v>51</v>
      </c>
      <c r="U1" s="3" t="s">
        <v>52</v>
      </c>
      <c r="V1" s="3" t="s">
        <v>53</v>
      </c>
      <c r="W1" s="3" t="s">
        <v>54</v>
      </c>
      <c r="X1" s="3" t="s">
        <v>55</v>
      </c>
      <c r="Y1" s="3" t="s">
        <v>21</v>
      </c>
      <c r="Z1" s="3" t="s">
        <v>56</v>
      </c>
      <c r="AA1" s="3" t="s">
        <v>57</v>
      </c>
      <c r="AB1" s="3" t="s">
        <v>58</v>
      </c>
      <c r="AC1" s="3" t="s">
        <v>20</v>
      </c>
      <c r="AD1" s="3" t="s">
        <v>59</v>
      </c>
      <c r="AE1" s="3" t="s">
        <v>28</v>
      </c>
      <c r="AF1" s="3" t="s">
        <v>27</v>
      </c>
      <c r="AG1" s="3" t="s">
        <v>26</v>
      </c>
      <c r="AH1" s="3" t="s">
        <v>29</v>
      </c>
      <c r="AI1" s="3" t="s">
        <v>38</v>
      </c>
      <c r="AJ1" s="3" t="s">
        <v>30</v>
      </c>
      <c r="AK1" s="3" t="s">
        <v>31</v>
      </c>
      <c r="AL1" s="3" t="s">
        <v>32</v>
      </c>
      <c r="AM1" s="3" t="s">
        <v>33</v>
      </c>
      <c r="AN1" s="3" t="s">
        <v>34</v>
      </c>
      <c r="AO1" s="3" t="s">
        <v>35</v>
      </c>
      <c r="AP1" s="3" t="s">
        <v>36</v>
      </c>
      <c r="AQ1" s="3" t="s">
        <v>37</v>
      </c>
      <c r="AR1" s="3" t="s">
        <v>60</v>
      </c>
      <c r="AS1" s="3" t="s">
        <v>22</v>
      </c>
      <c r="AT1" s="3" t="s">
        <v>61</v>
      </c>
      <c r="AU1" s="3" t="s">
        <v>62</v>
      </c>
      <c r="AV1" s="3" t="s">
        <v>17</v>
      </c>
      <c r="AW1" s="3" t="s">
        <v>63</v>
      </c>
      <c r="AX1" s="3" t="s">
        <v>64</v>
      </c>
      <c r="AY1" s="3" t="s">
        <v>65</v>
      </c>
      <c r="AZ1" s="3" t="s">
        <v>66</v>
      </c>
      <c r="BA1" s="3" t="s">
        <v>67</v>
      </c>
      <c r="BB1" s="3" t="s">
        <v>19</v>
      </c>
      <c r="BC1" s="3" t="s">
        <v>68</v>
      </c>
      <c r="BD1" s="3" t="s">
        <v>69</v>
      </c>
      <c r="BE1" s="3" t="s">
        <v>70</v>
      </c>
      <c r="BF1" s="3" t="s">
        <v>71</v>
      </c>
      <c r="BG1" s="3" t="s">
        <v>23</v>
      </c>
      <c r="BH1" s="3" t="s">
        <v>72</v>
      </c>
      <c r="BI1" s="3" t="s">
        <v>73</v>
      </c>
      <c r="BJ1" s="3" t="s">
        <v>74</v>
      </c>
      <c r="BK1" s="3" t="s">
        <v>75</v>
      </c>
      <c r="BL1" s="3" t="s">
        <v>76</v>
      </c>
      <c r="BM1" s="3" t="s">
        <v>13</v>
      </c>
    </row>
    <row r="2" spans="1:65" ht="409.5" x14ac:dyDescent="0.25">
      <c r="A2" s="2" t="s">
        <v>77</v>
      </c>
      <c r="B2" s="2" t="s">
        <v>79</v>
      </c>
      <c r="C2" s="2" t="s">
        <v>87</v>
      </c>
      <c r="D2" s="2" t="s">
        <v>79</v>
      </c>
      <c r="E2" s="2"/>
      <c r="F2" s="2" t="s">
        <v>88</v>
      </c>
      <c r="G2" s="2" t="s">
        <v>89</v>
      </c>
      <c r="H2" s="2" t="s">
        <v>79</v>
      </c>
      <c r="I2" s="2" t="s">
        <v>90</v>
      </c>
      <c r="J2" s="2" t="s">
        <v>78</v>
      </c>
      <c r="K2" s="2" t="s">
        <v>79</v>
      </c>
      <c r="L2" s="2"/>
      <c r="M2" s="2" t="s">
        <v>91</v>
      </c>
      <c r="N2" s="2"/>
      <c r="O2" s="2"/>
      <c r="P2" s="2" t="s">
        <v>80</v>
      </c>
      <c r="Q2" s="2"/>
      <c r="R2" s="2" t="s">
        <v>92</v>
      </c>
      <c r="S2" s="2" t="s">
        <v>81</v>
      </c>
      <c r="T2" s="2" t="s">
        <v>93</v>
      </c>
      <c r="U2" s="2" t="s">
        <v>94</v>
      </c>
      <c r="V2" s="2" t="s">
        <v>95</v>
      </c>
      <c r="W2" s="2" t="s">
        <v>96</v>
      </c>
      <c r="X2" s="2" t="s">
        <v>97</v>
      </c>
      <c r="Y2" s="2" t="s">
        <v>80</v>
      </c>
      <c r="Z2" s="2"/>
      <c r="AA2" s="2"/>
      <c r="AB2" s="2"/>
      <c r="AC2" s="2" t="s">
        <v>79</v>
      </c>
      <c r="AD2" s="2" t="s">
        <v>98</v>
      </c>
      <c r="AE2" s="2" t="s">
        <v>83</v>
      </c>
      <c r="AF2" s="2" t="s">
        <v>82</v>
      </c>
      <c r="AG2" s="2">
        <v>7</v>
      </c>
      <c r="AH2" s="2" t="s">
        <v>84</v>
      </c>
      <c r="AI2" s="2" t="s">
        <v>86</v>
      </c>
      <c r="AJ2" s="2" t="s">
        <v>84</v>
      </c>
      <c r="AK2" s="2" t="s">
        <v>84</v>
      </c>
      <c r="AL2" s="2" t="s">
        <v>84</v>
      </c>
      <c r="AM2" s="2" t="s">
        <v>84</v>
      </c>
      <c r="AN2" s="2" t="s">
        <v>85</v>
      </c>
      <c r="AO2" s="2" t="s">
        <v>86</v>
      </c>
      <c r="AP2" s="2" t="s">
        <v>84</v>
      </c>
      <c r="AQ2" s="2" t="s">
        <v>85</v>
      </c>
      <c r="AR2" s="2"/>
      <c r="AS2" s="2" t="s">
        <v>80</v>
      </c>
      <c r="AT2" s="2"/>
      <c r="AU2" s="2"/>
      <c r="AV2" s="2" t="s">
        <v>79</v>
      </c>
      <c r="AW2" s="2"/>
      <c r="AX2" s="2" t="s">
        <v>99</v>
      </c>
      <c r="AY2" s="2" t="s">
        <v>100</v>
      </c>
      <c r="AZ2" s="2" t="s">
        <v>101</v>
      </c>
      <c r="BA2" s="2" t="s">
        <v>102</v>
      </c>
      <c r="BB2" s="2" t="s">
        <v>79</v>
      </c>
      <c r="BC2" s="2"/>
      <c r="BD2" s="2" t="s">
        <v>103</v>
      </c>
      <c r="BE2" s="2" t="s">
        <v>104</v>
      </c>
      <c r="BF2" s="2" t="s">
        <v>105</v>
      </c>
      <c r="BG2" s="2" t="s">
        <v>79</v>
      </c>
      <c r="BH2" s="2" t="s">
        <v>106</v>
      </c>
      <c r="BI2" s="2" t="s">
        <v>107</v>
      </c>
      <c r="BJ2" s="2" t="s">
        <v>108</v>
      </c>
      <c r="BK2" s="2" t="s">
        <v>79</v>
      </c>
      <c r="BL2" s="2" t="s">
        <v>109</v>
      </c>
      <c r="BM2" s="2">
        <v>2008</v>
      </c>
    </row>
    <row r="3" spans="1:65" ht="409.5" x14ac:dyDescent="0.25">
      <c r="A3" s="2" t="s">
        <v>223</v>
      </c>
      <c r="B3" s="2" t="s">
        <v>79</v>
      </c>
      <c r="C3" s="2" t="s">
        <v>226</v>
      </c>
      <c r="D3" s="2" t="s">
        <v>79</v>
      </c>
      <c r="E3" s="2" t="s">
        <v>79</v>
      </c>
      <c r="F3" s="2" t="s">
        <v>227</v>
      </c>
      <c r="G3" s="2" t="s">
        <v>89</v>
      </c>
      <c r="H3" s="2" t="s">
        <v>79</v>
      </c>
      <c r="I3" s="2" t="s">
        <v>116</v>
      </c>
      <c r="J3" s="2" t="s">
        <v>189</v>
      </c>
      <c r="K3" s="2" t="s">
        <v>79</v>
      </c>
      <c r="L3" s="2" t="s">
        <v>79</v>
      </c>
      <c r="M3" s="2" t="s">
        <v>228</v>
      </c>
      <c r="N3" s="2"/>
      <c r="O3" s="2"/>
      <c r="P3" s="2" t="s">
        <v>80</v>
      </c>
      <c r="Q3" s="2"/>
      <c r="R3" s="2" t="s">
        <v>92</v>
      </c>
      <c r="S3" s="2" t="s">
        <v>224</v>
      </c>
      <c r="T3" s="2" t="s">
        <v>161</v>
      </c>
      <c r="U3" s="2" t="s">
        <v>229</v>
      </c>
      <c r="V3" s="2" t="s">
        <v>95</v>
      </c>
      <c r="W3" s="2" t="s">
        <v>230</v>
      </c>
      <c r="X3" s="2" t="s">
        <v>231</v>
      </c>
      <c r="Y3" s="2" t="s">
        <v>80</v>
      </c>
      <c r="Z3" s="2"/>
      <c r="AA3" s="2"/>
      <c r="AB3" s="2"/>
      <c r="AC3" s="2" t="s">
        <v>79</v>
      </c>
      <c r="AD3" s="2" t="s">
        <v>232</v>
      </c>
      <c r="AE3" s="2" t="s">
        <v>225</v>
      </c>
      <c r="AF3" s="2" t="s">
        <v>82</v>
      </c>
      <c r="AG3" s="2">
        <v>9.5</v>
      </c>
      <c r="AH3" s="2" t="s">
        <v>84</v>
      </c>
      <c r="AI3" s="2" t="s">
        <v>84</v>
      </c>
      <c r="AJ3" s="2" t="s">
        <v>84</v>
      </c>
      <c r="AK3" s="2" t="s">
        <v>84</v>
      </c>
      <c r="AL3" s="2" t="s">
        <v>84</v>
      </c>
      <c r="AM3" s="2" t="s">
        <v>84</v>
      </c>
      <c r="AN3" s="2" t="s">
        <v>84</v>
      </c>
      <c r="AO3" s="2" t="s">
        <v>84</v>
      </c>
      <c r="AP3" s="2" t="s">
        <v>84</v>
      </c>
      <c r="AQ3" s="2" t="s">
        <v>85</v>
      </c>
      <c r="AR3" s="2" t="s">
        <v>80</v>
      </c>
      <c r="AS3" s="2" t="s">
        <v>80</v>
      </c>
      <c r="AT3" s="2"/>
      <c r="AU3" s="2" t="s">
        <v>80</v>
      </c>
      <c r="AV3" s="2" t="s">
        <v>79</v>
      </c>
      <c r="AW3" s="2" t="s">
        <v>92</v>
      </c>
      <c r="AX3" s="2" t="s">
        <v>233</v>
      </c>
      <c r="AY3" s="2" t="s">
        <v>100</v>
      </c>
      <c r="AZ3" s="2" t="s">
        <v>234</v>
      </c>
      <c r="BA3" s="2" t="s">
        <v>202</v>
      </c>
      <c r="BB3" s="2" t="s">
        <v>79</v>
      </c>
      <c r="BC3" s="2" t="s">
        <v>203</v>
      </c>
      <c r="BD3" s="2" t="s">
        <v>235</v>
      </c>
      <c r="BE3" s="2" t="s">
        <v>104</v>
      </c>
      <c r="BF3" s="2" t="s">
        <v>236</v>
      </c>
      <c r="BG3" s="2" t="s">
        <v>79</v>
      </c>
      <c r="BH3" s="2" t="s">
        <v>79</v>
      </c>
      <c r="BI3" s="2" t="s">
        <v>107</v>
      </c>
      <c r="BJ3" s="2" t="s">
        <v>237</v>
      </c>
      <c r="BK3" s="2" t="s">
        <v>79</v>
      </c>
      <c r="BL3" s="2" t="s">
        <v>109</v>
      </c>
      <c r="BM3" s="2">
        <v>2015</v>
      </c>
    </row>
    <row r="4" spans="1:65" ht="409.5" x14ac:dyDescent="0.25">
      <c r="A4" s="2" t="s">
        <v>208</v>
      </c>
      <c r="B4" s="2" t="s">
        <v>80</v>
      </c>
      <c r="C4" s="2" t="s">
        <v>210</v>
      </c>
      <c r="D4" s="2" t="s">
        <v>79</v>
      </c>
      <c r="E4" s="2" t="s">
        <v>79</v>
      </c>
      <c r="F4" s="2" t="s">
        <v>211</v>
      </c>
      <c r="G4" s="2" t="s">
        <v>89</v>
      </c>
      <c r="H4" s="2" t="s">
        <v>106</v>
      </c>
      <c r="I4" s="2" t="s">
        <v>116</v>
      </c>
      <c r="J4" s="2" t="s">
        <v>111</v>
      </c>
      <c r="K4" s="2" t="s">
        <v>79</v>
      </c>
      <c r="L4" s="2" t="s">
        <v>92</v>
      </c>
      <c r="M4" s="2" t="s">
        <v>212</v>
      </c>
      <c r="N4" s="2"/>
      <c r="O4" s="2"/>
      <c r="P4" s="2" t="s">
        <v>80</v>
      </c>
      <c r="Q4" s="2"/>
      <c r="R4" s="2" t="s">
        <v>92</v>
      </c>
      <c r="S4" s="2" t="s">
        <v>112</v>
      </c>
      <c r="T4" s="2" t="s">
        <v>213</v>
      </c>
      <c r="U4" s="2" t="s">
        <v>214</v>
      </c>
      <c r="V4" s="2" t="s">
        <v>95</v>
      </c>
      <c r="W4" s="2" t="s">
        <v>215</v>
      </c>
      <c r="X4" s="2" t="s">
        <v>216</v>
      </c>
      <c r="Y4" s="2" t="s">
        <v>80</v>
      </c>
      <c r="Z4" s="2"/>
      <c r="AA4" s="2"/>
      <c r="AB4" s="2"/>
      <c r="AC4" s="2" t="s">
        <v>79</v>
      </c>
      <c r="AD4" s="2" t="s">
        <v>217</v>
      </c>
      <c r="AE4" s="2" t="s">
        <v>209</v>
      </c>
      <c r="AF4" s="2" t="s">
        <v>82</v>
      </c>
      <c r="AG4" s="2">
        <v>9.5</v>
      </c>
      <c r="AH4" s="2" t="s">
        <v>84</v>
      </c>
      <c r="AI4" s="2" t="s">
        <v>84</v>
      </c>
      <c r="AJ4" s="2" t="s">
        <v>84</v>
      </c>
      <c r="AK4" s="2" t="s">
        <v>84</v>
      </c>
      <c r="AL4" s="2" t="s">
        <v>84</v>
      </c>
      <c r="AM4" s="2" t="s">
        <v>84</v>
      </c>
      <c r="AN4" s="2" t="s">
        <v>84</v>
      </c>
      <c r="AO4" s="2" t="s">
        <v>84</v>
      </c>
      <c r="AP4" s="2" t="s">
        <v>84</v>
      </c>
      <c r="AQ4" s="2" t="s">
        <v>85</v>
      </c>
      <c r="AR4" s="2" t="s">
        <v>80</v>
      </c>
      <c r="AS4" s="2" t="s">
        <v>80</v>
      </c>
      <c r="AT4" s="2"/>
      <c r="AU4" s="2" t="s">
        <v>80</v>
      </c>
      <c r="AV4" s="2" t="s">
        <v>79</v>
      </c>
      <c r="AW4" s="2" t="s">
        <v>92</v>
      </c>
      <c r="AX4" s="2" t="s">
        <v>218</v>
      </c>
      <c r="AY4" s="2" t="s">
        <v>100</v>
      </c>
      <c r="AZ4" s="2" t="s">
        <v>219</v>
      </c>
      <c r="BA4" s="2" t="s">
        <v>102</v>
      </c>
      <c r="BB4" s="2" t="s">
        <v>79</v>
      </c>
      <c r="BC4" s="2" t="s">
        <v>168</v>
      </c>
      <c r="BD4" s="2" t="s">
        <v>220</v>
      </c>
      <c r="BE4" s="2" t="s">
        <v>153</v>
      </c>
      <c r="BF4" s="2" t="s">
        <v>221</v>
      </c>
      <c r="BG4" s="2" t="s">
        <v>80</v>
      </c>
      <c r="BH4" s="2" t="s">
        <v>79</v>
      </c>
      <c r="BI4" s="2" t="s">
        <v>107</v>
      </c>
      <c r="BJ4" s="2" t="s">
        <v>222</v>
      </c>
      <c r="BK4" s="2" t="s">
        <v>79</v>
      </c>
      <c r="BL4" s="2" t="s">
        <v>109</v>
      </c>
      <c r="BM4" s="2">
        <v>2013</v>
      </c>
    </row>
    <row r="5" spans="1:65" ht="409.5" x14ac:dyDescent="0.25">
      <c r="A5" s="2" t="s">
        <v>156</v>
      </c>
      <c r="B5" s="2" t="s">
        <v>92</v>
      </c>
      <c r="C5" s="2" t="s">
        <v>158</v>
      </c>
      <c r="D5" s="2" t="s">
        <v>79</v>
      </c>
      <c r="E5" s="2" t="s">
        <v>79</v>
      </c>
      <c r="F5" s="2" t="s">
        <v>159</v>
      </c>
      <c r="G5" s="2" t="s">
        <v>89</v>
      </c>
      <c r="H5" s="2" t="s">
        <v>106</v>
      </c>
      <c r="I5" s="2" t="s">
        <v>116</v>
      </c>
      <c r="J5" s="2" t="s">
        <v>111</v>
      </c>
      <c r="K5" s="2" t="s">
        <v>79</v>
      </c>
      <c r="L5" s="2" t="s">
        <v>92</v>
      </c>
      <c r="M5" s="2" t="s">
        <v>160</v>
      </c>
      <c r="N5" s="2"/>
      <c r="O5" s="2"/>
      <c r="P5" s="2" t="s">
        <v>80</v>
      </c>
      <c r="Q5" s="2"/>
      <c r="R5" s="2" t="s">
        <v>92</v>
      </c>
      <c r="S5" s="2" t="s">
        <v>112</v>
      </c>
      <c r="T5" s="2" t="s">
        <v>161</v>
      </c>
      <c r="U5" s="2" t="s">
        <v>162</v>
      </c>
      <c r="V5" s="2" t="s">
        <v>95</v>
      </c>
      <c r="W5" s="2" t="s">
        <v>163</v>
      </c>
      <c r="X5" s="2" t="s">
        <v>164</v>
      </c>
      <c r="Y5" s="2" t="s">
        <v>80</v>
      </c>
      <c r="Z5" s="2"/>
      <c r="AA5" s="2"/>
      <c r="AB5" s="2"/>
      <c r="AC5" s="2" t="s">
        <v>79</v>
      </c>
      <c r="AD5" s="2" t="s">
        <v>165</v>
      </c>
      <c r="AE5" s="2" t="s">
        <v>157</v>
      </c>
      <c r="AF5" s="2" t="s">
        <v>82</v>
      </c>
      <c r="AG5" s="2">
        <v>9.5</v>
      </c>
      <c r="AH5" s="2" t="s">
        <v>84</v>
      </c>
      <c r="AI5" s="2" t="s">
        <v>84</v>
      </c>
      <c r="AJ5" s="2" t="s">
        <v>84</v>
      </c>
      <c r="AK5" s="2" t="s">
        <v>84</v>
      </c>
      <c r="AL5" s="2" t="s">
        <v>84</v>
      </c>
      <c r="AM5" s="2" t="s">
        <v>84</v>
      </c>
      <c r="AN5" s="2" t="s">
        <v>84</v>
      </c>
      <c r="AO5" s="2" t="s">
        <v>84</v>
      </c>
      <c r="AP5" s="2" t="s">
        <v>84</v>
      </c>
      <c r="AQ5" s="2" t="s">
        <v>85</v>
      </c>
      <c r="AR5" s="2" t="s">
        <v>80</v>
      </c>
      <c r="AS5" s="2" t="s">
        <v>80</v>
      </c>
      <c r="AT5" s="2"/>
      <c r="AU5" s="2" t="s">
        <v>80</v>
      </c>
      <c r="AV5" s="2" t="s">
        <v>79</v>
      </c>
      <c r="AW5" s="2" t="s">
        <v>92</v>
      </c>
      <c r="AX5" s="2" t="s">
        <v>166</v>
      </c>
      <c r="AY5" s="2" t="s">
        <v>100</v>
      </c>
      <c r="AZ5" s="2" t="s">
        <v>167</v>
      </c>
      <c r="BA5" s="2" t="s">
        <v>102</v>
      </c>
      <c r="BB5" s="2" t="s">
        <v>79</v>
      </c>
      <c r="BC5" s="2" t="s">
        <v>168</v>
      </c>
      <c r="BD5" s="2" t="s">
        <v>169</v>
      </c>
      <c r="BE5" s="2" t="s">
        <v>153</v>
      </c>
      <c r="BF5" s="2" t="s">
        <v>170</v>
      </c>
      <c r="BG5" s="2" t="s">
        <v>80</v>
      </c>
      <c r="BH5" s="2" t="s">
        <v>79</v>
      </c>
      <c r="BI5" s="2" t="s">
        <v>107</v>
      </c>
      <c r="BJ5" s="2" t="s">
        <v>171</v>
      </c>
      <c r="BK5" s="2" t="s">
        <v>79</v>
      </c>
      <c r="BL5" s="2" t="s">
        <v>172</v>
      </c>
      <c r="BM5" s="2">
        <v>2012</v>
      </c>
    </row>
    <row r="6" spans="1:65" ht="409.5" x14ac:dyDescent="0.25">
      <c r="A6" s="2" t="s">
        <v>188</v>
      </c>
      <c r="B6" s="2" t="s">
        <v>79</v>
      </c>
      <c r="C6" s="2" t="s">
        <v>191</v>
      </c>
      <c r="D6" s="2" t="s">
        <v>79</v>
      </c>
      <c r="E6" s="2" t="s">
        <v>92</v>
      </c>
      <c r="F6" s="2" t="s">
        <v>192</v>
      </c>
      <c r="G6" s="2" t="s">
        <v>193</v>
      </c>
      <c r="H6" s="2" t="s">
        <v>79</v>
      </c>
      <c r="I6" s="2" t="s">
        <v>194</v>
      </c>
      <c r="J6" s="2" t="s">
        <v>189</v>
      </c>
      <c r="K6" s="2" t="s">
        <v>79</v>
      </c>
      <c r="L6" s="2" t="s">
        <v>79</v>
      </c>
      <c r="M6" s="2" t="s">
        <v>195</v>
      </c>
      <c r="N6" s="2"/>
      <c r="O6" s="2"/>
      <c r="P6" s="2" t="s">
        <v>80</v>
      </c>
      <c r="Q6" s="2"/>
      <c r="R6" s="2" t="s">
        <v>92</v>
      </c>
      <c r="S6" s="2" t="s">
        <v>81</v>
      </c>
      <c r="T6" s="2" t="s">
        <v>178</v>
      </c>
      <c r="U6" s="2" t="s">
        <v>196</v>
      </c>
      <c r="V6" s="2" t="s">
        <v>95</v>
      </c>
      <c r="W6" s="2" t="s">
        <v>197</v>
      </c>
      <c r="X6" s="2" t="s">
        <v>198</v>
      </c>
      <c r="Y6" s="2" t="s">
        <v>80</v>
      </c>
      <c r="Z6" s="2"/>
      <c r="AA6" s="2"/>
      <c r="AB6" s="2"/>
      <c r="AC6" s="2" t="s">
        <v>79</v>
      </c>
      <c r="AD6" s="2" t="s">
        <v>199</v>
      </c>
      <c r="AE6" s="2" t="s">
        <v>190</v>
      </c>
      <c r="AF6" s="2" t="s">
        <v>82</v>
      </c>
      <c r="AG6" s="2">
        <v>9</v>
      </c>
      <c r="AH6" s="2" t="s">
        <v>84</v>
      </c>
      <c r="AI6" s="2" t="s">
        <v>84</v>
      </c>
      <c r="AJ6" s="2" t="s">
        <v>84</v>
      </c>
      <c r="AK6" s="2" t="s">
        <v>84</v>
      </c>
      <c r="AL6" s="2" t="s">
        <v>84</v>
      </c>
      <c r="AM6" s="2" t="s">
        <v>84</v>
      </c>
      <c r="AN6" s="2" t="s">
        <v>85</v>
      </c>
      <c r="AO6" s="2" t="s">
        <v>84</v>
      </c>
      <c r="AP6" s="2" t="s">
        <v>84</v>
      </c>
      <c r="AQ6" s="2" t="s">
        <v>85</v>
      </c>
      <c r="AR6" s="2" t="s">
        <v>80</v>
      </c>
      <c r="AS6" s="2" t="s">
        <v>80</v>
      </c>
      <c r="AT6" s="2"/>
      <c r="AU6" s="2" t="s">
        <v>80</v>
      </c>
      <c r="AV6" s="2" t="s">
        <v>79</v>
      </c>
      <c r="AW6" s="2" t="s">
        <v>92</v>
      </c>
      <c r="AX6" s="2" t="s">
        <v>200</v>
      </c>
      <c r="AY6" s="2" t="s">
        <v>100</v>
      </c>
      <c r="AZ6" s="2" t="s">
        <v>201</v>
      </c>
      <c r="BA6" s="2" t="s">
        <v>202</v>
      </c>
      <c r="BB6" s="2" t="s">
        <v>79</v>
      </c>
      <c r="BC6" s="2" t="s">
        <v>203</v>
      </c>
      <c r="BD6" s="2" t="s">
        <v>204</v>
      </c>
      <c r="BE6" s="2" t="s">
        <v>104</v>
      </c>
      <c r="BF6" s="2" t="s">
        <v>205</v>
      </c>
      <c r="BG6" s="2" t="s">
        <v>79</v>
      </c>
      <c r="BH6" s="2" t="s">
        <v>106</v>
      </c>
      <c r="BI6" s="2" t="s">
        <v>206</v>
      </c>
      <c r="BJ6" s="2" t="s">
        <v>207</v>
      </c>
      <c r="BK6" s="2" t="s">
        <v>79</v>
      </c>
      <c r="BL6" s="2" t="s">
        <v>109</v>
      </c>
      <c r="BM6" s="2">
        <v>2013</v>
      </c>
    </row>
    <row r="7" spans="1:65" ht="409.5" x14ac:dyDescent="0.25">
      <c r="A7" s="2" t="s">
        <v>238</v>
      </c>
      <c r="B7" s="2" t="s">
        <v>79</v>
      </c>
      <c r="C7" s="2" t="s">
        <v>240</v>
      </c>
      <c r="D7" s="2" t="s">
        <v>79</v>
      </c>
      <c r="E7" s="2" t="s">
        <v>79</v>
      </c>
      <c r="F7" s="2" t="s">
        <v>241</v>
      </c>
      <c r="G7" s="2" t="s">
        <v>89</v>
      </c>
      <c r="H7" s="2" t="s">
        <v>79</v>
      </c>
      <c r="I7" s="2" t="s">
        <v>116</v>
      </c>
      <c r="J7" s="2" t="s">
        <v>78</v>
      </c>
      <c r="K7" s="2" t="s">
        <v>79</v>
      </c>
      <c r="L7" s="2" t="s">
        <v>92</v>
      </c>
      <c r="M7" s="2" t="s">
        <v>242</v>
      </c>
      <c r="N7" s="2"/>
      <c r="O7" s="2"/>
      <c r="P7" s="2" t="s">
        <v>80</v>
      </c>
      <c r="Q7" s="2"/>
      <c r="R7" s="2" t="s">
        <v>92</v>
      </c>
      <c r="S7" s="2" t="s">
        <v>224</v>
      </c>
      <c r="T7" s="2" t="s">
        <v>243</v>
      </c>
      <c r="U7" s="2" t="s">
        <v>244</v>
      </c>
      <c r="V7" s="2" t="s">
        <v>95</v>
      </c>
      <c r="W7" s="2" t="s">
        <v>245</v>
      </c>
      <c r="X7" s="2" t="s">
        <v>246</v>
      </c>
      <c r="Y7" s="2" t="s">
        <v>80</v>
      </c>
      <c r="Z7" s="2"/>
      <c r="AA7" s="2"/>
      <c r="AB7" s="2"/>
      <c r="AC7" s="2" t="s">
        <v>79</v>
      </c>
      <c r="AD7" s="2" t="s">
        <v>247</v>
      </c>
      <c r="AE7" s="2" t="s">
        <v>239</v>
      </c>
      <c r="AF7" s="2" t="s">
        <v>82</v>
      </c>
      <c r="AG7" s="2">
        <v>10</v>
      </c>
      <c r="AH7" s="2" t="s">
        <v>84</v>
      </c>
      <c r="AI7" s="2" t="s">
        <v>84</v>
      </c>
      <c r="AJ7" s="2" t="s">
        <v>84</v>
      </c>
      <c r="AK7" s="2" t="s">
        <v>84</v>
      </c>
      <c r="AL7" s="2" t="s">
        <v>84</v>
      </c>
      <c r="AM7" s="2" t="s">
        <v>84</v>
      </c>
      <c r="AN7" s="2" t="s">
        <v>84</v>
      </c>
      <c r="AO7" s="2" t="s">
        <v>84</v>
      </c>
      <c r="AP7" s="2" t="s">
        <v>84</v>
      </c>
      <c r="AQ7" s="2" t="s">
        <v>84</v>
      </c>
      <c r="AR7" s="2" t="s">
        <v>80</v>
      </c>
      <c r="AS7" s="2" t="s">
        <v>80</v>
      </c>
      <c r="AT7" s="2"/>
      <c r="AU7" s="2" t="s">
        <v>80</v>
      </c>
      <c r="AV7" s="2" t="s">
        <v>79</v>
      </c>
      <c r="AW7" s="2" t="s">
        <v>92</v>
      </c>
      <c r="AX7" s="2" t="s">
        <v>248</v>
      </c>
      <c r="AY7" s="2" t="s">
        <v>100</v>
      </c>
      <c r="AZ7" s="2" t="s">
        <v>249</v>
      </c>
      <c r="BA7" s="2" t="s">
        <v>102</v>
      </c>
      <c r="BB7" s="2" t="s">
        <v>79</v>
      </c>
      <c r="BC7" s="2" t="s">
        <v>203</v>
      </c>
      <c r="BD7" s="2" t="s">
        <v>250</v>
      </c>
      <c r="BE7" s="2" t="s">
        <v>153</v>
      </c>
      <c r="BF7" s="2" t="s">
        <v>251</v>
      </c>
      <c r="BG7" s="2" t="s">
        <v>92</v>
      </c>
      <c r="BH7" s="2" t="s">
        <v>79</v>
      </c>
      <c r="BI7" s="2"/>
      <c r="BJ7" s="2" t="s">
        <v>252</v>
      </c>
      <c r="BK7" s="2" t="s">
        <v>79</v>
      </c>
      <c r="BL7" s="2" t="s">
        <v>109</v>
      </c>
      <c r="BM7" s="2">
        <v>2016</v>
      </c>
    </row>
    <row r="8" spans="1:65" ht="409.5" x14ac:dyDescent="0.25">
      <c r="A8" s="2" t="s">
        <v>110</v>
      </c>
      <c r="B8" s="2" t="s">
        <v>80</v>
      </c>
      <c r="C8" s="2" t="s">
        <v>114</v>
      </c>
      <c r="D8" s="2" t="s">
        <v>79</v>
      </c>
      <c r="E8" s="2"/>
      <c r="F8" s="2" t="s">
        <v>115</v>
      </c>
      <c r="G8" s="2" t="s">
        <v>89</v>
      </c>
      <c r="H8" s="2" t="s">
        <v>106</v>
      </c>
      <c r="I8" s="2" t="s">
        <v>116</v>
      </c>
      <c r="J8" s="2" t="s">
        <v>111</v>
      </c>
      <c r="K8" s="2" t="s">
        <v>79</v>
      </c>
      <c r="L8" s="2"/>
      <c r="M8" s="2" t="s">
        <v>117</v>
      </c>
      <c r="N8" s="2"/>
      <c r="O8" s="2"/>
      <c r="P8" s="2" t="s">
        <v>80</v>
      </c>
      <c r="Q8" s="2"/>
      <c r="R8" s="2" t="s">
        <v>92</v>
      </c>
      <c r="S8" s="2" t="s">
        <v>112</v>
      </c>
      <c r="T8" s="2" t="s">
        <v>118</v>
      </c>
      <c r="U8" s="2" t="s">
        <v>119</v>
      </c>
      <c r="V8" s="2" t="s">
        <v>95</v>
      </c>
      <c r="W8" s="2" t="s">
        <v>120</v>
      </c>
      <c r="X8" s="2" t="s">
        <v>121</v>
      </c>
      <c r="Y8" s="2" t="s">
        <v>80</v>
      </c>
      <c r="Z8" s="2"/>
      <c r="AA8" s="2"/>
      <c r="AB8" s="2"/>
      <c r="AC8" s="2" t="s">
        <v>79</v>
      </c>
      <c r="AD8" s="2" t="s">
        <v>122</v>
      </c>
      <c r="AE8" s="2" t="s">
        <v>113</v>
      </c>
      <c r="AF8" s="2" t="s">
        <v>82</v>
      </c>
      <c r="AG8" s="2">
        <v>7.5</v>
      </c>
      <c r="AH8" s="2" t="s">
        <v>84</v>
      </c>
      <c r="AI8" s="2" t="s">
        <v>86</v>
      </c>
      <c r="AJ8" s="2" t="s">
        <v>85</v>
      </c>
      <c r="AK8" s="2" t="s">
        <v>84</v>
      </c>
      <c r="AL8" s="2" t="s">
        <v>84</v>
      </c>
      <c r="AM8" s="2" t="s">
        <v>84</v>
      </c>
      <c r="AN8" s="2" t="s">
        <v>84</v>
      </c>
      <c r="AO8" s="2" t="s">
        <v>84</v>
      </c>
      <c r="AP8" s="2" t="s">
        <v>84</v>
      </c>
      <c r="AQ8" s="2" t="s">
        <v>86</v>
      </c>
      <c r="AR8" s="2"/>
      <c r="AS8" s="2" t="s">
        <v>80</v>
      </c>
      <c r="AT8" s="2"/>
      <c r="AU8" s="2"/>
      <c r="AV8" s="2" t="s">
        <v>79</v>
      </c>
      <c r="AW8" s="2"/>
      <c r="AX8" s="2" t="s">
        <v>123</v>
      </c>
      <c r="AY8" s="2" t="s">
        <v>100</v>
      </c>
      <c r="AZ8" s="2" t="s">
        <v>124</v>
      </c>
      <c r="BA8" s="2" t="s">
        <v>102</v>
      </c>
      <c r="BB8" s="2" t="s">
        <v>79</v>
      </c>
      <c r="BC8" s="2"/>
      <c r="BD8" s="2" t="s">
        <v>125</v>
      </c>
      <c r="BE8" s="2" t="s">
        <v>104</v>
      </c>
      <c r="BF8" s="2" t="s">
        <v>126</v>
      </c>
      <c r="BG8" s="2" t="s">
        <v>106</v>
      </c>
      <c r="BH8" s="2" t="s">
        <v>79</v>
      </c>
      <c r="BI8" s="2" t="s">
        <v>107</v>
      </c>
      <c r="BJ8" s="2" t="s">
        <v>127</v>
      </c>
      <c r="BK8" s="2" t="s">
        <v>79</v>
      </c>
      <c r="BL8" s="2" t="s">
        <v>109</v>
      </c>
      <c r="BM8" s="2">
        <v>2008</v>
      </c>
    </row>
    <row r="9" spans="1:65" ht="409.5" x14ac:dyDescent="0.25">
      <c r="A9" s="2" t="s">
        <v>128</v>
      </c>
      <c r="B9" s="2" t="s">
        <v>80</v>
      </c>
      <c r="C9" s="2" t="s">
        <v>130</v>
      </c>
      <c r="D9" s="2" t="s">
        <v>79</v>
      </c>
      <c r="E9" s="2"/>
      <c r="F9" s="2" t="s">
        <v>115</v>
      </c>
      <c r="G9" s="2" t="s">
        <v>89</v>
      </c>
      <c r="H9" s="2" t="s">
        <v>106</v>
      </c>
      <c r="I9" s="2" t="s">
        <v>116</v>
      </c>
      <c r="J9" s="2" t="s">
        <v>111</v>
      </c>
      <c r="K9" s="2" t="s">
        <v>79</v>
      </c>
      <c r="L9" s="2"/>
      <c r="M9" s="2" t="s">
        <v>117</v>
      </c>
      <c r="N9" s="2"/>
      <c r="O9" s="2"/>
      <c r="P9" s="2" t="s">
        <v>80</v>
      </c>
      <c r="Q9" s="2"/>
      <c r="R9" s="2" t="s">
        <v>92</v>
      </c>
      <c r="S9" s="2" t="s">
        <v>112</v>
      </c>
      <c r="T9" s="2" t="s">
        <v>118</v>
      </c>
      <c r="U9" s="2" t="s">
        <v>119</v>
      </c>
      <c r="V9" s="2" t="s">
        <v>95</v>
      </c>
      <c r="W9" s="2" t="s">
        <v>131</v>
      </c>
      <c r="X9" s="2" t="s">
        <v>132</v>
      </c>
      <c r="Y9" s="2" t="s">
        <v>80</v>
      </c>
      <c r="Z9" s="2"/>
      <c r="AA9" s="2"/>
      <c r="AB9" s="2" t="s">
        <v>133</v>
      </c>
      <c r="AC9" s="2" t="s">
        <v>79</v>
      </c>
      <c r="AD9" s="2" t="s">
        <v>134</v>
      </c>
      <c r="AE9" s="2" t="s">
        <v>129</v>
      </c>
      <c r="AF9" s="2" t="s">
        <v>82</v>
      </c>
      <c r="AG9" s="2">
        <v>7.5</v>
      </c>
      <c r="AH9" s="2" t="s">
        <v>84</v>
      </c>
      <c r="AI9" s="2" t="s">
        <v>86</v>
      </c>
      <c r="AJ9" s="2" t="s">
        <v>85</v>
      </c>
      <c r="AK9" s="2" t="s">
        <v>84</v>
      </c>
      <c r="AL9" s="2" t="s">
        <v>84</v>
      </c>
      <c r="AM9" s="2" t="s">
        <v>84</v>
      </c>
      <c r="AN9" s="2" t="s">
        <v>84</v>
      </c>
      <c r="AO9" s="2" t="s">
        <v>84</v>
      </c>
      <c r="AP9" s="2" t="s">
        <v>84</v>
      </c>
      <c r="AQ9" s="2" t="s">
        <v>86</v>
      </c>
      <c r="AR9" s="2"/>
      <c r="AS9" s="2" t="s">
        <v>80</v>
      </c>
      <c r="AT9" s="2"/>
      <c r="AU9" s="2"/>
      <c r="AV9" s="2" t="s">
        <v>79</v>
      </c>
      <c r="AW9" s="2"/>
      <c r="AX9" s="2" t="s">
        <v>135</v>
      </c>
      <c r="AY9" s="2" t="s">
        <v>100</v>
      </c>
      <c r="AZ9" s="2" t="s">
        <v>136</v>
      </c>
      <c r="BA9" s="2" t="s">
        <v>102</v>
      </c>
      <c r="BB9" s="2" t="s">
        <v>79</v>
      </c>
      <c r="BC9" s="2"/>
      <c r="BD9" s="2" t="s">
        <v>137</v>
      </c>
      <c r="BE9" s="2" t="s">
        <v>104</v>
      </c>
      <c r="BF9" s="2" t="s">
        <v>138</v>
      </c>
      <c r="BG9" s="2" t="s">
        <v>106</v>
      </c>
      <c r="BH9" s="2" t="s">
        <v>79</v>
      </c>
      <c r="BI9" s="2" t="s">
        <v>107</v>
      </c>
      <c r="BJ9" s="2" t="s">
        <v>127</v>
      </c>
      <c r="BK9" s="2" t="s">
        <v>79</v>
      </c>
      <c r="BL9" s="2" t="s">
        <v>109</v>
      </c>
      <c r="BM9" s="2">
        <v>2008</v>
      </c>
    </row>
    <row r="10" spans="1:65" ht="409.5" x14ac:dyDescent="0.25">
      <c r="A10" s="2" t="s">
        <v>173</v>
      </c>
      <c r="B10" s="2" t="s">
        <v>80</v>
      </c>
      <c r="C10" s="2" t="s">
        <v>175</v>
      </c>
      <c r="D10" s="2" t="s">
        <v>79</v>
      </c>
      <c r="E10" s="2" t="s">
        <v>79</v>
      </c>
      <c r="F10" s="2" t="s">
        <v>176</v>
      </c>
      <c r="G10" s="2" t="s">
        <v>89</v>
      </c>
      <c r="H10" s="2" t="s">
        <v>106</v>
      </c>
      <c r="I10" s="2" t="s">
        <v>116</v>
      </c>
      <c r="J10" s="2" t="s">
        <v>111</v>
      </c>
      <c r="K10" s="2" t="s">
        <v>79</v>
      </c>
      <c r="L10" s="2" t="s">
        <v>92</v>
      </c>
      <c r="M10" s="2" t="s">
        <v>177</v>
      </c>
      <c r="N10" s="2"/>
      <c r="O10" s="2"/>
      <c r="P10" s="2" t="s">
        <v>80</v>
      </c>
      <c r="Q10" s="2"/>
      <c r="R10" s="2" t="s">
        <v>92</v>
      </c>
      <c r="S10" s="2" t="s">
        <v>112</v>
      </c>
      <c r="T10" s="2" t="s">
        <v>178</v>
      </c>
      <c r="U10" s="2" t="s">
        <v>179</v>
      </c>
      <c r="V10" s="2" t="s">
        <v>95</v>
      </c>
      <c r="W10" s="2" t="s">
        <v>180</v>
      </c>
      <c r="X10" s="2" t="s">
        <v>181</v>
      </c>
      <c r="Y10" s="2" t="s">
        <v>80</v>
      </c>
      <c r="Z10" s="2"/>
      <c r="AA10" s="2"/>
      <c r="AB10" s="2"/>
      <c r="AC10" s="2" t="s">
        <v>79</v>
      </c>
      <c r="AD10" s="2" t="s">
        <v>182</v>
      </c>
      <c r="AE10" s="2" t="s">
        <v>174</v>
      </c>
      <c r="AF10" s="2" t="s">
        <v>82</v>
      </c>
      <c r="AG10" s="2">
        <v>9.5</v>
      </c>
      <c r="AH10" s="2" t="s">
        <v>84</v>
      </c>
      <c r="AI10" s="2" t="s">
        <v>84</v>
      </c>
      <c r="AJ10" s="2" t="s">
        <v>84</v>
      </c>
      <c r="AK10" s="2" t="s">
        <v>84</v>
      </c>
      <c r="AL10" s="2" t="s">
        <v>84</v>
      </c>
      <c r="AM10" s="2" t="s">
        <v>84</v>
      </c>
      <c r="AN10" s="2" t="s">
        <v>84</v>
      </c>
      <c r="AO10" s="2" t="s">
        <v>84</v>
      </c>
      <c r="AP10" s="2" t="s">
        <v>84</v>
      </c>
      <c r="AQ10" s="2" t="s">
        <v>85</v>
      </c>
      <c r="AR10" s="2" t="s">
        <v>80</v>
      </c>
      <c r="AS10" s="2" t="s">
        <v>80</v>
      </c>
      <c r="AT10" s="2"/>
      <c r="AU10" s="2" t="s">
        <v>80</v>
      </c>
      <c r="AV10" s="2" t="s">
        <v>79</v>
      </c>
      <c r="AW10" s="2" t="s">
        <v>92</v>
      </c>
      <c r="AX10" s="2" t="s">
        <v>183</v>
      </c>
      <c r="AY10" s="2" t="s">
        <v>100</v>
      </c>
      <c r="AZ10" s="2" t="s">
        <v>184</v>
      </c>
      <c r="BA10" s="2" t="s">
        <v>102</v>
      </c>
      <c r="BB10" s="2" t="s">
        <v>79</v>
      </c>
      <c r="BC10" s="2" t="s">
        <v>168</v>
      </c>
      <c r="BD10" s="2" t="s">
        <v>185</v>
      </c>
      <c r="BE10" s="2" t="s">
        <v>153</v>
      </c>
      <c r="BF10" s="2" t="s">
        <v>186</v>
      </c>
      <c r="BG10" s="2" t="s">
        <v>92</v>
      </c>
      <c r="BH10" s="2" t="s">
        <v>79</v>
      </c>
      <c r="BI10" s="2" t="s">
        <v>107</v>
      </c>
      <c r="BJ10" s="2" t="s">
        <v>187</v>
      </c>
      <c r="BK10" s="2" t="s">
        <v>79</v>
      </c>
      <c r="BL10" s="2" t="s">
        <v>109</v>
      </c>
      <c r="BM10" s="2">
        <v>2012</v>
      </c>
    </row>
    <row r="11" spans="1:65" ht="409.5" x14ac:dyDescent="0.25">
      <c r="A11" s="2" t="s">
        <v>139</v>
      </c>
      <c r="B11" s="2" t="s">
        <v>92</v>
      </c>
      <c r="C11" s="2" t="s">
        <v>141</v>
      </c>
      <c r="D11" s="2" t="s">
        <v>79</v>
      </c>
      <c r="E11" s="2"/>
      <c r="F11" s="2" t="s">
        <v>142</v>
      </c>
      <c r="G11" s="2" t="s">
        <v>143</v>
      </c>
      <c r="H11" s="2" t="s">
        <v>79</v>
      </c>
      <c r="I11" s="2" t="s">
        <v>90</v>
      </c>
      <c r="J11" s="2" t="s">
        <v>111</v>
      </c>
      <c r="K11" s="2" t="s">
        <v>79</v>
      </c>
      <c r="L11" s="2"/>
      <c r="M11" s="2" t="s">
        <v>144</v>
      </c>
      <c r="N11" s="2"/>
      <c r="O11" s="2"/>
      <c r="P11" s="2" t="s">
        <v>80</v>
      </c>
      <c r="Q11" s="2"/>
      <c r="R11" s="2" t="s">
        <v>92</v>
      </c>
      <c r="S11" s="2" t="s">
        <v>112</v>
      </c>
      <c r="T11" s="2" t="s">
        <v>145</v>
      </c>
      <c r="U11" s="2" t="s">
        <v>146</v>
      </c>
      <c r="V11" s="2" t="s">
        <v>95</v>
      </c>
      <c r="W11" s="2" t="s">
        <v>147</v>
      </c>
      <c r="X11" s="2" t="s">
        <v>148</v>
      </c>
      <c r="Y11" s="2" t="s">
        <v>80</v>
      </c>
      <c r="Z11" s="2"/>
      <c r="AA11" s="2"/>
      <c r="AB11" s="2"/>
      <c r="AC11" s="2" t="s">
        <v>79</v>
      </c>
      <c r="AD11" s="2" t="s">
        <v>149</v>
      </c>
      <c r="AE11" s="2" t="s">
        <v>140</v>
      </c>
      <c r="AF11" s="2" t="s">
        <v>82</v>
      </c>
      <c r="AG11" s="2">
        <v>9</v>
      </c>
      <c r="AH11" s="2" t="s">
        <v>84</v>
      </c>
      <c r="AI11" s="2" t="s">
        <v>84</v>
      </c>
      <c r="AJ11" s="2" t="s">
        <v>84</v>
      </c>
      <c r="AK11" s="2" t="s">
        <v>84</v>
      </c>
      <c r="AL11" s="2" t="s">
        <v>84</v>
      </c>
      <c r="AM11" s="2" t="s">
        <v>84</v>
      </c>
      <c r="AN11" s="2" t="s">
        <v>84</v>
      </c>
      <c r="AO11" s="2" t="s">
        <v>84</v>
      </c>
      <c r="AP11" s="2" t="s">
        <v>85</v>
      </c>
      <c r="AQ11" s="2" t="s">
        <v>85</v>
      </c>
      <c r="AR11" s="2"/>
      <c r="AS11" s="2" t="s">
        <v>80</v>
      </c>
      <c r="AT11" s="2"/>
      <c r="AU11" s="2"/>
      <c r="AV11" s="2" t="s">
        <v>79</v>
      </c>
      <c r="AW11" s="2"/>
      <c r="AX11" s="2" t="s">
        <v>150</v>
      </c>
      <c r="AY11" s="2" t="s">
        <v>100</v>
      </c>
      <c r="AZ11" s="2" t="s">
        <v>151</v>
      </c>
      <c r="BA11" s="2" t="s">
        <v>102</v>
      </c>
      <c r="BB11" s="2" t="s">
        <v>79</v>
      </c>
      <c r="BC11" s="2"/>
      <c r="BD11" s="2" t="s">
        <v>152</v>
      </c>
      <c r="BE11" s="2" t="s">
        <v>153</v>
      </c>
      <c r="BF11" s="2" t="s">
        <v>154</v>
      </c>
      <c r="BG11" s="2" t="s">
        <v>106</v>
      </c>
      <c r="BH11" s="2" t="s">
        <v>79</v>
      </c>
      <c r="BI11" s="2" t="s">
        <v>155</v>
      </c>
      <c r="BJ11" s="2"/>
      <c r="BK11" s="2" t="s">
        <v>80</v>
      </c>
      <c r="BL11" s="2" t="s">
        <v>109</v>
      </c>
      <c r="BM11" s="2">
        <v>2012</v>
      </c>
    </row>
    <row r="12" spans="1:65" ht="409.5" x14ac:dyDescent="0.25">
      <c r="A12" s="2" t="s">
        <v>352</v>
      </c>
      <c r="B12" s="2" t="s">
        <v>92</v>
      </c>
      <c r="C12" s="2" t="s">
        <v>354</v>
      </c>
      <c r="D12" s="2" t="s">
        <v>79</v>
      </c>
      <c r="E12" s="2" t="s">
        <v>79</v>
      </c>
      <c r="F12" s="2" t="s">
        <v>355</v>
      </c>
      <c r="G12" s="2" t="s">
        <v>89</v>
      </c>
      <c r="H12" s="2" t="s">
        <v>79</v>
      </c>
      <c r="I12" s="2" t="s">
        <v>90</v>
      </c>
      <c r="J12" s="2" t="s">
        <v>270</v>
      </c>
      <c r="K12" s="2" t="s">
        <v>79</v>
      </c>
      <c r="L12" s="2" t="s">
        <v>92</v>
      </c>
      <c r="M12" s="2" t="s">
        <v>356</v>
      </c>
      <c r="N12" s="2"/>
      <c r="O12" s="2"/>
      <c r="P12" s="2" t="s">
        <v>80</v>
      </c>
      <c r="Q12" s="2"/>
      <c r="R12" s="2" t="s">
        <v>92</v>
      </c>
      <c r="S12" s="2" t="s">
        <v>224</v>
      </c>
      <c r="T12" s="2" t="s">
        <v>357</v>
      </c>
      <c r="U12" s="2" t="s">
        <v>358</v>
      </c>
      <c r="V12" s="2" t="s">
        <v>95</v>
      </c>
      <c r="W12" s="2" t="s">
        <v>359</v>
      </c>
      <c r="X12" s="2" t="s">
        <v>360</v>
      </c>
      <c r="Y12" s="2" t="s">
        <v>80</v>
      </c>
      <c r="Z12" s="2"/>
      <c r="AA12" s="2"/>
      <c r="AB12" s="2"/>
      <c r="AC12" s="2" t="s">
        <v>79</v>
      </c>
      <c r="AD12" s="2" t="s">
        <v>361</v>
      </c>
      <c r="AE12" s="2" t="s">
        <v>353</v>
      </c>
      <c r="AF12" s="2" t="s">
        <v>82</v>
      </c>
      <c r="AG12" s="2">
        <v>9</v>
      </c>
      <c r="AH12" s="2" t="s">
        <v>84</v>
      </c>
      <c r="AI12" s="2" t="s">
        <v>84</v>
      </c>
      <c r="AJ12" s="2" t="s">
        <v>84</v>
      </c>
      <c r="AK12" s="2" t="s">
        <v>84</v>
      </c>
      <c r="AL12" s="2" t="s">
        <v>84</v>
      </c>
      <c r="AM12" s="2" t="s">
        <v>84</v>
      </c>
      <c r="AN12" s="2" t="s">
        <v>84</v>
      </c>
      <c r="AO12" s="2" t="s">
        <v>84</v>
      </c>
      <c r="AP12" s="2" t="s">
        <v>85</v>
      </c>
      <c r="AQ12" s="2" t="s">
        <v>85</v>
      </c>
      <c r="AR12" s="2" t="s">
        <v>80</v>
      </c>
      <c r="AS12" s="2" t="s">
        <v>80</v>
      </c>
      <c r="AT12" s="2"/>
      <c r="AU12" s="2" t="s">
        <v>80</v>
      </c>
      <c r="AV12" s="2" t="s">
        <v>79</v>
      </c>
      <c r="AW12" s="2" t="s">
        <v>92</v>
      </c>
      <c r="AX12" s="2" t="s">
        <v>362</v>
      </c>
      <c r="AY12" s="2" t="s">
        <v>100</v>
      </c>
      <c r="AZ12" s="2" t="s">
        <v>363</v>
      </c>
      <c r="BA12" s="2" t="s">
        <v>102</v>
      </c>
      <c r="BB12" s="2" t="s">
        <v>79</v>
      </c>
      <c r="BC12" s="2" t="s">
        <v>364</v>
      </c>
      <c r="BD12" s="2" t="s">
        <v>365</v>
      </c>
      <c r="BE12" s="2" t="s">
        <v>153</v>
      </c>
      <c r="BF12" s="2" t="s">
        <v>366</v>
      </c>
      <c r="BG12" s="2" t="s">
        <v>80</v>
      </c>
      <c r="BH12" s="2" t="s">
        <v>79</v>
      </c>
      <c r="BI12" s="2" t="s">
        <v>367</v>
      </c>
      <c r="BJ12" s="2" t="s">
        <v>368</v>
      </c>
      <c r="BK12" s="2" t="s">
        <v>79</v>
      </c>
      <c r="BL12" s="2" t="s">
        <v>268</v>
      </c>
      <c r="BM12" s="2">
        <v>2017</v>
      </c>
    </row>
    <row r="13" spans="1:65" ht="409.5" x14ac:dyDescent="0.25">
      <c r="A13" s="2" t="s">
        <v>369</v>
      </c>
      <c r="B13" s="2" t="s">
        <v>92</v>
      </c>
      <c r="C13" s="2" t="s">
        <v>371</v>
      </c>
      <c r="D13" s="2" t="s">
        <v>79</v>
      </c>
      <c r="E13" s="2" t="s">
        <v>79</v>
      </c>
      <c r="F13" s="2" t="s">
        <v>372</v>
      </c>
      <c r="G13" s="2" t="s">
        <v>89</v>
      </c>
      <c r="H13" s="2" t="s">
        <v>79</v>
      </c>
      <c r="I13" s="2" t="s">
        <v>116</v>
      </c>
      <c r="J13" s="2" t="s">
        <v>270</v>
      </c>
      <c r="K13" s="2" t="s">
        <v>79</v>
      </c>
      <c r="L13" s="2" t="s">
        <v>92</v>
      </c>
      <c r="M13" s="2" t="s">
        <v>373</v>
      </c>
      <c r="N13" s="2"/>
      <c r="O13" s="2"/>
      <c r="P13" s="2" t="s">
        <v>80</v>
      </c>
      <c r="Q13" s="2"/>
      <c r="R13" s="2" t="s">
        <v>92</v>
      </c>
      <c r="S13" s="2" t="s">
        <v>224</v>
      </c>
      <c r="T13" s="2" t="s">
        <v>243</v>
      </c>
      <c r="U13" s="2" t="s">
        <v>374</v>
      </c>
      <c r="V13" s="2" t="s">
        <v>95</v>
      </c>
      <c r="W13" s="2" t="s">
        <v>375</v>
      </c>
      <c r="X13" s="2" t="s">
        <v>376</v>
      </c>
      <c r="Y13" s="2" t="s">
        <v>80</v>
      </c>
      <c r="Z13" s="2"/>
      <c r="AA13" s="2"/>
      <c r="AB13" s="2"/>
      <c r="AC13" s="2" t="s">
        <v>79</v>
      </c>
      <c r="AD13" s="2" t="s">
        <v>377</v>
      </c>
      <c r="AE13" s="2" t="s">
        <v>370</v>
      </c>
      <c r="AF13" s="2" t="s">
        <v>82</v>
      </c>
      <c r="AG13" s="2">
        <v>10</v>
      </c>
      <c r="AH13" s="2" t="s">
        <v>84</v>
      </c>
      <c r="AI13" s="2" t="s">
        <v>84</v>
      </c>
      <c r="AJ13" s="2" t="s">
        <v>84</v>
      </c>
      <c r="AK13" s="2" t="s">
        <v>84</v>
      </c>
      <c r="AL13" s="2" t="s">
        <v>84</v>
      </c>
      <c r="AM13" s="2" t="s">
        <v>84</v>
      </c>
      <c r="AN13" s="2" t="s">
        <v>84</v>
      </c>
      <c r="AO13" s="2" t="s">
        <v>84</v>
      </c>
      <c r="AP13" s="2" t="s">
        <v>84</v>
      </c>
      <c r="AQ13" s="2" t="s">
        <v>84</v>
      </c>
      <c r="AR13" s="2" t="s">
        <v>80</v>
      </c>
      <c r="AS13" s="2" t="s">
        <v>80</v>
      </c>
      <c r="AT13" s="2"/>
      <c r="AU13" s="2" t="s">
        <v>80</v>
      </c>
      <c r="AV13" s="2" t="s">
        <v>79</v>
      </c>
      <c r="AW13" s="2" t="s">
        <v>92</v>
      </c>
      <c r="AX13" s="2" t="s">
        <v>378</v>
      </c>
      <c r="AY13" s="2" t="s">
        <v>100</v>
      </c>
      <c r="AZ13" s="2" t="s">
        <v>379</v>
      </c>
      <c r="BA13" s="2" t="s">
        <v>102</v>
      </c>
      <c r="BB13" s="2" t="s">
        <v>79</v>
      </c>
      <c r="BC13" s="2" t="s">
        <v>364</v>
      </c>
      <c r="BD13" s="2" t="s">
        <v>380</v>
      </c>
      <c r="BE13" s="2" t="s">
        <v>104</v>
      </c>
      <c r="BF13" s="2" t="s">
        <v>381</v>
      </c>
      <c r="BG13" s="2" t="s">
        <v>79</v>
      </c>
      <c r="BH13" s="2" t="s">
        <v>79</v>
      </c>
      <c r="BI13" s="2" t="s">
        <v>107</v>
      </c>
      <c r="BJ13" s="2" t="s">
        <v>382</v>
      </c>
      <c r="BK13" s="2" t="s">
        <v>79</v>
      </c>
      <c r="BL13" s="2" t="s">
        <v>109</v>
      </c>
      <c r="BM13" s="2">
        <v>2017</v>
      </c>
    </row>
    <row r="14" spans="1:65" ht="409.5" x14ac:dyDescent="0.25">
      <c r="A14" s="2" t="s">
        <v>398</v>
      </c>
      <c r="B14" s="2" t="s">
        <v>92</v>
      </c>
      <c r="C14" s="2" t="s">
        <v>401</v>
      </c>
      <c r="D14" s="2" t="s">
        <v>79</v>
      </c>
      <c r="E14" s="2" t="s">
        <v>79</v>
      </c>
      <c r="F14" s="2" t="s">
        <v>402</v>
      </c>
      <c r="G14" s="2" t="s">
        <v>89</v>
      </c>
      <c r="H14" s="2" t="s">
        <v>79</v>
      </c>
      <c r="I14" s="2" t="s">
        <v>116</v>
      </c>
      <c r="J14" s="2" t="s">
        <v>78</v>
      </c>
      <c r="K14" s="2" t="s">
        <v>79</v>
      </c>
      <c r="L14" s="2" t="s">
        <v>92</v>
      </c>
      <c r="M14" s="2" t="s">
        <v>403</v>
      </c>
      <c r="N14" s="2"/>
      <c r="O14" s="2"/>
      <c r="P14" s="2" t="s">
        <v>80</v>
      </c>
      <c r="Q14" s="2"/>
      <c r="R14" s="2" t="s">
        <v>92</v>
      </c>
      <c r="S14" s="2" t="s">
        <v>399</v>
      </c>
      <c r="T14" s="2" t="s">
        <v>404</v>
      </c>
      <c r="U14" s="2" t="s">
        <v>405</v>
      </c>
      <c r="V14" s="2" t="s">
        <v>95</v>
      </c>
      <c r="W14" s="2" t="s">
        <v>406</v>
      </c>
      <c r="X14" s="2" t="s">
        <v>407</v>
      </c>
      <c r="Y14" s="2" t="s">
        <v>80</v>
      </c>
      <c r="Z14" s="2"/>
      <c r="AA14" s="2"/>
      <c r="AB14" s="2"/>
      <c r="AC14" s="2" t="s">
        <v>79</v>
      </c>
      <c r="AD14" s="2" t="s">
        <v>408</v>
      </c>
      <c r="AE14" s="2" t="s">
        <v>400</v>
      </c>
      <c r="AF14" s="2" t="s">
        <v>82</v>
      </c>
      <c r="AG14" s="2">
        <v>10</v>
      </c>
      <c r="AH14" s="2" t="s">
        <v>84</v>
      </c>
      <c r="AI14" s="2" t="s">
        <v>84</v>
      </c>
      <c r="AJ14" s="2" t="s">
        <v>84</v>
      </c>
      <c r="AK14" s="2" t="s">
        <v>84</v>
      </c>
      <c r="AL14" s="2" t="s">
        <v>84</v>
      </c>
      <c r="AM14" s="2" t="s">
        <v>84</v>
      </c>
      <c r="AN14" s="2" t="s">
        <v>84</v>
      </c>
      <c r="AO14" s="2" t="s">
        <v>84</v>
      </c>
      <c r="AP14" s="2" t="s">
        <v>84</v>
      </c>
      <c r="AQ14" s="2" t="s">
        <v>84</v>
      </c>
      <c r="AR14" s="2" t="s">
        <v>106</v>
      </c>
      <c r="AS14" s="2" t="s">
        <v>80</v>
      </c>
      <c r="AT14" s="2" t="s">
        <v>409</v>
      </c>
      <c r="AU14" s="2" t="s">
        <v>106</v>
      </c>
      <c r="AV14" s="2" t="s">
        <v>79</v>
      </c>
      <c r="AW14" s="2" t="s">
        <v>92</v>
      </c>
      <c r="AX14" s="2" t="s">
        <v>410</v>
      </c>
      <c r="AY14" s="2" t="s">
        <v>100</v>
      </c>
      <c r="AZ14" s="2" t="s">
        <v>411</v>
      </c>
      <c r="BA14" s="2" t="s">
        <v>102</v>
      </c>
      <c r="BB14" s="2" t="s">
        <v>79</v>
      </c>
      <c r="BC14" s="2" t="s">
        <v>168</v>
      </c>
      <c r="BD14" s="2" t="s">
        <v>412</v>
      </c>
      <c r="BE14" s="2" t="s">
        <v>153</v>
      </c>
      <c r="BF14" s="2" t="s">
        <v>413</v>
      </c>
      <c r="BG14" s="2" t="s">
        <v>80</v>
      </c>
      <c r="BH14" s="2" t="s">
        <v>79</v>
      </c>
      <c r="BI14" s="2" t="s">
        <v>107</v>
      </c>
      <c r="BJ14" s="2" t="s">
        <v>414</v>
      </c>
      <c r="BK14" s="2" t="s">
        <v>79</v>
      </c>
      <c r="BL14" s="2" t="s">
        <v>109</v>
      </c>
      <c r="BM14" s="2">
        <v>2017</v>
      </c>
    </row>
    <row r="15" spans="1:65" ht="409.5" x14ac:dyDescent="0.25">
      <c r="A15" s="2" t="s">
        <v>253</v>
      </c>
      <c r="B15" s="2" t="s">
        <v>79</v>
      </c>
      <c r="C15" s="2" t="s">
        <v>255</v>
      </c>
      <c r="D15" s="2" t="s">
        <v>79</v>
      </c>
      <c r="E15" s="2" t="s">
        <v>79</v>
      </c>
      <c r="F15" s="2" t="s">
        <v>256</v>
      </c>
      <c r="G15" s="2" t="s">
        <v>89</v>
      </c>
      <c r="H15" s="2" t="s">
        <v>79</v>
      </c>
      <c r="I15" s="2" t="s">
        <v>116</v>
      </c>
      <c r="J15" s="2" t="s">
        <v>78</v>
      </c>
      <c r="K15" s="2" t="s">
        <v>79</v>
      </c>
      <c r="L15" s="2" t="s">
        <v>79</v>
      </c>
      <c r="M15" s="2" t="s">
        <v>257</v>
      </c>
      <c r="N15" s="2"/>
      <c r="O15" s="2"/>
      <c r="P15" s="2" t="s">
        <v>80</v>
      </c>
      <c r="Q15" s="2"/>
      <c r="R15" s="2" t="s">
        <v>92</v>
      </c>
      <c r="S15" s="2" t="s">
        <v>224</v>
      </c>
      <c r="T15" s="2" t="s">
        <v>93</v>
      </c>
      <c r="U15" s="2" t="s">
        <v>258</v>
      </c>
      <c r="V15" s="2" t="s">
        <v>95</v>
      </c>
      <c r="W15" s="2" t="s">
        <v>259</v>
      </c>
      <c r="X15" s="2" t="s">
        <v>260</v>
      </c>
      <c r="Y15" s="2" t="s">
        <v>80</v>
      </c>
      <c r="Z15" s="2"/>
      <c r="AA15" s="2"/>
      <c r="AB15" s="2"/>
      <c r="AC15" s="2" t="s">
        <v>79</v>
      </c>
      <c r="AD15" s="2" t="s">
        <v>261</v>
      </c>
      <c r="AE15" s="2" t="s">
        <v>254</v>
      </c>
      <c r="AF15" s="2" t="s">
        <v>82</v>
      </c>
      <c r="AG15" s="2">
        <v>9.5</v>
      </c>
      <c r="AH15" s="2" t="s">
        <v>84</v>
      </c>
      <c r="AI15" s="2" t="s">
        <v>84</v>
      </c>
      <c r="AJ15" s="2" t="s">
        <v>84</v>
      </c>
      <c r="AK15" s="2" t="s">
        <v>84</v>
      </c>
      <c r="AL15" s="2" t="s">
        <v>84</v>
      </c>
      <c r="AM15" s="2" t="s">
        <v>84</v>
      </c>
      <c r="AN15" s="2" t="s">
        <v>84</v>
      </c>
      <c r="AO15" s="2" t="s">
        <v>84</v>
      </c>
      <c r="AP15" s="2" t="s">
        <v>84</v>
      </c>
      <c r="AQ15" s="2" t="s">
        <v>85</v>
      </c>
      <c r="AR15" s="2" t="s">
        <v>80</v>
      </c>
      <c r="AS15" s="2" t="s">
        <v>80</v>
      </c>
      <c r="AT15" s="2"/>
      <c r="AU15" s="2" t="s">
        <v>80</v>
      </c>
      <c r="AV15" s="2" t="s">
        <v>79</v>
      </c>
      <c r="AW15" s="2" t="s">
        <v>92</v>
      </c>
      <c r="AX15" s="2" t="s">
        <v>262</v>
      </c>
      <c r="AY15" s="2" t="s">
        <v>100</v>
      </c>
      <c r="AZ15" s="2" t="s">
        <v>263</v>
      </c>
      <c r="BA15" s="2" t="s">
        <v>102</v>
      </c>
      <c r="BB15" s="2" t="s">
        <v>79</v>
      </c>
      <c r="BC15" s="2" t="s">
        <v>203</v>
      </c>
      <c r="BD15" s="2" t="s">
        <v>264</v>
      </c>
      <c r="BE15" s="2" t="s">
        <v>104</v>
      </c>
      <c r="BF15" s="2" t="s">
        <v>265</v>
      </c>
      <c r="BG15" s="2" t="s">
        <v>79</v>
      </c>
      <c r="BH15" s="2" t="s">
        <v>79</v>
      </c>
      <c r="BI15" s="2" t="s">
        <v>266</v>
      </c>
      <c r="BJ15" s="2" t="s">
        <v>267</v>
      </c>
      <c r="BK15" s="2" t="s">
        <v>79</v>
      </c>
      <c r="BL15" s="2" t="s">
        <v>268</v>
      </c>
      <c r="BM15" s="2">
        <v>2016</v>
      </c>
    </row>
    <row r="16" spans="1:65" ht="409.5" x14ac:dyDescent="0.25">
      <c r="A16" s="2" t="s">
        <v>292</v>
      </c>
      <c r="B16" s="2" t="s">
        <v>92</v>
      </c>
      <c r="C16" s="2" t="s">
        <v>295</v>
      </c>
      <c r="D16" s="2" t="s">
        <v>79</v>
      </c>
      <c r="E16" s="2" t="s">
        <v>92</v>
      </c>
      <c r="F16" s="2" t="s">
        <v>296</v>
      </c>
      <c r="G16" s="2" t="s">
        <v>143</v>
      </c>
      <c r="H16" s="2" t="s">
        <v>106</v>
      </c>
      <c r="I16" s="2" t="s">
        <v>90</v>
      </c>
      <c r="J16" s="2" t="s">
        <v>189</v>
      </c>
      <c r="K16" s="2" t="s">
        <v>79</v>
      </c>
      <c r="L16" s="2" t="s">
        <v>79</v>
      </c>
      <c r="M16" s="2" t="s">
        <v>297</v>
      </c>
      <c r="N16" s="2"/>
      <c r="O16" s="2"/>
      <c r="P16" s="2" t="s">
        <v>80</v>
      </c>
      <c r="Q16" s="2"/>
      <c r="R16" s="2" t="s">
        <v>92</v>
      </c>
      <c r="S16" s="2" t="s">
        <v>293</v>
      </c>
      <c r="T16" s="2" t="s">
        <v>93</v>
      </c>
      <c r="U16" s="2" t="s">
        <v>298</v>
      </c>
      <c r="V16" s="2" t="s">
        <v>95</v>
      </c>
      <c r="W16" s="2" t="s">
        <v>299</v>
      </c>
      <c r="X16" s="2" t="s">
        <v>300</v>
      </c>
      <c r="Y16" s="2" t="s">
        <v>80</v>
      </c>
      <c r="Z16" s="2"/>
      <c r="AA16" s="2"/>
      <c r="AB16" s="2"/>
      <c r="AC16" s="2" t="s">
        <v>79</v>
      </c>
      <c r="AD16" s="2" t="s">
        <v>301</v>
      </c>
      <c r="AE16" s="2" t="s">
        <v>294</v>
      </c>
      <c r="AF16" s="2" t="s">
        <v>82</v>
      </c>
      <c r="AG16" s="2">
        <v>9</v>
      </c>
      <c r="AH16" s="2" t="s">
        <v>84</v>
      </c>
      <c r="AI16" s="2" t="s">
        <v>84</v>
      </c>
      <c r="AJ16" s="2" t="s">
        <v>84</v>
      </c>
      <c r="AK16" s="2" t="s">
        <v>84</v>
      </c>
      <c r="AL16" s="2" t="s">
        <v>84</v>
      </c>
      <c r="AM16" s="2" t="s">
        <v>84</v>
      </c>
      <c r="AN16" s="2" t="s">
        <v>84</v>
      </c>
      <c r="AO16" s="2" t="s">
        <v>84</v>
      </c>
      <c r="AP16" s="2" t="s">
        <v>85</v>
      </c>
      <c r="AQ16" s="2" t="s">
        <v>85</v>
      </c>
      <c r="AR16" s="2" t="s">
        <v>80</v>
      </c>
      <c r="AS16" s="2" t="s">
        <v>80</v>
      </c>
      <c r="AT16" s="2"/>
      <c r="AU16" s="2" t="s">
        <v>80</v>
      </c>
      <c r="AV16" s="2" t="s">
        <v>79</v>
      </c>
      <c r="AW16" s="2" t="s">
        <v>92</v>
      </c>
      <c r="AX16" s="2" t="s">
        <v>302</v>
      </c>
      <c r="AY16" s="2" t="s">
        <v>303</v>
      </c>
      <c r="AZ16" s="2" t="s">
        <v>304</v>
      </c>
      <c r="BA16" s="2" t="s">
        <v>305</v>
      </c>
      <c r="BB16" s="2" t="s">
        <v>79</v>
      </c>
      <c r="BC16" s="2" t="s">
        <v>306</v>
      </c>
      <c r="BD16" s="2" t="s">
        <v>307</v>
      </c>
      <c r="BE16" s="2" t="s">
        <v>104</v>
      </c>
      <c r="BF16" s="2" t="s">
        <v>308</v>
      </c>
      <c r="BG16" s="2" t="s">
        <v>92</v>
      </c>
      <c r="BH16" s="2" t="s">
        <v>79</v>
      </c>
      <c r="BI16" s="2" t="s">
        <v>155</v>
      </c>
      <c r="BJ16" s="2"/>
      <c r="BK16" s="2" t="s">
        <v>80</v>
      </c>
      <c r="BL16" s="2" t="s">
        <v>172</v>
      </c>
      <c r="BM16" s="2">
        <v>2016</v>
      </c>
    </row>
    <row r="17" spans="1:65" ht="409.5" x14ac:dyDescent="0.25">
      <c r="A17" s="2" t="s">
        <v>309</v>
      </c>
      <c r="B17" s="2" t="s">
        <v>79</v>
      </c>
      <c r="C17" s="2" t="s">
        <v>311</v>
      </c>
      <c r="D17" s="2" t="s">
        <v>79</v>
      </c>
      <c r="E17" s="2" t="s">
        <v>79</v>
      </c>
      <c r="F17" s="2" t="s">
        <v>312</v>
      </c>
      <c r="G17" s="2" t="s">
        <v>89</v>
      </c>
      <c r="H17" s="2" t="s">
        <v>79</v>
      </c>
      <c r="I17" s="2" t="s">
        <v>116</v>
      </c>
      <c r="J17" s="2" t="s">
        <v>111</v>
      </c>
      <c r="K17" s="2" t="s">
        <v>79</v>
      </c>
      <c r="L17" s="2" t="s">
        <v>79</v>
      </c>
      <c r="M17" s="2" t="s">
        <v>313</v>
      </c>
      <c r="N17" s="2"/>
      <c r="O17" s="2"/>
      <c r="P17" s="2" t="s">
        <v>80</v>
      </c>
      <c r="Q17" s="2"/>
      <c r="R17" s="2" t="s">
        <v>92</v>
      </c>
      <c r="S17" s="2" t="s">
        <v>224</v>
      </c>
      <c r="T17" s="2" t="s">
        <v>161</v>
      </c>
      <c r="U17" s="2" t="s">
        <v>314</v>
      </c>
      <c r="V17" s="2" t="s">
        <v>95</v>
      </c>
      <c r="W17" s="2" t="s">
        <v>315</v>
      </c>
      <c r="X17" s="2" t="s">
        <v>316</v>
      </c>
      <c r="Y17" s="2" t="s">
        <v>80</v>
      </c>
      <c r="Z17" s="2"/>
      <c r="AA17" s="2"/>
      <c r="AB17" s="2"/>
      <c r="AC17" s="2" t="s">
        <v>79</v>
      </c>
      <c r="AD17" s="2" t="s">
        <v>317</v>
      </c>
      <c r="AE17" s="2" t="s">
        <v>310</v>
      </c>
      <c r="AF17" s="2" t="s">
        <v>82</v>
      </c>
      <c r="AG17" s="2">
        <v>9.5</v>
      </c>
      <c r="AH17" s="2" t="s">
        <v>84</v>
      </c>
      <c r="AI17" s="2" t="s">
        <v>84</v>
      </c>
      <c r="AJ17" s="2" t="s">
        <v>84</v>
      </c>
      <c r="AK17" s="2" t="s">
        <v>84</v>
      </c>
      <c r="AL17" s="2" t="s">
        <v>84</v>
      </c>
      <c r="AM17" s="2" t="s">
        <v>84</v>
      </c>
      <c r="AN17" s="2" t="s">
        <v>84</v>
      </c>
      <c r="AO17" s="2" t="s">
        <v>84</v>
      </c>
      <c r="AP17" s="2" t="s">
        <v>84</v>
      </c>
      <c r="AQ17" s="2" t="s">
        <v>85</v>
      </c>
      <c r="AR17" s="2" t="s">
        <v>80</v>
      </c>
      <c r="AS17" s="2" t="s">
        <v>80</v>
      </c>
      <c r="AT17" s="2"/>
      <c r="AU17" s="2" t="s">
        <v>80</v>
      </c>
      <c r="AV17" s="2" t="s">
        <v>79</v>
      </c>
      <c r="AW17" s="2" t="s">
        <v>92</v>
      </c>
      <c r="AX17" s="2" t="s">
        <v>318</v>
      </c>
      <c r="AY17" s="2" t="s">
        <v>100</v>
      </c>
      <c r="AZ17" s="2" t="s">
        <v>319</v>
      </c>
      <c r="BA17" s="2" t="s">
        <v>102</v>
      </c>
      <c r="BB17" s="2" t="s">
        <v>79</v>
      </c>
      <c r="BC17" s="2" t="s">
        <v>203</v>
      </c>
      <c r="BD17" s="2" t="s">
        <v>320</v>
      </c>
      <c r="BE17" s="2" t="s">
        <v>153</v>
      </c>
      <c r="BF17" s="2" t="s">
        <v>321</v>
      </c>
      <c r="BG17" s="2" t="s">
        <v>79</v>
      </c>
      <c r="BH17" s="2" t="s">
        <v>79</v>
      </c>
      <c r="BI17" s="2" t="s">
        <v>107</v>
      </c>
      <c r="BJ17" s="2" t="s">
        <v>322</v>
      </c>
      <c r="BK17" s="2" t="s">
        <v>79</v>
      </c>
      <c r="BL17" s="2" t="s">
        <v>109</v>
      </c>
      <c r="BM17" s="2">
        <v>2017</v>
      </c>
    </row>
    <row r="18" spans="1:65" ht="409.5" x14ac:dyDescent="0.25">
      <c r="A18" s="2" t="s">
        <v>383</v>
      </c>
      <c r="B18" s="2" t="s">
        <v>79</v>
      </c>
      <c r="C18" s="2" t="s">
        <v>385</v>
      </c>
      <c r="D18" s="2" t="s">
        <v>79</v>
      </c>
      <c r="E18" s="2" t="s">
        <v>79</v>
      </c>
      <c r="F18" s="2" t="s">
        <v>386</v>
      </c>
      <c r="G18" s="2" t="s">
        <v>89</v>
      </c>
      <c r="H18" s="2" t="s">
        <v>79</v>
      </c>
      <c r="I18" s="2" t="s">
        <v>116</v>
      </c>
      <c r="J18" s="2" t="s">
        <v>111</v>
      </c>
      <c r="K18" s="2" t="s">
        <v>79</v>
      </c>
      <c r="L18" s="2" t="s">
        <v>92</v>
      </c>
      <c r="M18" s="2" t="s">
        <v>387</v>
      </c>
      <c r="N18" s="2"/>
      <c r="O18" s="2"/>
      <c r="P18" s="2" t="s">
        <v>80</v>
      </c>
      <c r="Q18" s="2"/>
      <c r="R18" s="2" t="s">
        <v>92</v>
      </c>
      <c r="S18" s="2" t="s">
        <v>224</v>
      </c>
      <c r="T18" s="2" t="s">
        <v>388</v>
      </c>
      <c r="U18" s="2" t="s">
        <v>389</v>
      </c>
      <c r="V18" s="2" t="s">
        <v>95</v>
      </c>
      <c r="W18" s="2" t="s">
        <v>390</v>
      </c>
      <c r="X18" s="2" t="s">
        <v>391</v>
      </c>
      <c r="Y18" s="2" t="s">
        <v>80</v>
      </c>
      <c r="Z18" s="2"/>
      <c r="AA18" s="2"/>
      <c r="AB18" s="2"/>
      <c r="AC18" s="2" t="s">
        <v>79</v>
      </c>
      <c r="AD18" s="2" t="s">
        <v>392</v>
      </c>
      <c r="AE18" s="2" t="s">
        <v>384</v>
      </c>
      <c r="AF18" s="2" t="s">
        <v>82</v>
      </c>
      <c r="AG18" s="2">
        <v>9</v>
      </c>
      <c r="AH18" s="2" t="s">
        <v>84</v>
      </c>
      <c r="AI18" s="2" t="s">
        <v>84</v>
      </c>
      <c r="AJ18" s="2" t="s">
        <v>84</v>
      </c>
      <c r="AK18" s="2" t="s">
        <v>84</v>
      </c>
      <c r="AL18" s="2" t="s">
        <v>84</v>
      </c>
      <c r="AM18" s="2" t="s">
        <v>84</v>
      </c>
      <c r="AN18" s="2" t="s">
        <v>85</v>
      </c>
      <c r="AO18" s="2" t="s">
        <v>84</v>
      </c>
      <c r="AP18" s="2" t="s">
        <v>84</v>
      </c>
      <c r="AQ18" s="2" t="s">
        <v>85</v>
      </c>
      <c r="AR18" s="2" t="s">
        <v>80</v>
      </c>
      <c r="AS18" s="2" t="s">
        <v>80</v>
      </c>
      <c r="AT18" s="2"/>
      <c r="AU18" s="2" t="s">
        <v>80</v>
      </c>
      <c r="AV18" s="2" t="s">
        <v>79</v>
      </c>
      <c r="AW18" s="2" t="s">
        <v>92</v>
      </c>
      <c r="AX18" s="2" t="s">
        <v>393</v>
      </c>
      <c r="AY18" s="2" t="s">
        <v>100</v>
      </c>
      <c r="AZ18" s="2" t="s">
        <v>394</v>
      </c>
      <c r="BA18" s="2" t="s">
        <v>102</v>
      </c>
      <c r="BB18" s="2" t="s">
        <v>79</v>
      </c>
      <c r="BC18" s="2" t="s">
        <v>306</v>
      </c>
      <c r="BD18" s="2" t="s">
        <v>395</v>
      </c>
      <c r="BE18" s="2" t="s">
        <v>104</v>
      </c>
      <c r="BF18" s="2" t="s">
        <v>396</v>
      </c>
      <c r="BG18" s="2" t="s">
        <v>79</v>
      </c>
      <c r="BH18" s="2" t="s">
        <v>79</v>
      </c>
      <c r="BI18" s="2" t="s">
        <v>107</v>
      </c>
      <c r="BJ18" s="2" t="s">
        <v>397</v>
      </c>
      <c r="BK18" s="2" t="s">
        <v>79</v>
      </c>
      <c r="BL18" s="2" t="s">
        <v>109</v>
      </c>
      <c r="BM18" s="2">
        <v>2017</v>
      </c>
    </row>
    <row r="19" spans="1:65" ht="409.5" x14ac:dyDescent="0.25">
      <c r="A19" s="2" t="s">
        <v>269</v>
      </c>
      <c r="B19" s="2" t="s">
        <v>80</v>
      </c>
      <c r="C19" s="2" t="s">
        <v>273</v>
      </c>
      <c r="D19" s="2" t="s">
        <v>79</v>
      </c>
      <c r="E19" s="2" t="s">
        <v>79</v>
      </c>
      <c r="F19" s="2" t="s">
        <v>274</v>
      </c>
      <c r="G19" s="2" t="s">
        <v>89</v>
      </c>
      <c r="H19" s="2" t="s">
        <v>80</v>
      </c>
      <c r="I19" s="2" t="s">
        <v>116</v>
      </c>
      <c r="J19" s="2" t="s">
        <v>270</v>
      </c>
      <c r="K19" s="2" t="s">
        <v>79</v>
      </c>
      <c r="L19" s="2" t="s">
        <v>92</v>
      </c>
      <c r="M19" s="2" t="s">
        <v>275</v>
      </c>
      <c r="N19" s="2" t="s">
        <v>276</v>
      </c>
      <c r="O19" s="2" t="s">
        <v>277</v>
      </c>
      <c r="P19" s="2" t="s">
        <v>79</v>
      </c>
      <c r="Q19" s="2" t="s">
        <v>278</v>
      </c>
      <c r="R19" s="2" t="s">
        <v>92</v>
      </c>
      <c r="S19" s="2" t="s">
        <v>271</v>
      </c>
      <c r="T19" s="2" t="s">
        <v>279</v>
      </c>
      <c r="U19" s="2" t="s">
        <v>280</v>
      </c>
      <c r="V19" s="2" t="s">
        <v>95</v>
      </c>
      <c r="W19" s="2" t="s">
        <v>281</v>
      </c>
      <c r="X19" s="2" t="s">
        <v>282</v>
      </c>
      <c r="Y19" s="2" t="s">
        <v>80</v>
      </c>
      <c r="Z19" s="2"/>
      <c r="AA19" s="2"/>
      <c r="AB19" s="2"/>
      <c r="AC19" s="2" t="s">
        <v>79</v>
      </c>
      <c r="AD19" s="2" t="s">
        <v>283</v>
      </c>
      <c r="AE19" s="2" t="s">
        <v>272</v>
      </c>
      <c r="AF19" s="2" t="s">
        <v>82</v>
      </c>
      <c r="AG19" s="2">
        <v>9.5</v>
      </c>
      <c r="AH19" s="2" t="s">
        <v>84</v>
      </c>
      <c r="AI19" s="2" t="s">
        <v>84</v>
      </c>
      <c r="AJ19" s="2" t="s">
        <v>84</v>
      </c>
      <c r="AK19" s="2" t="s">
        <v>84</v>
      </c>
      <c r="AL19" s="2" t="s">
        <v>84</v>
      </c>
      <c r="AM19" s="2" t="s">
        <v>84</v>
      </c>
      <c r="AN19" s="2" t="s">
        <v>84</v>
      </c>
      <c r="AO19" s="2" t="s">
        <v>84</v>
      </c>
      <c r="AP19" s="2" t="s">
        <v>84</v>
      </c>
      <c r="AQ19" s="2" t="s">
        <v>85</v>
      </c>
      <c r="AR19" s="2" t="s">
        <v>80</v>
      </c>
      <c r="AS19" s="2" t="s">
        <v>80</v>
      </c>
      <c r="AT19" s="2"/>
      <c r="AU19" s="2" t="s">
        <v>80</v>
      </c>
      <c r="AV19" s="2" t="s">
        <v>79</v>
      </c>
      <c r="AW19" s="2" t="s">
        <v>92</v>
      </c>
      <c r="AX19" s="2" t="s">
        <v>284</v>
      </c>
      <c r="AY19" s="2" t="s">
        <v>100</v>
      </c>
      <c r="AZ19" s="2" t="s">
        <v>285</v>
      </c>
      <c r="BA19" s="2" t="s">
        <v>286</v>
      </c>
      <c r="BB19" s="2" t="s">
        <v>79</v>
      </c>
      <c r="BC19" s="2" t="s">
        <v>287</v>
      </c>
      <c r="BD19" s="2" t="s">
        <v>288</v>
      </c>
      <c r="BE19" s="2" t="s">
        <v>153</v>
      </c>
      <c r="BF19" s="2"/>
      <c r="BG19" s="2" t="s">
        <v>80</v>
      </c>
      <c r="BH19" s="2" t="s">
        <v>79</v>
      </c>
      <c r="BI19" s="2" t="s">
        <v>289</v>
      </c>
      <c r="BJ19" s="2" t="s">
        <v>290</v>
      </c>
      <c r="BK19" s="2" t="s">
        <v>79</v>
      </c>
      <c r="BL19" s="2" t="s">
        <v>291</v>
      </c>
      <c r="BM19" s="2">
        <v>2016</v>
      </c>
    </row>
    <row r="20" spans="1:65" ht="409.5" x14ac:dyDescent="0.25">
      <c r="A20" s="2" t="s">
        <v>338</v>
      </c>
      <c r="B20" s="2" t="s">
        <v>92</v>
      </c>
      <c r="C20" s="2" t="s">
        <v>340</v>
      </c>
      <c r="D20" s="2" t="s">
        <v>79</v>
      </c>
      <c r="E20" s="2" t="s">
        <v>79</v>
      </c>
      <c r="F20" s="2" t="s">
        <v>341</v>
      </c>
      <c r="G20" s="2" t="s">
        <v>89</v>
      </c>
      <c r="H20" s="2" t="s">
        <v>79</v>
      </c>
      <c r="I20" s="2" t="s">
        <v>116</v>
      </c>
      <c r="J20" s="2" t="s">
        <v>270</v>
      </c>
      <c r="K20" s="2" t="s">
        <v>79</v>
      </c>
      <c r="L20" s="2" t="s">
        <v>92</v>
      </c>
      <c r="M20" s="2" t="s">
        <v>342</v>
      </c>
      <c r="N20" s="2"/>
      <c r="O20" s="2"/>
      <c r="P20" s="2" t="s">
        <v>80</v>
      </c>
      <c r="Q20" s="2"/>
      <c r="R20" s="2" t="s">
        <v>92</v>
      </c>
      <c r="S20" s="2" t="s">
        <v>224</v>
      </c>
      <c r="T20" s="2" t="s">
        <v>161</v>
      </c>
      <c r="U20" s="2" t="s">
        <v>343</v>
      </c>
      <c r="V20" s="2" t="s">
        <v>95</v>
      </c>
      <c r="W20" s="2" t="s">
        <v>344</v>
      </c>
      <c r="X20" s="2" t="s">
        <v>345</v>
      </c>
      <c r="Y20" s="2" t="s">
        <v>80</v>
      </c>
      <c r="Z20" s="2"/>
      <c r="AA20" s="2"/>
      <c r="AB20" s="2"/>
      <c r="AC20" s="2" t="s">
        <v>79</v>
      </c>
      <c r="AD20" s="2" t="s">
        <v>346</v>
      </c>
      <c r="AE20" s="2" t="s">
        <v>339</v>
      </c>
      <c r="AF20" s="2" t="s">
        <v>82</v>
      </c>
      <c r="AG20" s="2">
        <v>9.5</v>
      </c>
      <c r="AH20" s="2" t="s">
        <v>84</v>
      </c>
      <c r="AI20" s="2" t="s">
        <v>84</v>
      </c>
      <c r="AJ20" s="2" t="s">
        <v>84</v>
      </c>
      <c r="AK20" s="2" t="s">
        <v>84</v>
      </c>
      <c r="AL20" s="2" t="s">
        <v>84</v>
      </c>
      <c r="AM20" s="2" t="s">
        <v>84</v>
      </c>
      <c r="AN20" s="2" t="s">
        <v>84</v>
      </c>
      <c r="AO20" s="2" t="s">
        <v>84</v>
      </c>
      <c r="AP20" s="2" t="s">
        <v>84</v>
      </c>
      <c r="AQ20" s="2" t="s">
        <v>85</v>
      </c>
      <c r="AR20" s="2" t="s">
        <v>80</v>
      </c>
      <c r="AS20" s="2" t="s">
        <v>80</v>
      </c>
      <c r="AT20" s="2"/>
      <c r="AU20" s="2" t="s">
        <v>80</v>
      </c>
      <c r="AV20" s="2" t="s">
        <v>79</v>
      </c>
      <c r="AW20" s="2" t="s">
        <v>92</v>
      </c>
      <c r="AX20" s="2" t="s">
        <v>347</v>
      </c>
      <c r="AY20" s="2" t="s">
        <v>100</v>
      </c>
      <c r="AZ20" s="2" t="s">
        <v>348</v>
      </c>
      <c r="BA20" s="2" t="s">
        <v>102</v>
      </c>
      <c r="BB20" s="2" t="s">
        <v>79</v>
      </c>
      <c r="BC20" s="2" t="s">
        <v>203</v>
      </c>
      <c r="BD20" s="2" t="s">
        <v>349</v>
      </c>
      <c r="BE20" s="2" t="s">
        <v>153</v>
      </c>
      <c r="BF20" s="2" t="s">
        <v>350</v>
      </c>
      <c r="BG20" s="2" t="s">
        <v>80</v>
      </c>
      <c r="BH20" s="2" t="s">
        <v>79</v>
      </c>
      <c r="BI20" s="2" t="s">
        <v>107</v>
      </c>
      <c r="BJ20" s="2" t="s">
        <v>351</v>
      </c>
      <c r="BK20" s="2" t="s">
        <v>79</v>
      </c>
      <c r="BL20" s="2" t="s">
        <v>109</v>
      </c>
      <c r="BM20" s="2">
        <v>2017</v>
      </c>
    </row>
    <row r="21" spans="1:65" ht="409.5" x14ac:dyDescent="0.25">
      <c r="A21" s="2" t="s">
        <v>323</v>
      </c>
      <c r="B21" s="2" t="s">
        <v>79</v>
      </c>
      <c r="C21" s="2" t="s">
        <v>325</v>
      </c>
      <c r="D21" s="2" t="s">
        <v>79</v>
      </c>
      <c r="E21" s="2" t="s">
        <v>79</v>
      </c>
      <c r="F21" s="2" t="s">
        <v>326</v>
      </c>
      <c r="G21" s="2" t="s">
        <v>89</v>
      </c>
      <c r="H21" s="2" t="s">
        <v>79</v>
      </c>
      <c r="I21" s="2" t="s">
        <v>116</v>
      </c>
      <c r="J21" s="2" t="s">
        <v>270</v>
      </c>
      <c r="K21" s="2" t="s">
        <v>79</v>
      </c>
      <c r="L21" s="2" t="s">
        <v>79</v>
      </c>
      <c r="M21" s="2" t="s">
        <v>327</v>
      </c>
      <c r="N21" s="2"/>
      <c r="O21" s="2"/>
      <c r="P21" s="2" t="s">
        <v>80</v>
      </c>
      <c r="Q21" s="2"/>
      <c r="R21" s="2" t="s">
        <v>92</v>
      </c>
      <c r="S21" s="2" t="s">
        <v>224</v>
      </c>
      <c r="T21" s="2" t="s">
        <v>328</v>
      </c>
      <c r="U21" s="2" t="s">
        <v>329</v>
      </c>
      <c r="V21" s="2" t="s">
        <v>95</v>
      </c>
      <c r="W21" s="2" t="s">
        <v>330</v>
      </c>
      <c r="X21" s="2" t="s">
        <v>331</v>
      </c>
      <c r="Y21" s="2" t="s">
        <v>80</v>
      </c>
      <c r="Z21" s="2"/>
      <c r="AA21" s="2"/>
      <c r="AB21" s="2"/>
      <c r="AC21" s="2" t="s">
        <v>79</v>
      </c>
      <c r="AD21" s="2" t="s">
        <v>332</v>
      </c>
      <c r="AE21" s="2" t="s">
        <v>324</v>
      </c>
      <c r="AF21" s="2" t="s">
        <v>82</v>
      </c>
      <c r="AG21" s="2">
        <v>9.5</v>
      </c>
      <c r="AH21" s="2" t="s">
        <v>84</v>
      </c>
      <c r="AI21" s="2" t="s">
        <v>84</v>
      </c>
      <c r="AJ21" s="2" t="s">
        <v>84</v>
      </c>
      <c r="AK21" s="2" t="s">
        <v>84</v>
      </c>
      <c r="AL21" s="2" t="s">
        <v>84</v>
      </c>
      <c r="AM21" s="2" t="s">
        <v>84</v>
      </c>
      <c r="AN21" s="2" t="s">
        <v>84</v>
      </c>
      <c r="AO21" s="2" t="s">
        <v>84</v>
      </c>
      <c r="AP21" s="2" t="s">
        <v>84</v>
      </c>
      <c r="AQ21" s="2" t="s">
        <v>85</v>
      </c>
      <c r="AR21" s="2" t="s">
        <v>80</v>
      </c>
      <c r="AS21" s="2" t="s">
        <v>80</v>
      </c>
      <c r="AT21" s="2"/>
      <c r="AU21" s="2" t="s">
        <v>80</v>
      </c>
      <c r="AV21" s="2" t="s">
        <v>79</v>
      </c>
      <c r="AW21" s="2" t="s">
        <v>92</v>
      </c>
      <c r="AX21" s="2" t="s">
        <v>333</v>
      </c>
      <c r="AY21" s="2" t="s">
        <v>100</v>
      </c>
      <c r="AZ21" s="2" t="s">
        <v>334</v>
      </c>
      <c r="BA21" s="2" t="s">
        <v>102</v>
      </c>
      <c r="BB21" s="2" t="s">
        <v>79</v>
      </c>
      <c r="BC21" s="2" t="s">
        <v>203</v>
      </c>
      <c r="BD21" s="2" t="s">
        <v>335</v>
      </c>
      <c r="BE21" s="2" t="s">
        <v>153</v>
      </c>
      <c r="BF21" s="2" t="s">
        <v>336</v>
      </c>
      <c r="BG21" s="2" t="s">
        <v>79</v>
      </c>
      <c r="BH21" s="2" t="s">
        <v>79</v>
      </c>
      <c r="BI21" s="2" t="s">
        <v>107</v>
      </c>
      <c r="BJ21" s="2" t="s">
        <v>337</v>
      </c>
      <c r="BK21" s="2" t="s">
        <v>79</v>
      </c>
      <c r="BL21" s="2" t="s">
        <v>109</v>
      </c>
      <c r="BM21" s="2">
        <v>2017</v>
      </c>
    </row>
    <row r="22" spans="1:65" ht="405" x14ac:dyDescent="0.25">
      <c r="A22" s="2" t="s">
        <v>475</v>
      </c>
      <c r="B22" s="2" t="s">
        <v>92</v>
      </c>
      <c r="C22" s="2" t="s">
        <v>477</v>
      </c>
      <c r="D22" s="2" t="s">
        <v>80</v>
      </c>
      <c r="E22" s="2"/>
      <c r="F22" s="2"/>
      <c r="G22" s="2" t="s">
        <v>478</v>
      </c>
      <c r="H22" s="2" t="s">
        <v>106</v>
      </c>
      <c r="I22" s="2" t="s">
        <v>116</v>
      </c>
      <c r="J22" s="2" t="s">
        <v>111</v>
      </c>
      <c r="K22" s="2" t="s">
        <v>80</v>
      </c>
      <c r="L22" s="2"/>
      <c r="M22" s="2"/>
      <c r="N22" s="2"/>
      <c r="O22" s="2"/>
      <c r="P22" s="2" t="s">
        <v>80</v>
      </c>
      <c r="Q22" s="2"/>
      <c r="R22" s="2" t="s">
        <v>92</v>
      </c>
      <c r="S22" s="2" t="s">
        <v>476</v>
      </c>
      <c r="T22" s="2" t="s">
        <v>479</v>
      </c>
      <c r="U22" s="2" t="s">
        <v>480</v>
      </c>
      <c r="V22" s="2" t="s">
        <v>95</v>
      </c>
      <c r="W22" s="2" t="s">
        <v>481</v>
      </c>
      <c r="X22" s="2" t="s">
        <v>482</v>
      </c>
      <c r="Y22" s="2" t="s">
        <v>80</v>
      </c>
      <c r="Z22" s="2"/>
      <c r="AA22" s="2"/>
      <c r="AB22" s="2" t="s">
        <v>483</v>
      </c>
      <c r="AC22" s="2" t="s">
        <v>79</v>
      </c>
      <c r="AD22" s="2" t="s">
        <v>484</v>
      </c>
      <c r="AE22" s="2"/>
      <c r="AF22" s="2" t="s">
        <v>82</v>
      </c>
      <c r="AG22" s="2">
        <v>8.5</v>
      </c>
      <c r="AH22" s="2" t="s">
        <v>84</v>
      </c>
      <c r="AI22" s="2" t="s">
        <v>84</v>
      </c>
      <c r="AJ22" s="2" t="s">
        <v>84</v>
      </c>
      <c r="AK22" s="2" t="s">
        <v>84</v>
      </c>
      <c r="AL22" s="2" t="s">
        <v>84</v>
      </c>
      <c r="AM22" s="2" t="s">
        <v>84</v>
      </c>
      <c r="AN22" s="2" t="s">
        <v>84</v>
      </c>
      <c r="AO22" s="2" t="s">
        <v>86</v>
      </c>
      <c r="AP22" s="2" t="s">
        <v>84</v>
      </c>
      <c r="AQ22" s="2" t="s">
        <v>85</v>
      </c>
      <c r="AR22" s="2"/>
      <c r="AS22" s="2" t="s">
        <v>80</v>
      </c>
      <c r="AT22" s="2"/>
      <c r="AU22" s="2"/>
      <c r="AV22" s="2" t="s">
        <v>80</v>
      </c>
      <c r="AW22" s="2"/>
      <c r="AX22" s="2"/>
      <c r="AY22" s="2" t="s">
        <v>100</v>
      </c>
      <c r="AZ22" s="2" t="s">
        <v>485</v>
      </c>
      <c r="BA22" s="2" t="s">
        <v>102</v>
      </c>
      <c r="BB22" s="2" t="s">
        <v>79</v>
      </c>
      <c r="BC22" s="2"/>
      <c r="BD22" s="2" t="s">
        <v>486</v>
      </c>
      <c r="BE22" s="2" t="s">
        <v>153</v>
      </c>
      <c r="BF22" s="2" t="s">
        <v>487</v>
      </c>
      <c r="BG22" s="2" t="s">
        <v>92</v>
      </c>
      <c r="BH22" s="2" t="s">
        <v>79</v>
      </c>
      <c r="BI22" s="2" t="s">
        <v>107</v>
      </c>
      <c r="BJ22" s="2" t="s">
        <v>488</v>
      </c>
      <c r="BK22" s="2" t="s">
        <v>79</v>
      </c>
      <c r="BL22" s="2" t="s">
        <v>109</v>
      </c>
      <c r="BM22" s="2">
        <v>2018</v>
      </c>
    </row>
    <row r="23" spans="1:65" ht="409.5" x14ac:dyDescent="0.25">
      <c r="A23" s="2" t="s">
        <v>489</v>
      </c>
      <c r="B23" s="2" t="s">
        <v>92</v>
      </c>
      <c r="C23" s="2" t="s">
        <v>491</v>
      </c>
      <c r="D23" s="2" t="s">
        <v>80</v>
      </c>
      <c r="E23" s="2"/>
      <c r="F23" s="2"/>
      <c r="G23" s="2" t="s">
        <v>89</v>
      </c>
      <c r="H23" s="2" t="s">
        <v>79</v>
      </c>
      <c r="I23" s="2" t="s">
        <v>90</v>
      </c>
      <c r="J23" s="2" t="s">
        <v>111</v>
      </c>
      <c r="K23" s="2" t="s">
        <v>80</v>
      </c>
      <c r="L23" s="2"/>
      <c r="M23" s="2"/>
      <c r="N23" s="2"/>
      <c r="O23" s="2"/>
      <c r="P23" s="2" t="s">
        <v>80</v>
      </c>
      <c r="Q23" s="2"/>
      <c r="R23" s="2" t="s">
        <v>92</v>
      </c>
      <c r="S23" s="2" t="s">
        <v>476</v>
      </c>
      <c r="T23" s="2" t="s">
        <v>465</v>
      </c>
      <c r="U23" s="2" t="s">
        <v>492</v>
      </c>
      <c r="V23" s="2" t="s">
        <v>95</v>
      </c>
      <c r="W23" s="2" t="s">
        <v>493</v>
      </c>
      <c r="X23" s="2" t="s">
        <v>494</v>
      </c>
      <c r="Y23" s="2" t="s">
        <v>80</v>
      </c>
      <c r="Z23" s="2"/>
      <c r="AA23" s="2"/>
      <c r="AB23" s="2" t="s">
        <v>495</v>
      </c>
      <c r="AC23" s="2" t="s">
        <v>79</v>
      </c>
      <c r="AD23" s="2" t="s">
        <v>496</v>
      </c>
      <c r="AE23" s="2" t="s">
        <v>490</v>
      </c>
      <c r="AF23" s="2" t="s">
        <v>82</v>
      </c>
      <c r="AG23" s="2">
        <v>8.5</v>
      </c>
      <c r="AH23" s="2" t="s">
        <v>84</v>
      </c>
      <c r="AI23" s="2" t="s">
        <v>84</v>
      </c>
      <c r="AJ23" s="2" t="s">
        <v>84</v>
      </c>
      <c r="AK23" s="2" t="s">
        <v>84</v>
      </c>
      <c r="AL23" s="2" t="s">
        <v>84</v>
      </c>
      <c r="AM23" s="2" t="s">
        <v>84</v>
      </c>
      <c r="AN23" s="2" t="s">
        <v>84</v>
      </c>
      <c r="AO23" s="2" t="s">
        <v>86</v>
      </c>
      <c r="AP23" s="2" t="s">
        <v>84</v>
      </c>
      <c r="AQ23" s="2" t="s">
        <v>85</v>
      </c>
      <c r="AR23" s="2"/>
      <c r="AS23" s="2" t="s">
        <v>80</v>
      </c>
      <c r="AT23" s="2"/>
      <c r="AU23" s="2"/>
      <c r="AV23" s="2" t="s">
        <v>80</v>
      </c>
      <c r="AW23" s="2"/>
      <c r="AX23" s="2"/>
      <c r="AY23" s="2" t="s">
        <v>100</v>
      </c>
      <c r="AZ23" s="2" t="s">
        <v>497</v>
      </c>
      <c r="BA23" s="2" t="s">
        <v>102</v>
      </c>
      <c r="BB23" s="2" t="s">
        <v>79</v>
      </c>
      <c r="BC23" s="2"/>
      <c r="BD23" s="2" t="s">
        <v>498</v>
      </c>
      <c r="BE23" s="2" t="s">
        <v>153</v>
      </c>
      <c r="BF23" s="2" t="s">
        <v>499</v>
      </c>
      <c r="BG23" s="2" t="s">
        <v>79</v>
      </c>
      <c r="BH23" s="2" t="s">
        <v>79</v>
      </c>
      <c r="BI23" s="2" t="s">
        <v>107</v>
      </c>
      <c r="BJ23" s="2" t="s">
        <v>500</v>
      </c>
      <c r="BK23" s="2" t="s">
        <v>79</v>
      </c>
      <c r="BL23" s="2" t="s">
        <v>109</v>
      </c>
      <c r="BM23" s="2">
        <v>2018</v>
      </c>
    </row>
    <row r="24" spans="1:65" ht="409.5" x14ac:dyDescent="0.25">
      <c r="A24" s="2" t="s">
        <v>516</v>
      </c>
      <c r="B24" s="2" t="s">
        <v>92</v>
      </c>
      <c r="C24" s="2" t="s">
        <v>519</v>
      </c>
      <c r="D24" s="2" t="s">
        <v>79</v>
      </c>
      <c r="E24" s="2" t="s">
        <v>79</v>
      </c>
      <c r="F24" s="2" t="s">
        <v>520</v>
      </c>
      <c r="G24" s="2" t="s">
        <v>89</v>
      </c>
      <c r="H24" s="2" t="s">
        <v>79</v>
      </c>
      <c r="I24" s="2" t="s">
        <v>116</v>
      </c>
      <c r="J24" s="2" t="s">
        <v>270</v>
      </c>
      <c r="K24" s="2" t="s">
        <v>79</v>
      </c>
      <c r="L24" s="2" t="s">
        <v>92</v>
      </c>
      <c r="M24" s="2" t="s">
        <v>521</v>
      </c>
      <c r="N24" s="2"/>
      <c r="O24" s="2"/>
      <c r="P24" s="2" t="s">
        <v>80</v>
      </c>
      <c r="Q24" s="2"/>
      <c r="R24" s="2" t="s">
        <v>92</v>
      </c>
      <c r="S24" s="2" t="s">
        <v>517</v>
      </c>
      <c r="T24" s="2"/>
      <c r="U24" s="2" t="s">
        <v>522</v>
      </c>
      <c r="V24" s="2" t="s">
        <v>95</v>
      </c>
      <c r="W24" s="2" t="s">
        <v>523</v>
      </c>
      <c r="X24" s="2" t="s">
        <v>524</v>
      </c>
      <c r="Y24" s="2" t="s">
        <v>80</v>
      </c>
      <c r="Z24" s="2"/>
      <c r="AA24" s="2"/>
      <c r="AB24" s="2" t="s">
        <v>525</v>
      </c>
      <c r="AC24" s="2" t="s">
        <v>79</v>
      </c>
      <c r="AD24" s="2" t="s">
        <v>526</v>
      </c>
      <c r="AE24" s="2" t="s">
        <v>518</v>
      </c>
      <c r="AF24" s="2" t="s">
        <v>82</v>
      </c>
      <c r="AG24" s="2">
        <v>8.5</v>
      </c>
      <c r="AH24" s="2" t="s">
        <v>84</v>
      </c>
      <c r="AI24" s="2" t="s">
        <v>84</v>
      </c>
      <c r="AJ24" s="2" t="s">
        <v>84</v>
      </c>
      <c r="AK24" s="2" t="s">
        <v>84</v>
      </c>
      <c r="AL24" s="2" t="s">
        <v>84</v>
      </c>
      <c r="AM24" s="2" t="s">
        <v>84</v>
      </c>
      <c r="AN24" s="2" t="s">
        <v>84</v>
      </c>
      <c r="AO24" s="2" t="s">
        <v>86</v>
      </c>
      <c r="AP24" s="2" t="s">
        <v>84</v>
      </c>
      <c r="AQ24" s="2" t="s">
        <v>85</v>
      </c>
      <c r="AR24" s="2"/>
      <c r="AS24" s="2" t="s">
        <v>80</v>
      </c>
      <c r="AT24" s="2"/>
      <c r="AU24" s="2"/>
      <c r="AV24" s="2" t="s">
        <v>79</v>
      </c>
      <c r="AW24" s="2" t="s">
        <v>92</v>
      </c>
      <c r="AX24" s="2" t="s">
        <v>527</v>
      </c>
      <c r="AY24" s="2" t="s">
        <v>100</v>
      </c>
      <c r="AZ24" s="2" t="s">
        <v>528</v>
      </c>
      <c r="BA24" s="2" t="s">
        <v>102</v>
      </c>
      <c r="BB24" s="2" t="s">
        <v>79</v>
      </c>
      <c r="BC24" s="2"/>
      <c r="BD24" s="2" t="s">
        <v>529</v>
      </c>
      <c r="BE24" s="2" t="s">
        <v>104</v>
      </c>
      <c r="BF24" s="2" t="s">
        <v>530</v>
      </c>
      <c r="BG24" s="2" t="s">
        <v>79</v>
      </c>
      <c r="BH24" s="2" t="s">
        <v>79</v>
      </c>
      <c r="BI24" s="2" t="s">
        <v>429</v>
      </c>
      <c r="BJ24" s="2" t="s">
        <v>531</v>
      </c>
      <c r="BK24" s="2" t="s">
        <v>79</v>
      </c>
      <c r="BL24" s="2" t="s">
        <v>109</v>
      </c>
      <c r="BM24" s="2">
        <v>2019</v>
      </c>
    </row>
    <row r="25" spans="1:65" ht="409.5" x14ac:dyDescent="0.25">
      <c r="A25" s="2" t="s">
        <v>415</v>
      </c>
      <c r="B25" s="2" t="s">
        <v>80</v>
      </c>
      <c r="C25" s="2" t="s">
        <v>417</v>
      </c>
      <c r="D25" s="2" t="s">
        <v>79</v>
      </c>
      <c r="E25" s="2" t="s">
        <v>92</v>
      </c>
      <c r="F25" s="2" t="s">
        <v>418</v>
      </c>
      <c r="G25" s="2" t="s">
        <v>89</v>
      </c>
      <c r="H25" s="2" t="s">
        <v>79</v>
      </c>
      <c r="I25" s="2" t="s">
        <v>116</v>
      </c>
      <c r="J25" s="2" t="s">
        <v>270</v>
      </c>
      <c r="K25" s="2" t="s">
        <v>79</v>
      </c>
      <c r="L25" s="2" t="s">
        <v>92</v>
      </c>
      <c r="M25" s="2" t="s">
        <v>419</v>
      </c>
      <c r="N25" s="2"/>
      <c r="O25" s="2"/>
      <c r="P25" s="2" t="s">
        <v>80</v>
      </c>
      <c r="Q25" s="2"/>
      <c r="R25" s="2" t="s">
        <v>92</v>
      </c>
      <c r="S25" s="2" t="s">
        <v>271</v>
      </c>
      <c r="T25" s="2" t="s">
        <v>118</v>
      </c>
      <c r="U25" s="2" t="s">
        <v>420</v>
      </c>
      <c r="V25" s="2" t="s">
        <v>95</v>
      </c>
      <c r="W25" s="2" t="s">
        <v>421</v>
      </c>
      <c r="X25" s="2" t="s">
        <v>422</v>
      </c>
      <c r="Y25" s="2" t="s">
        <v>80</v>
      </c>
      <c r="Z25" s="2"/>
      <c r="AA25" s="2"/>
      <c r="AB25" s="2"/>
      <c r="AC25" s="2" t="s">
        <v>79</v>
      </c>
      <c r="AD25" s="2" t="s">
        <v>423</v>
      </c>
      <c r="AE25" s="2" t="s">
        <v>416</v>
      </c>
      <c r="AF25" s="2" t="s">
        <v>82</v>
      </c>
      <c r="AG25" s="2">
        <v>8</v>
      </c>
      <c r="AH25" s="2" t="s">
        <v>84</v>
      </c>
      <c r="AI25" s="2" t="s">
        <v>84</v>
      </c>
      <c r="AJ25" s="2" t="s">
        <v>84</v>
      </c>
      <c r="AK25" s="2" t="s">
        <v>84</v>
      </c>
      <c r="AL25" s="2" t="s">
        <v>84</v>
      </c>
      <c r="AM25" s="2" t="s">
        <v>84</v>
      </c>
      <c r="AN25" s="2" t="s">
        <v>85</v>
      </c>
      <c r="AO25" s="2" t="s">
        <v>86</v>
      </c>
      <c r="AP25" s="2" t="s">
        <v>84</v>
      </c>
      <c r="AQ25" s="2" t="s">
        <v>85</v>
      </c>
      <c r="AR25" s="2" t="s">
        <v>80</v>
      </c>
      <c r="AS25" s="2" t="s">
        <v>80</v>
      </c>
      <c r="AT25" s="2"/>
      <c r="AU25" s="2" t="s">
        <v>80</v>
      </c>
      <c r="AV25" s="2" t="s">
        <v>79</v>
      </c>
      <c r="AW25" s="2" t="s">
        <v>92</v>
      </c>
      <c r="AX25" s="2" t="s">
        <v>424</v>
      </c>
      <c r="AY25" s="2" t="s">
        <v>303</v>
      </c>
      <c r="AZ25" s="2" t="s">
        <v>425</v>
      </c>
      <c r="BA25" s="2" t="s">
        <v>426</v>
      </c>
      <c r="BB25" s="2" t="s">
        <v>79</v>
      </c>
      <c r="BC25" s="2" t="s">
        <v>427</v>
      </c>
      <c r="BD25" s="2" t="s">
        <v>428</v>
      </c>
      <c r="BE25" s="2" t="s">
        <v>104</v>
      </c>
      <c r="BF25" s="2"/>
      <c r="BG25" s="2" t="s">
        <v>80</v>
      </c>
      <c r="BH25" s="2" t="s">
        <v>106</v>
      </c>
      <c r="BI25" s="2" t="s">
        <v>429</v>
      </c>
      <c r="BJ25" s="2" t="s">
        <v>430</v>
      </c>
      <c r="BK25" s="2" t="s">
        <v>79</v>
      </c>
      <c r="BL25" s="2" t="s">
        <v>109</v>
      </c>
      <c r="BM25" s="2">
        <v>2018</v>
      </c>
    </row>
    <row r="26" spans="1:65" ht="409.5" x14ac:dyDescent="0.25">
      <c r="A26" s="2" t="s">
        <v>547</v>
      </c>
      <c r="B26" s="2" t="s">
        <v>92</v>
      </c>
      <c r="C26" s="2" t="s">
        <v>550</v>
      </c>
      <c r="D26" s="2" t="s">
        <v>79</v>
      </c>
      <c r="E26" s="2" t="s">
        <v>92</v>
      </c>
      <c r="F26" s="2" t="s">
        <v>551</v>
      </c>
      <c r="G26" s="2" t="s">
        <v>89</v>
      </c>
      <c r="H26" s="2" t="s">
        <v>79</v>
      </c>
      <c r="I26" s="2" t="s">
        <v>90</v>
      </c>
      <c r="J26" s="2" t="s">
        <v>78</v>
      </c>
      <c r="K26" s="2" t="s">
        <v>79</v>
      </c>
      <c r="L26" s="2" t="s">
        <v>92</v>
      </c>
      <c r="M26" s="2" t="s">
        <v>552</v>
      </c>
      <c r="N26" s="2"/>
      <c r="O26" s="2"/>
      <c r="P26" s="2" t="s">
        <v>80</v>
      </c>
      <c r="Q26" s="2"/>
      <c r="R26" s="2" t="s">
        <v>92</v>
      </c>
      <c r="S26" s="2" t="s">
        <v>548</v>
      </c>
      <c r="T26" s="2" t="s">
        <v>553</v>
      </c>
      <c r="U26" s="2" t="s">
        <v>554</v>
      </c>
      <c r="V26" s="2" t="s">
        <v>95</v>
      </c>
      <c r="W26" s="2" t="s">
        <v>555</v>
      </c>
      <c r="X26" s="2" t="s">
        <v>556</v>
      </c>
      <c r="Y26" s="2" t="s">
        <v>80</v>
      </c>
      <c r="Z26" s="2"/>
      <c r="AA26" s="2"/>
      <c r="AB26" s="2" t="s">
        <v>557</v>
      </c>
      <c r="AC26" s="2" t="s">
        <v>79</v>
      </c>
      <c r="AD26" s="2" t="s">
        <v>558</v>
      </c>
      <c r="AE26" s="2" t="s">
        <v>549</v>
      </c>
      <c r="AF26" s="2" t="s">
        <v>82</v>
      </c>
      <c r="AG26" s="2">
        <v>8.5</v>
      </c>
      <c r="AH26" s="2" t="s">
        <v>84</v>
      </c>
      <c r="AI26" s="2" t="s">
        <v>84</v>
      </c>
      <c r="AJ26" s="2" t="s">
        <v>84</v>
      </c>
      <c r="AK26" s="2" t="s">
        <v>84</v>
      </c>
      <c r="AL26" s="2" t="s">
        <v>84</v>
      </c>
      <c r="AM26" s="2" t="s">
        <v>84</v>
      </c>
      <c r="AN26" s="2" t="s">
        <v>84</v>
      </c>
      <c r="AO26" s="2" t="s">
        <v>86</v>
      </c>
      <c r="AP26" s="2" t="s">
        <v>84</v>
      </c>
      <c r="AQ26" s="2" t="s">
        <v>85</v>
      </c>
      <c r="AR26" s="2"/>
      <c r="AS26" s="2" t="s">
        <v>80</v>
      </c>
      <c r="AT26" s="2"/>
      <c r="AU26" s="2"/>
      <c r="AV26" s="2" t="s">
        <v>79</v>
      </c>
      <c r="AW26" s="2" t="s">
        <v>92</v>
      </c>
      <c r="AX26" s="2" t="s">
        <v>559</v>
      </c>
      <c r="AY26" s="2" t="s">
        <v>100</v>
      </c>
      <c r="AZ26" s="2" t="s">
        <v>560</v>
      </c>
      <c r="BA26" s="2" t="s">
        <v>102</v>
      </c>
      <c r="BB26" s="2" t="s">
        <v>79</v>
      </c>
      <c r="BC26" s="2"/>
      <c r="BD26" s="2" t="s">
        <v>561</v>
      </c>
      <c r="BE26" s="2" t="s">
        <v>153</v>
      </c>
      <c r="BF26" s="2" t="s">
        <v>562</v>
      </c>
      <c r="BG26" s="2" t="s">
        <v>79</v>
      </c>
      <c r="BH26" s="2" t="s">
        <v>79</v>
      </c>
      <c r="BI26" s="2" t="s">
        <v>563</v>
      </c>
      <c r="BJ26" s="2" t="s">
        <v>564</v>
      </c>
      <c r="BK26" s="2" t="s">
        <v>79</v>
      </c>
      <c r="BL26" s="2" t="s">
        <v>109</v>
      </c>
      <c r="BM26" s="2">
        <v>2019</v>
      </c>
    </row>
    <row r="27" spans="1:65" ht="409.5" x14ac:dyDescent="0.25">
      <c r="A27" s="2" t="s">
        <v>532</v>
      </c>
      <c r="B27" s="2" t="s">
        <v>80</v>
      </c>
      <c r="C27" s="2" t="s">
        <v>534</v>
      </c>
      <c r="D27" s="2" t="s">
        <v>79</v>
      </c>
      <c r="E27" s="2" t="s">
        <v>92</v>
      </c>
      <c r="F27" s="2" t="s">
        <v>535</v>
      </c>
      <c r="G27" s="2" t="s">
        <v>89</v>
      </c>
      <c r="H27" s="2" t="s">
        <v>106</v>
      </c>
      <c r="I27" s="2" t="s">
        <v>90</v>
      </c>
      <c r="J27" s="2" t="s">
        <v>111</v>
      </c>
      <c r="K27" s="2" t="s">
        <v>79</v>
      </c>
      <c r="L27" s="2" t="s">
        <v>92</v>
      </c>
      <c r="M27" s="2" t="s">
        <v>536</v>
      </c>
      <c r="N27" s="2"/>
      <c r="O27" s="2"/>
      <c r="P27" s="2" t="s">
        <v>80</v>
      </c>
      <c r="Q27" s="2"/>
      <c r="R27" s="2" t="s">
        <v>92</v>
      </c>
      <c r="S27" s="2" t="s">
        <v>271</v>
      </c>
      <c r="T27" s="2" t="s">
        <v>118</v>
      </c>
      <c r="U27" s="2" t="s">
        <v>537</v>
      </c>
      <c r="V27" s="2" t="s">
        <v>95</v>
      </c>
      <c r="W27" s="2" t="s">
        <v>538</v>
      </c>
      <c r="X27" s="2" t="s">
        <v>539</v>
      </c>
      <c r="Y27" s="2" t="s">
        <v>80</v>
      </c>
      <c r="Z27" s="2"/>
      <c r="AA27" s="2"/>
      <c r="AB27" s="2" t="s">
        <v>540</v>
      </c>
      <c r="AC27" s="2" t="s">
        <v>79</v>
      </c>
      <c r="AD27" s="2" t="s">
        <v>541</v>
      </c>
      <c r="AE27" s="2" t="s">
        <v>533</v>
      </c>
      <c r="AF27" s="2" t="s">
        <v>82</v>
      </c>
      <c r="AG27" s="2">
        <v>8.5</v>
      </c>
      <c r="AH27" s="2" t="s">
        <v>84</v>
      </c>
      <c r="AI27" s="2" t="s">
        <v>84</v>
      </c>
      <c r="AJ27" s="2" t="s">
        <v>84</v>
      </c>
      <c r="AK27" s="2" t="s">
        <v>84</v>
      </c>
      <c r="AL27" s="2" t="s">
        <v>84</v>
      </c>
      <c r="AM27" s="2" t="s">
        <v>84</v>
      </c>
      <c r="AN27" s="2" t="s">
        <v>84</v>
      </c>
      <c r="AO27" s="2" t="s">
        <v>86</v>
      </c>
      <c r="AP27" s="2" t="s">
        <v>84</v>
      </c>
      <c r="AQ27" s="2" t="s">
        <v>85</v>
      </c>
      <c r="AR27" s="2"/>
      <c r="AS27" s="2" t="s">
        <v>80</v>
      </c>
      <c r="AT27" s="2"/>
      <c r="AU27" s="2"/>
      <c r="AV27" s="2" t="s">
        <v>79</v>
      </c>
      <c r="AW27" s="2" t="s">
        <v>92</v>
      </c>
      <c r="AX27" s="2" t="s">
        <v>542</v>
      </c>
      <c r="AY27" s="2" t="s">
        <v>100</v>
      </c>
      <c r="AZ27" s="2" t="s">
        <v>543</v>
      </c>
      <c r="BA27" s="2" t="s">
        <v>102</v>
      </c>
      <c r="BB27" s="2" t="s">
        <v>79</v>
      </c>
      <c r="BC27" s="2"/>
      <c r="BD27" s="2" t="s">
        <v>544</v>
      </c>
      <c r="BE27" s="2" t="s">
        <v>153</v>
      </c>
      <c r="BF27" s="2"/>
      <c r="BG27" s="2" t="s">
        <v>80</v>
      </c>
      <c r="BH27" s="2" t="s">
        <v>79</v>
      </c>
      <c r="BI27" s="2" t="s">
        <v>545</v>
      </c>
      <c r="BJ27" s="2" t="s">
        <v>546</v>
      </c>
      <c r="BK27" s="2" t="s">
        <v>79</v>
      </c>
      <c r="BL27" s="2" t="s">
        <v>109</v>
      </c>
      <c r="BM27" s="2">
        <v>2019</v>
      </c>
    </row>
    <row r="28" spans="1:65" ht="409.5" x14ac:dyDescent="0.25">
      <c r="A28" s="2" t="s">
        <v>431</v>
      </c>
      <c r="B28" s="2" t="s">
        <v>92</v>
      </c>
      <c r="C28" s="2" t="s">
        <v>433</v>
      </c>
      <c r="D28" s="2" t="s">
        <v>79</v>
      </c>
      <c r="E28" s="2" t="s">
        <v>79</v>
      </c>
      <c r="F28" s="2" t="s">
        <v>434</v>
      </c>
      <c r="G28" s="2" t="s">
        <v>89</v>
      </c>
      <c r="H28" s="2" t="s">
        <v>79</v>
      </c>
      <c r="I28" s="2" t="s">
        <v>116</v>
      </c>
      <c r="J28" s="2" t="s">
        <v>270</v>
      </c>
      <c r="K28" s="2" t="s">
        <v>79</v>
      </c>
      <c r="L28" s="2" t="s">
        <v>92</v>
      </c>
      <c r="M28" s="2" t="s">
        <v>435</v>
      </c>
      <c r="N28" s="2" t="s">
        <v>276</v>
      </c>
      <c r="O28" s="2" t="s">
        <v>277</v>
      </c>
      <c r="P28" s="2" t="s">
        <v>79</v>
      </c>
      <c r="Q28" s="2" t="s">
        <v>436</v>
      </c>
      <c r="R28" s="2" t="s">
        <v>92</v>
      </c>
      <c r="S28" s="2" t="s">
        <v>224</v>
      </c>
      <c r="T28" s="2" t="s">
        <v>437</v>
      </c>
      <c r="U28" s="2" t="s">
        <v>438</v>
      </c>
      <c r="V28" s="2" t="s">
        <v>95</v>
      </c>
      <c r="W28" s="2" t="s">
        <v>439</v>
      </c>
      <c r="X28" s="2" t="s">
        <v>440</v>
      </c>
      <c r="Y28" s="2" t="s">
        <v>80</v>
      </c>
      <c r="Z28" s="2"/>
      <c r="AA28" s="2"/>
      <c r="AB28" s="2"/>
      <c r="AC28" s="2" t="s">
        <v>79</v>
      </c>
      <c r="AD28" s="2" t="s">
        <v>441</v>
      </c>
      <c r="AE28" s="2" t="s">
        <v>432</v>
      </c>
      <c r="AF28" s="2" t="s">
        <v>82</v>
      </c>
      <c r="AG28" s="2">
        <v>9.5</v>
      </c>
      <c r="AH28" s="2" t="s">
        <v>84</v>
      </c>
      <c r="AI28" s="2" t="s">
        <v>84</v>
      </c>
      <c r="AJ28" s="2" t="s">
        <v>84</v>
      </c>
      <c r="AK28" s="2" t="s">
        <v>84</v>
      </c>
      <c r="AL28" s="2" t="s">
        <v>84</v>
      </c>
      <c r="AM28" s="2" t="s">
        <v>84</v>
      </c>
      <c r="AN28" s="2" t="s">
        <v>84</v>
      </c>
      <c r="AO28" s="2" t="s">
        <v>84</v>
      </c>
      <c r="AP28" s="2" t="s">
        <v>84</v>
      </c>
      <c r="AQ28" s="2" t="s">
        <v>85</v>
      </c>
      <c r="AR28" s="2" t="s">
        <v>80</v>
      </c>
      <c r="AS28" s="2" t="s">
        <v>80</v>
      </c>
      <c r="AT28" s="2"/>
      <c r="AU28" s="2" t="s">
        <v>80</v>
      </c>
      <c r="AV28" s="2" t="s">
        <v>79</v>
      </c>
      <c r="AW28" s="2" t="s">
        <v>92</v>
      </c>
      <c r="AX28" s="2" t="s">
        <v>442</v>
      </c>
      <c r="AY28" s="2" t="s">
        <v>100</v>
      </c>
      <c r="AZ28" s="2" t="s">
        <v>443</v>
      </c>
      <c r="BA28" s="2" t="s">
        <v>102</v>
      </c>
      <c r="BB28" s="2" t="s">
        <v>79</v>
      </c>
      <c r="BC28" s="2" t="s">
        <v>444</v>
      </c>
      <c r="BD28" s="2" t="s">
        <v>445</v>
      </c>
      <c r="BE28" s="2" t="s">
        <v>153</v>
      </c>
      <c r="BF28" s="2" t="s">
        <v>446</v>
      </c>
      <c r="BG28" s="2" t="s">
        <v>79</v>
      </c>
      <c r="BH28" s="2" t="s">
        <v>79</v>
      </c>
      <c r="BI28" s="2" t="s">
        <v>289</v>
      </c>
      <c r="BJ28" s="2" t="s">
        <v>447</v>
      </c>
      <c r="BK28" s="2" t="s">
        <v>79</v>
      </c>
      <c r="BL28" s="2" t="s">
        <v>109</v>
      </c>
      <c r="BM28" s="2">
        <v>2018</v>
      </c>
    </row>
    <row r="29" spans="1:65" ht="409.5" x14ac:dyDescent="0.25">
      <c r="A29" s="2" t="s">
        <v>463</v>
      </c>
      <c r="B29" s="2" t="s">
        <v>92</v>
      </c>
      <c r="C29" s="2" t="s">
        <v>464</v>
      </c>
      <c r="D29" s="2" t="s">
        <v>80</v>
      </c>
      <c r="E29" s="2"/>
      <c r="F29" s="2"/>
      <c r="G29" s="2" t="s">
        <v>89</v>
      </c>
      <c r="H29" s="2" t="s">
        <v>79</v>
      </c>
      <c r="I29" s="2" t="s">
        <v>90</v>
      </c>
      <c r="J29" s="2" t="s">
        <v>78</v>
      </c>
      <c r="K29" s="2" t="s">
        <v>80</v>
      </c>
      <c r="L29" s="2"/>
      <c r="M29" s="2"/>
      <c r="N29" s="2"/>
      <c r="O29" s="2"/>
      <c r="P29" s="2" t="s">
        <v>80</v>
      </c>
      <c r="Q29" s="2"/>
      <c r="R29" s="2" t="s">
        <v>92</v>
      </c>
      <c r="S29" s="2"/>
      <c r="T29" s="2" t="s">
        <v>465</v>
      </c>
      <c r="U29" s="2" t="s">
        <v>466</v>
      </c>
      <c r="V29" s="2" t="s">
        <v>95</v>
      </c>
      <c r="W29" s="2" t="s">
        <v>467</v>
      </c>
      <c r="X29" s="2" t="s">
        <v>468</v>
      </c>
      <c r="Y29" s="2" t="s">
        <v>80</v>
      </c>
      <c r="Z29" s="2"/>
      <c r="AA29" s="2"/>
      <c r="AB29" s="2" t="s">
        <v>469</v>
      </c>
      <c r="AC29" s="2" t="s">
        <v>79</v>
      </c>
      <c r="AD29" s="2" t="s">
        <v>470</v>
      </c>
      <c r="AE29" s="2"/>
      <c r="AF29" s="2" t="s">
        <v>82</v>
      </c>
      <c r="AG29" s="2">
        <v>8.5</v>
      </c>
      <c r="AH29" s="2" t="s">
        <v>84</v>
      </c>
      <c r="AI29" s="2" t="s">
        <v>84</v>
      </c>
      <c r="AJ29" s="2" t="s">
        <v>84</v>
      </c>
      <c r="AK29" s="2" t="s">
        <v>84</v>
      </c>
      <c r="AL29" s="2" t="s">
        <v>84</v>
      </c>
      <c r="AM29" s="2" t="s">
        <v>84</v>
      </c>
      <c r="AN29" s="2" t="s">
        <v>84</v>
      </c>
      <c r="AO29" s="2" t="s">
        <v>86</v>
      </c>
      <c r="AP29" s="2" t="s">
        <v>84</v>
      </c>
      <c r="AQ29" s="2" t="s">
        <v>85</v>
      </c>
      <c r="AR29" s="2"/>
      <c r="AS29" s="2" t="s">
        <v>80</v>
      </c>
      <c r="AT29" s="2"/>
      <c r="AU29" s="2"/>
      <c r="AV29" s="2" t="s">
        <v>80</v>
      </c>
      <c r="AW29" s="2"/>
      <c r="AX29" s="2"/>
      <c r="AY29" s="2" t="s">
        <v>100</v>
      </c>
      <c r="AZ29" s="2" t="s">
        <v>471</v>
      </c>
      <c r="BA29" s="2" t="s">
        <v>102</v>
      </c>
      <c r="BB29" s="2" t="s">
        <v>79</v>
      </c>
      <c r="BC29" s="2"/>
      <c r="BD29" s="2" t="s">
        <v>472</v>
      </c>
      <c r="BE29" s="2" t="s">
        <v>153</v>
      </c>
      <c r="BF29" s="2" t="s">
        <v>473</v>
      </c>
      <c r="BG29" s="2" t="s">
        <v>92</v>
      </c>
      <c r="BH29" s="2" t="s">
        <v>79</v>
      </c>
      <c r="BI29" s="2" t="s">
        <v>429</v>
      </c>
      <c r="BJ29" s="2" t="s">
        <v>474</v>
      </c>
      <c r="BK29" s="2" t="s">
        <v>79</v>
      </c>
      <c r="BL29" s="2" t="s">
        <v>109</v>
      </c>
      <c r="BM29" s="2">
        <v>2018</v>
      </c>
    </row>
    <row r="30" spans="1:65" ht="409.5" x14ac:dyDescent="0.25">
      <c r="A30" s="2" t="s">
        <v>501</v>
      </c>
      <c r="B30" s="2" t="s">
        <v>80</v>
      </c>
      <c r="C30" s="2" t="s">
        <v>504</v>
      </c>
      <c r="D30" s="2" t="s">
        <v>79</v>
      </c>
      <c r="E30" s="2" t="s">
        <v>92</v>
      </c>
      <c r="F30" s="2" t="s">
        <v>505</v>
      </c>
      <c r="G30" s="2" t="s">
        <v>143</v>
      </c>
      <c r="H30" s="2" t="s">
        <v>106</v>
      </c>
      <c r="I30" s="2" t="s">
        <v>90</v>
      </c>
      <c r="J30" s="2" t="s">
        <v>111</v>
      </c>
      <c r="K30" s="2" t="s">
        <v>79</v>
      </c>
      <c r="L30" s="2" t="s">
        <v>106</v>
      </c>
      <c r="M30" s="2" t="s">
        <v>506</v>
      </c>
      <c r="N30" s="2"/>
      <c r="O30" s="2"/>
      <c r="P30" s="2" t="s">
        <v>80</v>
      </c>
      <c r="Q30" s="2"/>
      <c r="R30" s="2" t="s">
        <v>92</v>
      </c>
      <c r="S30" s="2" t="s">
        <v>502</v>
      </c>
      <c r="T30" s="2"/>
      <c r="U30" s="2" t="s">
        <v>507</v>
      </c>
      <c r="V30" s="2" t="s">
        <v>95</v>
      </c>
      <c r="W30" s="2" t="s">
        <v>508</v>
      </c>
      <c r="X30" s="2" t="s">
        <v>509</v>
      </c>
      <c r="Y30" s="2" t="s">
        <v>80</v>
      </c>
      <c r="Z30" s="2"/>
      <c r="AA30" s="2"/>
      <c r="AB30" s="2" t="s">
        <v>510</v>
      </c>
      <c r="AC30" s="2" t="s">
        <v>79</v>
      </c>
      <c r="AD30" s="2" t="s">
        <v>511</v>
      </c>
      <c r="AE30" s="2" t="s">
        <v>503</v>
      </c>
      <c r="AF30" s="2" t="s">
        <v>82</v>
      </c>
      <c r="AG30" s="2">
        <v>7.5</v>
      </c>
      <c r="AH30" s="2" t="s">
        <v>84</v>
      </c>
      <c r="AI30" s="2" t="s">
        <v>84</v>
      </c>
      <c r="AJ30" s="2" t="s">
        <v>85</v>
      </c>
      <c r="AK30" s="2" t="s">
        <v>84</v>
      </c>
      <c r="AL30" s="2" t="s">
        <v>84</v>
      </c>
      <c r="AM30" s="2" t="s">
        <v>84</v>
      </c>
      <c r="AN30" s="2" t="s">
        <v>84</v>
      </c>
      <c r="AO30" s="2" t="s">
        <v>86</v>
      </c>
      <c r="AP30" s="2" t="s">
        <v>86</v>
      </c>
      <c r="AQ30" s="2" t="s">
        <v>84</v>
      </c>
      <c r="AR30" s="2"/>
      <c r="AS30" s="2" t="s">
        <v>80</v>
      </c>
      <c r="AT30" s="2"/>
      <c r="AU30" s="2"/>
      <c r="AV30" s="2" t="s">
        <v>79</v>
      </c>
      <c r="AW30" s="2" t="s">
        <v>106</v>
      </c>
      <c r="AX30" s="2" t="s">
        <v>512</v>
      </c>
      <c r="AY30" s="2" t="s">
        <v>303</v>
      </c>
      <c r="AZ30" s="2" t="s">
        <v>513</v>
      </c>
      <c r="BA30" s="2" t="s">
        <v>514</v>
      </c>
      <c r="BB30" s="2" t="s">
        <v>79</v>
      </c>
      <c r="BC30" s="2"/>
      <c r="BD30" s="2" t="s">
        <v>515</v>
      </c>
      <c r="BE30" s="2" t="s">
        <v>104</v>
      </c>
      <c r="BF30" s="2"/>
      <c r="BG30" s="2" t="s">
        <v>80</v>
      </c>
      <c r="BH30" s="2" t="s">
        <v>79</v>
      </c>
      <c r="BI30" s="2" t="s">
        <v>155</v>
      </c>
      <c r="BJ30" s="2"/>
      <c r="BK30" s="2" t="s">
        <v>80</v>
      </c>
      <c r="BL30" s="2" t="s">
        <v>109</v>
      </c>
      <c r="BM30" s="2">
        <v>2018</v>
      </c>
    </row>
    <row r="31" spans="1:65" ht="409.5" x14ac:dyDescent="0.25">
      <c r="A31" s="2" t="s">
        <v>448</v>
      </c>
      <c r="B31" s="2" t="s">
        <v>92</v>
      </c>
      <c r="C31" s="2" t="s">
        <v>450</v>
      </c>
      <c r="D31" s="2" t="s">
        <v>79</v>
      </c>
      <c r="E31" s="2" t="s">
        <v>79</v>
      </c>
      <c r="F31" s="2" t="s">
        <v>451</v>
      </c>
      <c r="G31" s="2" t="s">
        <v>89</v>
      </c>
      <c r="H31" s="2" t="s">
        <v>79</v>
      </c>
      <c r="I31" s="2" t="s">
        <v>116</v>
      </c>
      <c r="J31" s="2" t="s">
        <v>111</v>
      </c>
      <c r="K31" s="2" t="s">
        <v>79</v>
      </c>
      <c r="L31" s="2" t="s">
        <v>92</v>
      </c>
      <c r="M31" s="2" t="s">
        <v>452</v>
      </c>
      <c r="N31" s="2"/>
      <c r="O31" s="2"/>
      <c r="P31" s="2" t="s">
        <v>80</v>
      </c>
      <c r="Q31" s="2"/>
      <c r="R31" s="2" t="s">
        <v>92</v>
      </c>
      <c r="S31" s="2" t="s">
        <v>224</v>
      </c>
      <c r="T31" s="2" t="s">
        <v>453</v>
      </c>
      <c r="U31" s="2" t="s">
        <v>454</v>
      </c>
      <c r="V31" s="2" t="s">
        <v>95</v>
      </c>
      <c r="W31" s="2" t="s">
        <v>455</v>
      </c>
      <c r="X31" s="2" t="s">
        <v>456</v>
      </c>
      <c r="Y31" s="2" t="s">
        <v>80</v>
      </c>
      <c r="Z31" s="2"/>
      <c r="AA31" s="2"/>
      <c r="AB31" s="2"/>
      <c r="AC31" s="2" t="s">
        <v>79</v>
      </c>
      <c r="AD31" s="2" t="s">
        <v>457</v>
      </c>
      <c r="AE31" s="2" t="s">
        <v>449</v>
      </c>
      <c r="AF31" s="2" t="s">
        <v>82</v>
      </c>
      <c r="AG31" s="2">
        <v>8.5</v>
      </c>
      <c r="AH31" s="2" t="s">
        <v>84</v>
      </c>
      <c r="AI31" s="2" t="s">
        <v>84</v>
      </c>
      <c r="AJ31" s="2" t="s">
        <v>84</v>
      </c>
      <c r="AK31" s="2" t="s">
        <v>84</v>
      </c>
      <c r="AL31" s="2" t="s">
        <v>84</v>
      </c>
      <c r="AM31" s="2" t="s">
        <v>84</v>
      </c>
      <c r="AN31" s="2" t="s">
        <v>85</v>
      </c>
      <c r="AO31" s="2" t="s">
        <v>86</v>
      </c>
      <c r="AP31" s="2" t="s">
        <v>84</v>
      </c>
      <c r="AQ31" s="2" t="s">
        <v>84</v>
      </c>
      <c r="AR31" s="2" t="s">
        <v>80</v>
      </c>
      <c r="AS31" s="2" t="s">
        <v>80</v>
      </c>
      <c r="AT31" s="2"/>
      <c r="AU31" s="2" t="s">
        <v>80</v>
      </c>
      <c r="AV31" s="2" t="s">
        <v>79</v>
      </c>
      <c r="AW31" s="2" t="s">
        <v>92</v>
      </c>
      <c r="AX31" s="2" t="s">
        <v>458</v>
      </c>
      <c r="AY31" s="2" t="s">
        <v>100</v>
      </c>
      <c r="AZ31" s="2" t="s">
        <v>459</v>
      </c>
      <c r="BA31" s="2" t="s">
        <v>102</v>
      </c>
      <c r="BB31" s="2" t="s">
        <v>79</v>
      </c>
      <c r="BC31" s="2" t="s">
        <v>427</v>
      </c>
      <c r="BD31" s="2" t="s">
        <v>460</v>
      </c>
      <c r="BE31" s="2" t="s">
        <v>153</v>
      </c>
      <c r="BF31" s="2" t="s">
        <v>461</v>
      </c>
      <c r="BG31" s="2" t="s">
        <v>79</v>
      </c>
      <c r="BH31" s="2" t="s">
        <v>106</v>
      </c>
      <c r="BI31" s="2" t="s">
        <v>107</v>
      </c>
      <c r="BJ31" s="2" t="s">
        <v>462</v>
      </c>
      <c r="BK31" s="2" t="s">
        <v>79</v>
      </c>
      <c r="BL31" s="2" t="s">
        <v>109</v>
      </c>
      <c r="BM31" s="2">
        <v>2018</v>
      </c>
    </row>
    <row r="32" spans="1:65" ht="409.5" x14ac:dyDescent="0.25">
      <c r="A32" s="2" t="s">
        <v>612</v>
      </c>
      <c r="B32" s="2" t="s">
        <v>80</v>
      </c>
      <c r="C32" s="2" t="s">
        <v>615</v>
      </c>
      <c r="D32" s="2" t="s">
        <v>79</v>
      </c>
      <c r="E32" s="2" t="s">
        <v>92</v>
      </c>
      <c r="F32" s="2" t="s">
        <v>616</v>
      </c>
      <c r="G32" s="2" t="s">
        <v>143</v>
      </c>
      <c r="H32" s="2" t="s">
        <v>79</v>
      </c>
      <c r="I32" s="2" t="s">
        <v>194</v>
      </c>
      <c r="J32" s="2" t="s">
        <v>78</v>
      </c>
      <c r="K32" s="2" t="s">
        <v>79</v>
      </c>
      <c r="L32" s="2" t="s">
        <v>92</v>
      </c>
      <c r="M32" s="2" t="s">
        <v>617</v>
      </c>
      <c r="N32" s="2" t="s">
        <v>618</v>
      </c>
      <c r="O32" s="2" t="s">
        <v>619</v>
      </c>
      <c r="P32" s="2" t="s">
        <v>79</v>
      </c>
      <c r="Q32" s="2" t="s">
        <v>620</v>
      </c>
      <c r="R32" s="2" t="s">
        <v>92</v>
      </c>
      <c r="S32" s="2" t="s">
        <v>613</v>
      </c>
      <c r="T32" s="2" t="s">
        <v>93</v>
      </c>
      <c r="U32" s="2" t="s">
        <v>621</v>
      </c>
      <c r="V32" s="2" t="s">
        <v>95</v>
      </c>
      <c r="W32" s="2" t="s">
        <v>622</v>
      </c>
      <c r="X32" s="2" t="s">
        <v>623</v>
      </c>
      <c r="Y32" s="2" t="s">
        <v>80</v>
      </c>
      <c r="Z32" s="2"/>
      <c r="AA32" s="2"/>
      <c r="AB32" s="2" t="s">
        <v>624</v>
      </c>
      <c r="AC32" s="2" t="s">
        <v>79</v>
      </c>
      <c r="AD32" s="2" t="s">
        <v>625</v>
      </c>
      <c r="AE32" s="2" t="s">
        <v>614</v>
      </c>
      <c r="AF32" s="2" t="s">
        <v>82</v>
      </c>
      <c r="AG32" s="2">
        <v>9.5</v>
      </c>
      <c r="AH32" s="2" t="s">
        <v>84</v>
      </c>
      <c r="AI32" s="2" t="s">
        <v>84</v>
      </c>
      <c r="AJ32" s="2" t="s">
        <v>84</v>
      </c>
      <c r="AK32" s="2" t="s">
        <v>84</v>
      </c>
      <c r="AL32" s="2" t="s">
        <v>84</v>
      </c>
      <c r="AM32" s="2" t="s">
        <v>84</v>
      </c>
      <c r="AN32" s="2" t="s">
        <v>84</v>
      </c>
      <c r="AO32" s="2" t="s">
        <v>84</v>
      </c>
      <c r="AP32" s="2" t="s">
        <v>84</v>
      </c>
      <c r="AQ32" s="2" t="s">
        <v>85</v>
      </c>
      <c r="AR32" s="2"/>
      <c r="AS32" s="2" t="s">
        <v>80</v>
      </c>
      <c r="AT32" s="2"/>
      <c r="AU32" s="2"/>
      <c r="AV32" s="2" t="s">
        <v>79</v>
      </c>
      <c r="AW32" s="2" t="s">
        <v>92</v>
      </c>
      <c r="AX32" s="2" t="s">
        <v>626</v>
      </c>
      <c r="AY32" s="2" t="s">
        <v>303</v>
      </c>
      <c r="AZ32" s="2" t="s">
        <v>627</v>
      </c>
      <c r="BA32" s="2" t="s">
        <v>514</v>
      </c>
      <c r="BB32" s="2" t="s">
        <v>79</v>
      </c>
      <c r="BC32" s="2" t="s">
        <v>628</v>
      </c>
      <c r="BD32" s="2" t="s">
        <v>629</v>
      </c>
      <c r="BE32" s="2" t="s">
        <v>104</v>
      </c>
      <c r="BF32" s="2" t="s">
        <v>630</v>
      </c>
      <c r="BG32" s="2" t="s">
        <v>92</v>
      </c>
      <c r="BH32" s="2" t="s">
        <v>79</v>
      </c>
      <c r="BI32" s="2" t="s">
        <v>631</v>
      </c>
      <c r="BJ32" s="2" t="s">
        <v>632</v>
      </c>
      <c r="BK32" s="2" t="s">
        <v>79</v>
      </c>
      <c r="BL32" s="2" t="s">
        <v>109</v>
      </c>
      <c r="BM32" s="2">
        <v>2019</v>
      </c>
    </row>
    <row r="33" spans="1:65" ht="409.5" x14ac:dyDescent="0.25">
      <c r="A33" s="2" t="s">
        <v>565</v>
      </c>
      <c r="B33" s="2" t="s">
        <v>79</v>
      </c>
      <c r="C33" s="2" t="s">
        <v>568</v>
      </c>
      <c r="D33" s="2" t="s">
        <v>79</v>
      </c>
      <c r="E33" s="2" t="s">
        <v>79</v>
      </c>
      <c r="F33" s="2" t="s">
        <v>569</v>
      </c>
      <c r="G33" s="2" t="s">
        <v>89</v>
      </c>
      <c r="H33" s="2" t="s">
        <v>79</v>
      </c>
      <c r="I33" s="2" t="s">
        <v>116</v>
      </c>
      <c r="J33" s="2" t="s">
        <v>566</v>
      </c>
      <c r="K33" s="2" t="s">
        <v>79</v>
      </c>
      <c r="L33" s="2" t="s">
        <v>79</v>
      </c>
      <c r="M33" s="2" t="s">
        <v>570</v>
      </c>
      <c r="N33" s="2"/>
      <c r="O33" s="2"/>
      <c r="P33" s="2" t="s">
        <v>80</v>
      </c>
      <c r="Q33" s="2"/>
      <c r="R33" s="2" t="s">
        <v>92</v>
      </c>
      <c r="S33" s="2" t="s">
        <v>224</v>
      </c>
      <c r="T33" s="2" t="s">
        <v>118</v>
      </c>
      <c r="U33" s="2" t="s">
        <v>571</v>
      </c>
      <c r="V33" s="2" t="s">
        <v>95</v>
      </c>
      <c r="W33" s="2" t="s">
        <v>572</v>
      </c>
      <c r="X33" s="2" t="s">
        <v>573</v>
      </c>
      <c r="Y33" s="2" t="s">
        <v>80</v>
      </c>
      <c r="Z33" s="2"/>
      <c r="AA33" s="2"/>
      <c r="AB33" s="2" t="s">
        <v>574</v>
      </c>
      <c r="AC33" s="2" t="s">
        <v>79</v>
      </c>
      <c r="AD33" s="2" t="s">
        <v>575</v>
      </c>
      <c r="AE33" s="2" t="s">
        <v>567</v>
      </c>
      <c r="AF33" s="2" t="s">
        <v>82</v>
      </c>
      <c r="AG33" s="2">
        <v>8.5</v>
      </c>
      <c r="AH33" s="2" t="s">
        <v>84</v>
      </c>
      <c r="AI33" s="2" t="s">
        <v>84</v>
      </c>
      <c r="AJ33" s="2" t="s">
        <v>84</v>
      </c>
      <c r="AK33" s="2" t="s">
        <v>84</v>
      </c>
      <c r="AL33" s="2" t="s">
        <v>84</v>
      </c>
      <c r="AM33" s="2" t="s">
        <v>84</v>
      </c>
      <c r="AN33" s="2" t="s">
        <v>84</v>
      </c>
      <c r="AO33" s="2" t="s">
        <v>86</v>
      </c>
      <c r="AP33" s="2" t="s">
        <v>84</v>
      </c>
      <c r="AQ33" s="2" t="s">
        <v>85</v>
      </c>
      <c r="AR33" s="2"/>
      <c r="AS33" s="2" t="s">
        <v>80</v>
      </c>
      <c r="AT33" s="2"/>
      <c r="AU33" s="2"/>
      <c r="AV33" s="2" t="s">
        <v>79</v>
      </c>
      <c r="AW33" s="2" t="s">
        <v>92</v>
      </c>
      <c r="AX33" s="2" t="s">
        <v>576</v>
      </c>
      <c r="AY33" s="2" t="s">
        <v>100</v>
      </c>
      <c r="AZ33" s="2" t="s">
        <v>577</v>
      </c>
      <c r="BA33" s="2" t="s">
        <v>102</v>
      </c>
      <c r="BB33" s="2" t="s">
        <v>79</v>
      </c>
      <c r="BC33" s="2"/>
      <c r="BD33" s="2" t="s">
        <v>578</v>
      </c>
      <c r="BE33" s="2" t="s">
        <v>153</v>
      </c>
      <c r="BF33" s="2" t="s">
        <v>579</v>
      </c>
      <c r="BG33" s="2" t="s">
        <v>79</v>
      </c>
      <c r="BH33" s="2" t="s">
        <v>79</v>
      </c>
      <c r="BI33" s="2" t="s">
        <v>563</v>
      </c>
      <c r="BJ33" s="2" t="s">
        <v>580</v>
      </c>
      <c r="BK33" s="2" t="s">
        <v>79</v>
      </c>
      <c r="BL33" s="2" t="s">
        <v>109</v>
      </c>
      <c r="BM33" s="2">
        <v>2019</v>
      </c>
    </row>
    <row r="34" spans="1:65" ht="409.5" x14ac:dyDescent="0.25">
      <c r="A34" s="2" t="s">
        <v>581</v>
      </c>
      <c r="B34" s="2" t="s">
        <v>79</v>
      </c>
      <c r="C34" s="2" t="s">
        <v>583</v>
      </c>
      <c r="D34" s="2" t="s">
        <v>79</v>
      </c>
      <c r="E34" s="2" t="s">
        <v>79</v>
      </c>
      <c r="F34" s="2" t="s">
        <v>584</v>
      </c>
      <c r="G34" s="2" t="s">
        <v>89</v>
      </c>
      <c r="H34" s="2" t="s">
        <v>79</v>
      </c>
      <c r="I34" s="2" t="s">
        <v>116</v>
      </c>
      <c r="J34" s="2" t="s">
        <v>111</v>
      </c>
      <c r="K34" s="2" t="s">
        <v>79</v>
      </c>
      <c r="L34" s="2" t="s">
        <v>92</v>
      </c>
      <c r="M34" s="2" t="s">
        <v>585</v>
      </c>
      <c r="N34" s="2"/>
      <c r="O34" s="2"/>
      <c r="P34" s="2" t="s">
        <v>80</v>
      </c>
      <c r="Q34" s="2"/>
      <c r="R34" s="2" t="s">
        <v>92</v>
      </c>
      <c r="S34" s="2" t="s">
        <v>224</v>
      </c>
      <c r="T34" s="2" t="s">
        <v>465</v>
      </c>
      <c r="U34" s="2" t="s">
        <v>586</v>
      </c>
      <c r="V34" s="2" t="s">
        <v>95</v>
      </c>
      <c r="W34" s="2" t="s">
        <v>587</v>
      </c>
      <c r="X34" s="2" t="s">
        <v>588</v>
      </c>
      <c r="Y34" s="2" t="s">
        <v>80</v>
      </c>
      <c r="Z34" s="2"/>
      <c r="AA34" s="2"/>
      <c r="AB34" s="2" t="s">
        <v>589</v>
      </c>
      <c r="AC34" s="2" t="s">
        <v>79</v>
      </c>
      <c r="AD34" s="2" t="s">
        <v>590</v>
      </c>
      <c r="AE34" s="2" t="s">
        <v>582</v>
      </c>
      <c r="AF34" s="2" t="s">
        <v>82</v>
      </c>
      <c r="AG34" s="2">
        <v>8.5</v>
      </c>
      <c r="AH34" s="2" t="s">
        <v>84</v>
      </c>
      <c r="AI34" s="2" t="s">
        <v>84</v>
      </c>
      <c r="AJ34" s="2" t="s">
        <v>84</v>
      </c>
      <c r="AK34" s="2" t="s">
        <v>84</v>
      </c>
      <c r="AL34" s="2" t="s">
        <v>84</v>
      </c>
      <c r="AM34" s="2" t="s">
        <v>84</v>
      </c>
      <c r="AN34" s="2" t="s">
        <v>84</v>
      </c>
      <c r="AO34" s="2" t="s">
        <v>86</v>
      </c>
      <c r="AP34" s="2" t="s">
        <v>84</v>
      </c>
      <c r="AQ34" s="2" t="s">
        <v>85</v>
      </c>
      <c r="AR34" s="2"/>
      <c r="AS34" s="2" t="s">
        <v>80</v>
      </c>
      <c r="AT34" s="2"/>
      <c r="AU34" s="2"/>
      <c r="AV34" s="2" t="s">
        <v>79</v>
      </c>
      <c r="AW34" s="2" t="s">
        <v>92</v>
      </c>
      <c r="AX34" s="2" t="s">
        <v>591</v>
      </c>
      <c r="AY34" s="2" t="s">
        <v>100</v>
      </c>
      <c r="AZ34" s="2" t="s">
        <v>592</v>
      </c>
      <c r="BA34" s="2" t="s">
        <v>102</v>
      </c>
      <c r="BB34" s="2" t="s">
        <v>79</v>
      </c>
      <c r="BC34" s="2"/>
      <c r="BD34" s="2" t="s">
        <v>593</v>
      </c>
      <c r="BE34" s="2" t="s">
        <v>153</v>
      </c>
      <c r="BF34" s="2" t="s">
        <v>594</v>
      </c>
      <c r="BG34" s="2" t="s">
        <v>79</v>
      </c>
      <c r="BH34" s="2" t="s">
        <v>79</v>
      </c>
      <c r="BI34" s="2" t="s">
        <v>563</v>
      </c>
      <c r="BJ34" s="2" t="s">
        <v>595</v>
      </c>
      <c r="BK34" s="2" t="s">
        <v>79</v>
      </c>
      <c r="BL34" s="2" t="s">
        <v>172</v>
      </c>
      <c r="BM34" s="2">
        <v>2019</v>
      </c>
    </row>
    <row r="35" spans="1:65" ht="409.5" x14ac:dyDescent="0.25">
      <c r="A35" s="2" t="s">
        <v>680</v>
      </c>
      <c r="B35" s="2" t="s">
        <v>80</v>
      </c>
      <c r="C35" s="2" t="s">
        <v>682</v>
      </c>
      <c r="D35" s="2" t="s">
        <v>79</v>
      </c>
      <c r="E35" s="2" t="s">
        <v>79</v>
      </c>
      <c r="F35" s="2" t="s">
        <v>683</v>
      </c>
      <c r="G35" s="2" t="s">
        <v>89</v>
      </c>
      <c r="H35" s="2" t="s">
        <v>106</v>
      </c>
      <c r="I35" s="2" t="s">
        <v>116</v>
      </c>
      <c r="J35" s="2" t="s">
        <v>111</v>
      </c>
      <c r="K35" s="2" t="s">
        <v>79</v>
      </c>
      <c r="L35" s="2" t="s">
        <v>92</v>
      </c>
      <c r="M35" s="2" t="s">
        <v>684</v>
      </c>
      <c r="N35" s="2"/>
      <c r="O35" s="2"/>
      <c r="P35" s="2" t="s">
        <v>80</v>
      </c>
      <c r="Q35" s="2"/>
      <c r="R35" s="2" t="s">
        <v>92</v>
      </c>
      <c r="S35" s="2" t="s">
        <v>271</v>
      </c>
      <c r="T35" s="2" t="s">
        <v>656</v>
      </c>
      <c r="U35" s="2" t="s">
        <v>685</v>
      </c>
      <c r="V35" s="2" t="s">
        <v>95</v>
      </c>
      <c r="W35" s="2" t="s">
        <v>686</v>
      </c>
      <c r="X35" s="2" t="s">
        <v>687</v>
      </c>
      <c r="Y35" s="2" t="s">
        <v>80</v>
      </c>
      <c r="Z35" s="2"/>
      <c r="AA35" s="2"/>
      <c r="AB35" s="2" t="s">
        <v>688</v>
      </c>
      <c r="AC35" s="2" t="s">
        <v>79</v>
      </c>
      <c r="AD35" s="2" t="s">
        <v>689</v>
      </c>
      <c r="AE35" s="2" t="s">
        <v>681</v>
      </c>
      <c r="AF35" s="2" t="s">
        <v>82</v>
      </c>
      <c r="AG35" s="2">
        <v>8.5</v>
      </c>
      <c r="AH35" s="2" t="s">
        <v>84</v>
      </c>
      <c r="AI35" s="2" t="s">
        <v>84</v>
      </c>
      <c r="AJ35" s="2" t="s">
        <v>84</v>
      </c>
      <c r="AK35" s="2" t="s">
        <v>84</v>
      </c>
      <c r="AL35" s="2" t="s">
        <v>84</v>
      </c>
      <c r="AM35" s="2" t="s">
        <v>84</v>
      </c>
      <c r="AN35" s="2" t="s">
        <v>84</v>
      </c>
      <c r="AO35" s="2" t="s">
        <v>86</v>
      </c>
      <c r="AP35" s="2" t="s">
        <v>84</v>
      </c>
      <c r="AQ35" s="2" t="s">
        <v>85</v>
      </c>
      <c r="AR35" s="2"/>
      <c r="AS35" s="2" t="s">
        <v>80</v>
      </c>
      <c r="AT35" s="2"/>
      <c r="AU35" s="2"/>
      <c r="AV35" s="2" t="s">
        <v>80</v>
      </c>
      <c r="AW35" s="2" t="s">
        <v>106</v>
      </c>
      <c r="AX35" s="2"/>
      <c r="AY35" s="2" t="s">
        <v>100</v>
      </c>
      <c r="AZ35" s="2" t="s">
        <v>690</v>
      </c>
      <c r="BA35" s="2" t="s">
        <v>102</v>
      </c>
      <c r="BB35" s="2" t="s">
        <v>79</v>
      </c>
      <c r="BC35" s="2" t="s">
        <v>676</v>
      </c>
      <c r="BD35" s="2" t="s">
        <v>691</v>
      </c>
      <c r="BE35" s="2" t="s">
        <v>153</v>
      </c>
      <c r="BF35" s="2" t="s">
        <v>692</v>
      </c>
      <c r="BG35" s="2" t="s">
        <v>92</v>
      </c>
      <c r="BH35" s="2" t="s">
        <v>79</v>
      </c>
      <c r="BI35" s="2" t="s">
        <v>429</v>
      </c>
      <c r="BJ35" s="2" t="s">
        <v>693</v>
      </c>
      <c r="BK35" s="2" t="s">
        <v>79</v>
      </c>
      <c r="BL35" s="2" t="s">
        <v>109</v>
      </c>
      <c r="BM35" s="2">
        <v>2019</v>
      </c>
    </row>
    <row r="36" spans="1:65" ht="409.5" x14ac:dyDescent="0.25">
      <c r="A36" s="2" t="s">
        <v>596</v>
      </c>
      <c r="B36" s="2" t="s">
        <v>92</v>
      </c>
      <c r="C36" s="2" t="s">
        <v>598</v>
      </c>
      <c r="D36" s="2" t="s">
        <v>79</v>
      </c>
      <c r="E36" s="2" t="s">
        <v>79</v>
      </c>
      <c r="F36" s="2" t="s">
        <v>599</v>
      </c>
      <c r="G36" s="2" t="s">
        <v>89</v>
      </c>
      <c r="H36" s="2" t="s">
        <v>79</v>
      </c>
      <c r="I36" s="2" t="s">
        <v>90</v>
      </c>
      <c r="J36" s="2" t="s">
        <v>78</v>
      </c>
      <c r="K36" s="2" t="s">
        <v>79</v>
      </c>
      <c r="L36" s="2" t="s">
        <v>92</v>
      </c>
      <c r="M36" s="2" t="s">
        <v>600</v>
      </c>
      <c r="N36" s="2"/>
      <c r="O36" s="2"/>
      <c r="P36" s="2" t="s">
        <v>80</v>
      </c>
      <c r="Q36" s="2"/>
      <c r="R36" s="2" t="s">
        <v>92</v>
      </c>
      <c r="S36" s="2" t="s">
        <v>224</v>
      </c>
      <c r="T36" s="2" t="s">
        <v>601</v>
      </c>
      <c r="U36" s="2" t="s">
        <v>602</v>
      </c>
      <c r="V36" s="2" t="s">
        <v>95</v>
      </c>
      <c r="W36" s="2" t="s">
        <v>603</v>
      </c>
      <c r="X36" s="2" t="s">
        <v>604</v>
      </c>
      <c r="Y36" s="2" t="s">
        <v>80</v>
      </c>
      <c r="Z36" s="2"/>
      <c r="AA36" s="2"/>
      <c r="AB36" s="2" t="s">
        <v>605</v>
      </c>
      <c r="AC36" s="2" t="s">
        <v>79</v>
      </c>
      <c r="AD36" s="2" t="s">
        <v>606</v>
      </c>
      <c r="AE36" s="2" t="s">
        <v>597</v>
      </c>
      <c r="AF36" s="2" t="s">
        <v>82</v>
      </c>
      <c r="AG36" s="2">
        <v>8.5</v>
      </c>
      <c r="AH36" s="2" t="s">
        <v>84</v>
      </c>
      <c r="AI36" s="2" t="s">
        <v>84</v>
      </c>
      <c r="AJ36" s="2" t="s">
        <v>84</v>
      </c>
      <c r="AK36" s="2" t="s">
        <v>84</v>
      </c>
      <c r="AL36" s="2" t="s">
        <v>84</v>
      </c>
      <c r="AM36" s="2" t="s">
        <v>84</v>
      </c>
      <c r="AN36" s="2" t="s">
        <v>84</v>
      </c>
      <c r="AO36" s="2" t="s">
        <v>86</v>
      </c>
      <c r="AP36" s="2" t="s">
        <v>84</v>
      </c>
      <c r="AQ36" s="2" t="s">
        <v>85</v>
      </c>
      <c r="AR36" s="2"/>
      <c r="AS36" s="2" t="s">
        <v>80</v>
      </c>
      <c r="AT36" s="2"/>
      <c r="AU36" s="2"/>
      <c r="AV36" s="2" t="s">
        <v>79</v>
      </c>
      <c r="AW36" s="2" t="s">
        <v>92</v>
      </c>
      <c r="AX36" s="2" t="s">
        <v>607</v>
      </c>
      <c r="AY36" s="2" t="s">
        <v>100</v>
      </c>
      <c r="AZ36" s="2" t="s">
        <v>608</v>
      </c>
      <c r="BA36" s="2" t="s">
        <v>102</v>
      </c>
      <c r="BB36" s="2" t="s">
        <v>79</v>
      </c>
      <c r="BC36" s="2"/>
      <c r="BD36" s="2" t="s">
        <v>609</v>
      </c>
      <c r="BE36" s="2" t="s">
        <v>104</v>
      </c>
      <c r="BF36" s="2" t="s">
        <v>610</v>
      </c>
      <c r="BG36" s="2" t="s">
        <v>79</v>
      </c>
      <c r="BH36" s="2" t="s">
        <v>79</v>
      </c>
      <c r="BI36" s="2" t="s">
        <v>563</v>
      </c>
      <c r="BJ36" s="2" t="s">
        <v>611</v>
      </c>
      <c r="BK36" s="2" t="s">
        <v>79</v>
      </c>
      <c r="BL36" s="2" t="s">
        <v>109</v>
      </c>
      <c r="BM36" s="2">
        <v>2019</v>
      </c>
    </row>
    <row r="37" spans="1:65" ht="409.5" x14ac:dyDescent="0.25">
      <c r="A37" s="2" t="s">
        <v>633</v>
      </c>
      <c r="B37" s="2" t="s">
        <v>80</v>
      </c>
      <c r="C37" s="2" t="s">
        <v>636</v>
      </c>
      <c r="D37" s="2" t="s">
        <v>79</v>
      </c>
      <c r="E37" s="2" t="s">
        <v>92</v>
      </c>
      <c r="F37" s="2" t="s">
        <v>637</v>
      </c>
      <c r="G37" s="2" t="s">
        <v>143</v>
      </c>
      <c r="H37" s="2" t="s">
        <v>106</v>
      </c>
      <c r="I37" s="2" t="s">
        <v>90</v>
      </c>
      <c r="J37" s="2" t="s">
        <v>111</v>
      </c>
      <c r="K37" s="2" t="s">
        <v>79</v>
      </c>
      <c r="L37" s="2" t="s">
        <v>92</v>
      </c>
      <c r="M37" s="2" t="s">
        <v>638</v>
      </c>
      <c r="N37" s="2"/>
      <c r="O37" s="2"/>
      <c r="P37" s="2" t="s">
        <v>80</v>
      </c>
      <c r="Q37" s="2"/>
      <c r="R37" s="2" t="s">
        <v>92</v>
      </c>
      <c r="S37" s="2" t="s">
        <v>634</v>
      </c>
      <c r="T37" s="2" t="s">
        <v>639</v>
      </c>
      <c r="U37" s="2" t="s">
        <v>640</v>
      </c>
      <c r="V37" s="2" t="s">
        <v>95</v>
      </c>
      <c r="W37" s="2" t="s">
        <v>641</v>
      </c>
      <c r="X37" s="2" t="s">
        <v>642</v>
      </c>
      <c r="Y37" s="2" t="s">
        <v>80</v>
      </c>
      <c r="Z37" s="2"/>
      <c r="AA37" s="2"/>
      <c r="AB37" s="2" t="s">
        <v>643</v>
      </c>
      <c r="AC37" s="2" t="s">
        <v>79</v>
      </c>
      <c r="AD37" s="2" t="s">
        <v>644</v>
      </c>
      <c r="AE37" s="2" t="s">
        <v>635</v>
      </c>
      <c r="AF37" s="2" t="s">
        <v>82</v>
      </c>
      <c r="AG37" s="2">
        <v>8.5</v>
      </c>
      <c r="AH37" s="2" t="s">
        <v>84</v>
      </c>
      <c r="AI37" s="2" t="s">
        <v>84</v>
      </c>
      <c r="AJ37" s="2" t="s">
        <v>84</v>
      </c>
      <c r="AK37" s="2" t="s">
        <v>84</v>
      </c>
      <c r="AL37" s="2" t="s">
        <v>84</v>
      </c>
      <c r="AM37" s="2" t="s">
        <v>84</v>
      </c>
      <c r="AN37" s="2" t="s">
        <v>84</v>
      </c>
      <c r="AO37" s="2" t="s">
        <v>86</v>
      </c>
      <c r="AP37" s="2" t="s">
        <v>85</v>
      </c>
      <c r="AQ37" s="2" t="s">
        <v>84</v>
      </c>
      <c r="AR37" s="2"/>
      <c r="AS37" s="2" t="s">
        <v>80</v>
      </c>
      <c r="AT37" s="2"/>
      <c r="AU37" s="2"/>
      <c r="AV37" s="2" t="s">
        <v>79</v>
      </c>
      <c r="AW37" s="2" t="s">
        <v>92</v>
      </c>
      <c r="AX37" s="2" t="s">
        <v>645</v>
      </c>
      <c r="AY37" s="2" t="s">
        <v>303</v>
      </c>
      <c r="AZ37" s="2" t="s">
        <v>646</v>
      </c>
      <c r="BA37" s="2" t="s">
        <v>514</v>
      </c>
      <c r="BB37" s="2" t="s">
        <v>79</v>
      </c>
      <c r="BC37" s="2" t="s">
        <v>168</v>
      </c>
      <c r="BD37" s="2" t="s">
        <v>647</v>
      </c>
      <c r="BE37" s="2" t="s">
        <v>648</v>
      </c>
      <c r="BF37" s="2" t="s">
        <v>649</v>
      </c>
      <c r="BG37" s="2" t="s">
        <v>92</v>
      </c>
      <c r="BH37" s="2" t="s">
        <v>79</v>
      </c>
      <c r="BI37" s="2" t="s">
        <v>143</v>
      </c>
      <c r="BJ37" s="2" t="s">
        <v>650</v>
      </c>
      <c r="BK37" s="2" t="s">
        <v>79</v>
      </c>
      <c r="BL37" s="2" t="s">
        <v>109</v>
      </c>
      <c r="BM37" s="2">
        <v>2019</v>
      </c>
    </row>
    <row r="38" spans="1:65" ht="409.5" x14ac:dyDescent="0.25">
      <c r="A38" s="2" t="s">
        <v>665</v>
      </c>
      <c r="B38" s="2" t="s">
        <v>79</v>
      </c>
      <c r="C38" s="2" t="s">
        <v>667</v>
      </c>
      <c r="D38" s="2" t="s">
        <v>79</v>
      </c>
      <c r="E38" s="2" t="s">
        <v>79</v>
      </c>
      <c r="F38" s="2" t="s">
        <v>668</v>
      </c>
      <c r="G38" s="2" t="s">
        <v>89</v>
      </c>
      <c r="H38" s="2" t="s">
        <v>79</v>
      </c>
      <c r="I38" s="2" t="s">
        <v>116</v>
      </c>
      <c r="J38" s="2" t="s">
        <v>111</v>
      </c>
      <c r="K38" s="2" t="s">
        <v>79</v>
      </c>
      <c r="L38" s="2" t="s">
        <v>92</v>
      </c>
      <c r="M38" s="2" t="s">
        <v>669</v>
      </c>
      <c r="N38" s="2"/>
      <c r="O38" s="2"/>
      <c r="P38" s="2" t="s">
        <v>80</v>
      </c>
      <c r="Q38" s="2"/>
      <c r="R38" s="2" t="s">
        <v>92</v>
      </c>
      <c r="S38" s="2" t="s">
        <v>224</v>
      </c>
      <c r="T38" s="2" t="s">
        <v>161</v>
      </c>
      <c r="U38" s="2" t="s">
        <v>670</v>
      </c>
      <c r="V38" s="2" t="s">
        <v>95</v>
      </c>
      <c r="W38" s="2" t="s">
        <v>671</v>
      </c>
      <c r="X38" s="2" t="s">
        <v>672</v>
      </c>
      <c r="Y38" s="2" t="s">
        <v>80</v>
      </c>
      <c r="Z38" s="2"/>
      <c r="AA38" s="2"/>
      <c r="AB38" s="2" t="s">
        <v>673</v>
      </c>
      <c r="AC38" s="2" t="s">
        <v>79</v>
      </c>
      <c r="AD38" s="2" t="s">
        <v>674</v>
      </c>
      <c r="AE38" s="2" t="s">
        <v>666</v>
      </c>
      <c r="AF38" s="2" t="s">
        <v>82</v>
      </c>
      <c r="AG38" s="2">
        <v>8.5</v>
      </c>
      <c r="AH38" s="2" t="s">
        <v>84</v>
      </c>
      <c r="AI38" s="2" t="s">
        <v>84</v>
      </c>
      <c r="AJ38" s="2" t="s">
        <v>84</v>
      </c>
      <c r="AK38" s="2" t="s">
        <v>84</v>
      </c>
      <c r="AL38" s="2" t="s">
        <v>84</v>
      </c>
      <c r="AM38" s="2" t="s">
        <v>84</v>
      </c>
      <c r="AN38" s="2" t="s">
        <v>84</v>
      </c>
      <c r="AO38" s="2" t="s">
        <v>86</v>
      </c>
      <c r="AP38" s="2" t="s">
        <v>84</v>
      </c>
      <c r="AQ38" s="2" t="s">
        <v>85</v>
      </c>
      <c r="AR38" s="2"/>
      <c r="AS38" s="2" t="s">
        <v>80</v>
      </c>
      <c r="AT38" s="2"/>
      <c r="AU38" s="2"/>
      <c r="AV38" s="2" t="s">
        <v>80</v>
      </c>
      <c r="AW38" s="2" t="s">
        <v>106</v>
      </c>
      <c r="AX38" s="2"/>
      <c r="AY38" s="2" t="s">
        <v>100</v>
      </c>
      <c r="AZ38" s="2" t="s">
        <v>675</v>
      </c>
      <c r="BA38" s="2" t="s">
        <v>102</v>
      </c>
      <c r="BB38" s="2" t="s">
        <v>79</v>
      </c>
      <c r="BC38" s="2" t="s">
        <v>676</v>
      </c>
      <c r="BD38" s="2" t="s">
        <v>677</v>
      </c>
      <c r="BE38" s="2" t="s">
        <v>104</v>
      </c>
      <c r="BF38" s="2" t="s">
        <v>678</v>
      </c>
      <c r="BG38" s="2" t="s">
        <v>79</v>
      </c>
      <c r="BH38" s="2" t="s">
        <v>79</v>
      </c>
      <c r="BI38" s="2" t="s">
        <v>107</v>
      </c>
      <c r="BJ38" s="2" t="s">
        <v>679</v>
      </c>
      <c r="BK38" s="2" t="s">
        <v>79</v>
      </c>
      <c r="BL38" s="2" t="s">
        <v>172</v>
      </c>
      <c r="BM38" s="2">
        <v>2019</v>
      </c>
    </row>
    <row r="39" spans="1:65" ht="409.5" x14ac:dyDescent="0.25">
      <c r="A39" s="2" t="s">
        <v>694</v>
      </c>
      <c r="B39" s="2" t="s">
        <v>92</v>
      </c>
      <c r="C39" s="2" t="s">
        <v>697</v>
      </c>
      <c r="D39" s="2" t="s">
        <v>79</v>
      </c>
      <c r="E39" s="2" t="s">
        <v>79</v>
      </c>
      <c r="F39" s="2" t="s">
        <v>698</v>
      </c>
      <c r="G39" s="2" t="s">
        <v>89</v>
      </c>
      <c r="H39" s="2" t="s">
        <v>79</v>
      </c>
      <c r="I39" s="2" t="s">
        <v>194</v>
      </c>
      <c r="J39" s="2" t="s">
        <v>111</v>
      </c>
      <c r="K39" s="2" t="s">
        <v>79</v>
      </c>
      <c r="L39" s="2" t="s">
        <v>79</v>
      </c>
      <c r="M39" s="2" t="s">
        <v>699</v>
      </c>
      <c r="N39" s="2"/>
      <c r="O39" s="2" t="s">
        <v>155</v>
      </c>
      <c r="P39" s="2" t="s">
        <v>80</v>
      </c>
      <c r="Q39" s="2"/>
      <c r="R39" s="2" t="s">
        <v>92</v>
      </c>
      <c r="S39" s="2" t="s">
        <v>695</v>
      </c>
      <c r="T39" s="2" t="s">
        <v>118</v>
      </c>
      <c r="U39" s="2" t="s">
        <v>700</v>
      </c>
      <c r="V39" s="2" t="s">
        <v>701</v>
      </c>
      <c r="W39" s="2" t="s">
        <v>702</v>
      </c>
      <c r="X39" s="2" t="s">
        <v>703</v>
      </c>
      <c r="Y39" s="2" t="s">
        <v>79</v>
      </c>
      <c r="Z39" s="2" t="s">
        <v>704</v>
      </c>
      <c r="AA39" s="2" t="s">
        <v>705</v>
      </c>
      <c r="AB39" s="2"/>
      <c r="AC39" s="2" t="s">
        <v>79</v>
      </c>
      <c r="AD39" s="2"/>
      <c r="AE39" s="2" t="s">
        <v>696</v>
      </c>
      <c r="AF39" s="2" t="s">
        <v>82</v>
      </c>
      <c r="AG39" s="2">
        <v>8</v>
      </c>
      <c r="AH39" s="2" t="s">
        <v>84</v>
      </c>
      <c r="AI39" s="2" t="s">
        <v>84</v>
      </c>
      <c r="AJ39" s="2" t="s">
        <v>84</v>
      </c>
      <c r="AK39" s="2" t="s">
        <v>84</v>
      </c>
      <c r="AL39" s="2" t="s">
        <v>84</v>
      </c>
      <c r="AM39" s="2" t="s">
        <v>84</v>
      </c>
      <c r="AN39" s="2" t="s">
        <v>85</v>
      </c>
      <c r="AO39" s="2" t="s">
        <v>86</v>
      </c>
      <c r="AP39" s="2" t="s">
        <v>84</v>
      </c>
      <c r="AQ39" s="2" t="s">
        <v>85</v>
      </c>
      <c r="AR39" s="2" t="s">
        <v>79</v>
      </c>
      <c r="AS39" s="2" t="s">
        <v>79</v>
      </c>
      <c r="AT39" s="2" t="s">
        <v>706</v>
      </c>
      <c r="AU39" s="2" t="s">
        <v>79</v>
      </c>
      <c r="AV39" s="2" t="s">
        <v>79</v>
      </c>
      <c r="AW39" s="2" t="s">
        <v>92</v>
      </c>
      <c r="AX39" s="2" t="s">
        <v>707</v>
      </c>
      <c r="AY39" s="2" t="s">
        <v>100</v>
      </c>
      <c r="AZ39" s="2" t="s">
        <v>708</v>
      </c>
      <c r="BA39" s="2" t="s">
        <v>709</v>
      </c>
      <c r="BB39" s="2" t="s">
        <v>79</v>
      </c>
      <c r="BC39" s="2" t="s">
        <v>628</v>
      </c>
      <c r="BD39" s="2" t="s">
        <v>710</v>
      </c>
      <c r="BE39" s="2" t="s">
        <v>648</v>
      </c>
      <c r="BF39" s="2" t="s">
        <v>711</v>
      </c>
      <c r="BG39" s="2" t="s">
        <v>92</v>
      </c>
      <c r="BH39" s="2" t="s">
        <v>79</v>
      </c>
      <c r="BI39" s="2" t="s">
        <v>266</v>
      </c>
      <c r="BJ39" s="2" t="s">
        <v>712</v>
      </c>
      <c r="BK39" s="2" t="s">
        <v>79</v>
      </c>
      <c r="BL39" s="2" t="s">
        <v>109</v>
      </c>
      <c r="BM39" s="2">
        <v>2019</v>
      </c>
    </row>
    <row r="40" spans="1:65" ht="409.5" x14ac:dyDescent="0.25">
      <c r="A40" s="2" t="s">
        <v>651</v>
      </c>
      <c r="B40" s="2" t="s">
        <v>80</v>
      </c>
      <c r="C40" s="2" t="s">
        <v>653</v>
      </c>
      <c r="D40" s="2" t="s">
        <v>79</v>
      </c>
      <c r="E40" s="2" t="s">
        <v>79</v>
      </c>
      <c r="F40" s="2" t="s">
        <v>654</v>
      </c>
      <c r="G40" s="2" t="s">
        <v>478</v>
      </c>
      <c r="H40" s="2" t="s">
        <v>106</v>
      </c>
      <c r="I40" s="2" t="s">
        <v>116</v>
      </c>
      <c r="J40" s="2" t="s">
        <v>111</v>
      </c>
      <c r="K40" s="2" t="s">
        <v>79</v>
      </c>
      <c r="L40" s="2" t="s">
        <v>92</v>
      </c>
      <c r="M40" s="2" t="s">
        <v>655</v>
      </c>
      <c r="N40" s="2"/>
      <c r="O40" s="2"/>
      <c r="P40" s="2" t="s">
        <v>80</v>
      </c>
      <c r="Q40" s="2"/>
      <c r="R40" s="2" t="s">
        <v>92</v>
      </c>
      <c r="S40" s="2" t="s">
        <v>224</v>
      </c>
      <c r="T40" s="2" t="s">
        <v>656</v>
      </c>
      <c r="U40" s="2" t="s">
        <v>657</v>
      </c>
      <c r="V40" s="2" t="s">
        <v>95</v>
      </c>
      <c r="W40" s="2" t="s">
        <v>658</v>
      </c>
      <c r="X40" s="2" t="s">
        <v>659</v>
      </c>
      <c r="Y40" s="2" t="s">
        <v>80</v>
      </c>
      <c r="Z40" s="2"/>
      <c r="AA40" s="2"/>
      <c r="AB40" s="2" t="s">
        <v>660</v>
      </c>
      <c r="AC40" s="2" t="s">
        <v>79</v>
      </c>
      <c r="AD40" s="2" t="s">
        <v>661</v>
      </c>
      <c r="AE40" s="2" t="s">
        <v>652</v>
      </c>
      <c r="AF40" s="2" t="s">
        <v>82</v>
      </c>
      <c r="AG40" s="2">
        <v>8.5</v>
      </c>
      <c r="AH40" s="2" t="s">
        <v>84</v>
      </c>
      <c r="AI40" s="2" t="s">
        <v>84</v>
      </c>
      <c r="AJ40" s="2" t="s">
        <v>84</v>
      </c>
      <c r="AK40" s="2" t="s">
        <v>84</v>
      </c>
      <c r="AL40" s="2" t="s">
        <v>84</v>
      </c>
      <c r="AM40" s="2" t="s">
        <v>84</v>
      </c>
      <c r="AN40" s="2" t="s">
        <v>84</v>
      </c>
      <c r="AO40" s="2" t="s">
        <v>86</v>
      </c>
      <c r="AP40" s="2" t="s">
        <v>84</v>
      </c>
      <c r="AQ40" s="2" t="s">
        <v>85</v>
      </c>
      <c r="AR40" s="2"/>
      <c r="AS40" s="2" t="s">
        <v>80</v>
      </c>
      <c r="AT40" s="2"/>
      <c r="AU40" s="2"/>
      <c r="AV40" s="2" t="s">
        <v>80</v>
      </c>
      <c r="AW40" s="2" t="s">
        <v>106</v>
      </c>
      <c r="AX40" s="2"/>
      <c r="AY40" s="2" t="s">
        <v>100</v>
      </c>
      <c r="AZ40" s="2" t="s">
        <v>662</v>
      </c>
      <c r="BA40" s="2" t="s">
        <v>102</v>
      </c>
      <c r="BB40" s="2" t="s">
        <v>79</v>
      </c>
      <c r="BC40" s="2"/>
      <c r="BD40" s="2" t="s">
        <v>663</v>
      </c>
      <c r="BE40" s="2" t="s">
        <v>153</v>
      </c>
      <c r="BF40" s="2"/>
      <c r="BG40" s="2" t="s">
        <v>80</v>
      </c>
      <c r="BH40" s="2" t="s">
        <v>79</v>
      </c>
      <c r="BI40" s="2" t="s">
        <v>107</v>
      </c>
      <c r="BJ40" s="2" t="s">
        <v>664</v>
      </c>
      <c r="BK40" s="2" t="s">
        <v>79</v>
      </c>
      <c r="BL40" s="2" t="s">
        <v>109</v>
      </c>
      <c r="BM40" s="2">
        <v>2019</v>
      </c>
    </row>
    <row r="41" spans="1:65" ht="409.5" x14ac:dyDescent="0.25">
      <c r="A41" s="2" t="s">
        <v>727</v>
      </c>
      <c r="B41" s="2" t="s">
        <v>92</v>
      </c>
      <c r="C41" s="2" t="s">
        <v>730</v>
      </c>
      <c r="D41" s="2" t="s">
        <v>79</v>
      </c>
      <c r="E41" s="2" t="s">
        <v>92</v>
      </c>
      <c r="F41" s="2" t="s">
        <v>731</v>
      </c>
      <c r="G41" s="2" t="s">
        <v>732</v>
      </c>
      <c r="H41" s="2" t="s">
        <v>106</v>
      </c>
      <c r="I41" s="2" t="s">
        <v>90</v>
      </c>
      <c r="J41" s="2" t="s">
        <v>111</v>
      </c>
      <c r="K41" s="2" t="s">
        <v>79</v>
      </c>
      <c r="L41" s="2" t="s">
        <v>92</v>
      </c>
      <c r="M41" s="2" t="s">
        <v>733</v>
      </c>
      <c r="N41" s="2"/>
      <c r="O41" s="2"/>
      <c r="P41" s="2" t="s">
        <v>80</v>
      </c>
      <c r="Q41" s="2"/>
      <c r="R41" s="2" t="s">
        <v>92</v>
      </c>
      <c r="S41" s="2" t="s">
        <v>728</v>
      </c>
      <c r="T41" s="2" t="s">
        <v>734</v>
      </c>
      <c r="U41" s="2" t="s">
        <v>735</v>
      </c>
      <c r="V41" s="2" t="s">
        <v>95</v>
      </c>
      <c r="W41" s="2" t="s">
        <v>736</v>
      </c>
      <c r="X41" s="2" t="s">
        <v>737</v>
      </c>
      <c r="Y41" s="2" t="s">
        <v>80</v>
      </c>
      <c r="Z41" s="2"/>
      <c r="AA41" s="2"/>
      <c r="AB41" s="2" t="s">
        <v>738</v>
      </c>
      <c r="AC41" s="2" t="s">
        <v>79</v>
      </c>
      <c r="AD41" s="2" t="s">
        <v>739</v>
      </c>
      <c r="AE41" s="2" t="s">
        <v>729</v>
      </c>
      <c r="AF41" s="2" t="s">
        <v>82</v>
      </c>
      <c r="AG41" s="2">
        <v>9</v>
      </c>
      <c r="AH41" s="2" t="s">
        <v>84</v>
      </c>
      <c r="AI41" s="2" t="s">
        <v>84</v>
      </c>
      <c r="AJ41" s="2" t="s">
        <v>84</v>
      </c>
      <c r="AK41" s="2" t="s">
        <v>84</v>
      </c>
      <c r="AL41" s="2" t="s">
        <v>84</v>
      </c>
      <c r="AM41" s="2" t="s">
        <v>84</v>
      </c>
      <c r="AN41" s="2" t="s">
        <v>84</v>
      </c>
      <c r="AO41" s="2" t="s">
        <v>84</v>
      </c>
      <c r="AP41" s="2" t="s">
        <v>85</v>
      </c>
      <c r="AQ41" s="2" t="s">
        <v>85</v>
      </c>
      <c r="AR41" s="2" t="s">
        <v>106</v>
      </c>
      <c r="AS41" s="2" t="s">
        <v>80</v>
      </c>
      <c r="AT41" s="2"/>
      <c r="AU41" s="2" t="s">
        <v>106</v>
      </c>
      <c r="AV41" s="2" t="s">
        <v>79</v>
      </c>
      <c r="AW41" s="2" t="s">
        <v>92</v>
      </c>
      <c r="AX41" s="2" t="s">
        <v>740</v>
      </c>
      <c r="AY41" s="2" t="s">
        <v>303</v>
      </c>
      <c r="AZ41" s="2" t="s">
        <v>741</v>
      </c>
      <c r="BA41" s="2" t="s">
        <v>426</v>
      </c>
      <c r="BB41" s="2" t="s">
        <v>79</v>
      </c>
      <c r="BC41" s="2" t="s">
        <v>364</v>
      </c>
      <c r="BD41" s="2" t="s">
        <v>742</v>
      </c>
      <c r="BE41" s="2" t="s">
        <v>153</v>
      </c>
      <c r="BF41" s="2" t="s">
        <v>743</v>
      </c>
      <c r="BG41" s="2" t="s">
        <v>79</v>
      </c>
      <c r="BH41" s="2" t="s">
        <v>106</v>
      </c>
      <c r="BI41" s="2" t="s">
        <v>155</v>
      </c>
      <c r="BJ41" s="2"/>
      <c r="BK41" s="2" t="s">
        <v>80</v>
      </c>
      <c r="BL41" s="2" t="s">
        <v>143</v>
      </c>
      <c r="BM41" s="2">
        <v>2020</v>
      </c>
    </row>
    <row r="42" spans="1:65" ht="409.5" x14ac:dyDescent="0.25">
      <c r="A42" s="2" t="s">
        <v>874</v>
      </c>
      <c r="B42" s="2" t="s">
        <v>80</v>
      </c>
      <c r="C42" s="2" t="s">
        <v>876</v>
      </c>
      <c r="D42" s="2" t="s">
        <v>79</v>
      </c>
      <c r="E42" s="2" t="s">
        <v>79</v>
      </c>
      <c r="F42" s="2" t="s">
        <v>877</v>
      </c>
      <c r="G42" s="2" t="s">
        <v>143</v>
      </c>
      <c r="H42" s="2" t="s">
        <v>106</v>
      </c>
      <c r="I42" s="2" t="s">
        <v>116</v>
      </c>
      <c r="J42" s="2" t="s">
        <v>143</v>
      </c>
      <c r="K42" s="2" t="s">
        <v>79</v>
      </c>
      <c r="L42" s="2" t="s">
        <v>79</v>
      </c>
      <c r="M42" s="2" t="s">
        <v>878</v>
      </c>
      <c r="N42" s="2"/>
      <c r="O42" s="2" t="s">
        <v>155</v>
      </c>
      <c r="P42" s="2" t="s">
        <v>80</v>
      </c>
      <c r="Q42" s="2"/>
      <c r="R42" s="2" t="s">
        <v>92</v>
      </c>
      <c r="S42" s="2" t="s">
        <v>112</v>
      </c>
      <c r="T42" s="2" t="s">
        <v>864</v>
      </c>
      <c r="U42" s="2" t="s">
        <v>879</v>
      </c>
      <c r="V42" s="2" t="s">
        <v>95</v>
      </c>
      <c r="W42" s="2" t="s">
        <v>880</v>
      </c>
      <c r="X42" s="2" t="s">
        <v>881</v>
      </c>
      <c r="Y42" s="2" t="s">
        <v>80</v>
      </c>
      <c r="Z42" s="2"/>
      <c r="AA42" s="2"/>
      <c r="AB42" s="2"/>
      <c r="AC42" s="2" t="s">
        <v>79</v>
      </c>
      <c r="AD42" s="2" t="s">
        <v>882</v>
      </c>
      <c r="AE42" s="2" t="s">
        <v>875</v>
      </c>
      <c r="AF42" s="2" t="s">
        <v>82</v>
      </c>
      <c r="AG42" s="2">
        <v>8.5</v>
      </c>
      <c r="AH42" s="2" t="s">
        <v>84</v>
      </c>
      <c r="AI42" s="2" t="s">
        <v>84</v>
      </c>
      <c r="AJ42" s="2" t="s">
        <v>84</v>
      </c>
      <c r="AK42" s="2" t="s">
        <v>84</v>
      </c>
      <c r="AL42" s="2" t="s">
        <v>84</v>
      </c>
      <c r="AM42" s="2" t="s">
        <v>84</v>
      </c>
      <c r="AN42" s="2" t="s">
        <v>84</v>
      </c>
      <c r="AO42" s="2" t="s">
        <v>86</v>
      </c>
      <c r="AP42" s="2" t="s">
        <v>84</v>
      </c>
      <c r="AQ42" s="2" t="s">
        <v>85</v>
      </c>
      <c r="AR42" s="2" t="s">
        <v>80</v>
      </c>
      <c r="AS42" s="2" t="s">
        <v>80</v>
      </c>
      <c r="AT42" s="2"/>
      <c r="AU42" s="2" t="s">
        <v>80</v>
      </c>
      <c r="AV42" s="2" t="s">
        <v>79</v>
      </c>
      <c r="AW42" s="2" t="s">
        <v>92</v>
      </c>
      <c r="AX42" s="2" t="s">
        <v>883</v>
      </c>
      <c r="AY42" s="2" t="s">
        <v>100</v>
      </c>
      <c r="AZ42" s="2" t="s">
        <v>884</v>
      </c>
      <c r="BA42" s="2" t="s">
        <v>202</v>
      </c>
      <c r="BB42" s="2" t="s">
        <v>79</v>
      </c>
      <c r="BC42" s="2" t="s">
        <v>854</v>
      </c>
      <c r="BD42" s="2" t="s">
        <v>885</v>
      </c>
      <c r="BE42" s="2" t="s">
        <v>648</v>
      </c>
      <c r="BF42" s="2" t="s">
        <v>886</v>
      </c>
      <c r="BG42" s="2" t="s">
        <v>92</v>
      </c>
      <c r="BH42" s="2" t="s">
        <v>79</v>
      </c>
      <c r="BI42" s="2" t="s">
        <v>107</v>
      </c>
      <c r="BJ42" s="2" t="s">
        <v>887</v>
      </c>
      <c r="BK42" s="2" t="s">
        <v>79</v>
      </c>
      <c r="BL42" s="2" t="s">
        <v>109</v>
      </c>
      <c r="BM42" s="2">
        <v>2021</v>
      </c>
    </row>
    <row r="43" spans="1:65" ht="409.5" x14ac:dyDescent="0.25">
      <c r="A43" s="2" t="s">
        <v>837</v>
      </c>
      <c r="B43" s="2" t="s">
        <v>80</v>
      </c>
      <c r="C43" s="2" t="s">
        <v>840</v>
      </c>
      <c r="D43" s="2" t="s">
        <v>79</v>
      </c>
      <c r="E43" s="2" t="s">
        <v>79</v>
      </c>
      <c r="F43" s="2" t="s">
        <v>841</v>
      </c>
      <c r="G43" s="2" t="s">
        <v>842</v>
      </c>
      <c r="H43" s="2" t="s">
        <v>80</v>
      </c>
      <c r="I43" s="2" t="s">
        <v>116</v>
      </c>
      <c r="J43" s="2" t="s">
        <v>143</v>
      </c>
      <c r="K43" s="2" t="s">
        <v>79</v>
      </c>
      <c r="L43" s="2" t="s">
        <v>79</v>
      </c>
      <c r="M43" s="2" t="s">
        <v>843</v>
      </c>
      <c r="N43" s="2" t="s">
        <v>143</v>
      </c>
      <c r="O43" s="2" t="s">
        <v>844</v>
      </c>
      <c r="P43" s="2" t="s">
        <v>79</v>
      </c>
      <c r="Q43" s="2" t="s">
        <v>845</v>
      </c>
      <c r="R43" s="2" t="s">
        <v>92</v>
      </c>
      <c r="S43" s="2" t="s">
        <v>838</v>
      </c>
      <c r="T43" s="2" t="s">
        <v>437</v>
      </c>
      <c r="U43" s="2" t="s">
        <v>846</v>
      </c>
      <c r="V43" s="2" t="s">
        <v>95</v>
      </c>
      <c r="W43" s="2" t="s">
        <v>847</v>
      </c>
      <c r="X43" s="2" t="s">
        <v>848</v>
      </c>
      <c r="Y43" s="2" t="s">
        <v>80</v>
      </c>
      <c r="Z43" s="2"/>
      <c r="AA43" s="2"/>
      <c r="AB43" s="2" t="s">
        <v>849</v>
      </c>
      <c r="AC43" s="2" t="s">
        <v>79</v>
      </c>
      <c r="AD43" s="2" t="s">
        <v>850</v>
      </c>
      <c r="AE43" s="2" t="s">
        <v>839</v>
      </c>
      <c r="AF43" s="2" t="s">
        <v>82</v>
      </c>
      <c r="AG43" s="2">
        <v>10</v>
      </c>
      <c r="AH43" s="2" t="s">
        <v>84</v>
      </c>
      <c r="AI43" s="2" t="s">
        <v>84</v>
      </c>
      <c r="AJ43" s="2" t="s">
        <v>84</v>
      </c>
      <c r="AK43" s="2" t="s">
        <v>84</v>
      </c>
      <c r="AL43" s="2" t="s">
        <v>84</v>
      </c>
      <c r="AM43" s="2" t="s">
        <v>84</v>
      </c>
      <c r="AN43" s="2" t="s">
        <v>84</v>
      </c>
      <c r="AO43" s="2" t="s">
        <v>84</v>
      </c>
      <c r="AP43" s="2" t="s">
        <v>84</v>
      </c>
      <c r="AQ43" s="2" t="s">
        <v>84</v>
      </c>
      <c r="AR43" s="2" t="s">
        <v>80</v>
      </c>
      <c r="AS43" s="2" t="s">
        <v>80</v>
      </c>
      <c r="AT43" s="2"/>
      <c r="AU43" s="2" t="s">
        <v>80</v>
      </c>
      <c r="AV43" s="2" t="s">
        <v>79</v>
      </c>
      <c r="AW43" s="2" t="s">
        <v>79</v>
      </c>
      <c r="AX43" s="2" t="s">
        <v>851</v>
      </c>
      <c r="AY43" s="2" t="s">
        <v>100</v>
      </c>
      <c r="AZ43" s="2" t="s">
        <v>852</v>
      </c>
      <c r="BA43" s="2" t="s">
        <v>853</v>
      </c>
      <c r="BB43" s="2" t="s">
        <v>79</v>
      </c>
      <c r="BC43" s="2" t="s">
        <v>854</v>
      </c>
      <c r="BD43" s="2" t="s">
        <v>855</v>
      </c>
      <c r="BE43" s="2" t="s">
        <v>856</v>
      </c>
      <c r="BF43" s="2"/>
      <c r="BG43" s="2" t="s">
        <v>80</v>
      </c>
      <c r="BH43" s="2" t="s">
        <v>79</v>
      </c>
      <c r="BI43" s="2" t="s">
        <v>107</v>
      </c>
      <c r="BJ43" s="2" t="s">
        <v>857</v>
      </c>
      <c r="BK43" s="2" t="s">
        <v>79</v>
      </c>
      <c r="BL43" s="2" t="s">
        <v>109</v>
      </c>
      <c r="BM43" s="2">
        <v>2021</v>
      </c>
    </row>
    <row r="44" spans="1:65" ht="409.5" x14ac:dyDescent="0.25">
      <c r="A44" s="2" t="s">
        <v>761</v>
      </c>
      <c r="B44" s="2" t="s">
        <v>80</v>
      </c>
      <c r="C44" s="2" t="s">
        <v>764</v>
      </c>
      <c r="D44" s="2" t="s">
        <v>79</v>
      </c>
      <c r="E44" s="2" t="s">
        <v>92</v>
      </c>
      <c r="F44" s="2" t="s">
        <v>765</v>
      </c>
      <c r="G44" s="2" t="s">
        <v>143</v>
      </c>
      <c r="H44" s="2" t="s">
        <v>79</v>
      </c>
      <c r="I44" s="2" t="s">
        <v>90</v>
      </c>
      <c r="J44" s="2" t="s">
        <v>111</v>
      </c>
      <c r="K44" s="2" t="s">
        <v>79</v>
      </c>
      <c r="L44" s="2" t="s">
        <v>92</v>
      </c>
      <c r="M44" s="2" t="s">
        <v>766</v>
      </c>
      <c r="N44" s="2"/>
      <c r="O44" s="2"/>
      <c r="P44" s="2" t="s">
        <v>80</v>
      </c>
      <c r="Q44" s="2"/>
      <c r="R44" s="2" t="s">
        <v>92</v>
      </c>
      <c r="S44" s="2" t="s">
        <v>762</v>
      </c>
      <c r="T44" s="2" t="s">
        <v>767</v>
      </c>
      <c r="U44" s="2" t="s">
        <v>768</v>
      </c>
      <c r="V44" s="2" t="s">
        <v>95</v>
      </c>
      <c r="W44" s="2" t="s">
        <v>769</v>
      </c>
      <c r="X44" s="2" t="s">
        <v>770</v>
      </c>
      <c r="Y44" s="2" t="s">
        <v>80</v>
      </c>
      <c r="Z44" s="2"/>
      <c r="AA44" s="2"/>
      <c r="AB44" s="2" t="s">
        <v>771</v>
      </c>
      <c r="AC44" s="2" t="s">
        <v>79</v>
      </c>
      <c r="AD44" s="2" t="s">
        <v>772</v>
      </c>
      <c r="AE44" s="2" t="s">
        <v>763</v>
      </c>
      <c r="AF44" s="2" t="s">
        <v>82</v>
      </c>
      <c r="AG44" s="2">
        <v>9</v>
      </c>
      <c r="AH44" s="2" t="s">
        <v>84</v>
      </c>
      <c r="AI44" s="2" t="s">
        <v>84</v>
      </c>
      <c r="AJ44" s="2" t="s">
        <v>84</v>
      </c>
      <c r="AK44" s="2" t="s">
        <v>84</v>
      </c>
      <c r="AL44" s="2" t="s">
        <v>84</v>
      </c>
      <c r="AM44" s="2" t="s">
        <v>84</v>
      </c>
      <c r="AN44" s="2" t="s">
        <v>84</v>
      </c>
      <c r="AO44" s="2" t="s">
        <v>86</v>
      </c>
      <c r="AP44" s="2" t="s">
        <v>84</v>
      </c>
      <c r="AQ44" s="2" t="s">
        <v>84</v>
      </c>
      <c r="AR44" s="2" t="s">
        <v>80</v>
      </c>
      <c r="AS44" s="2" t="s">
        <v>80</v>
      </c>
      <c r="AT44" s="2"/>
      <c r="AU44" s="2" t="s">
        <v>80</v>
      </c>
      <c r="AV44" s="2" t="s">
        <v>79</v>
      </c>
      <c r="AW44" s="2" t="s">
        <v>92</v>
      </c>
      <c r="AX44" s="2" t="s">
        <v>773</v>
      </c>
      <c r="AY44" s="2" t="s">
        <v>303</v>
      </c>
      <c r="AZ44" s="2" t="s">
        <v>774</v>
      </c>
      <c r="BA44" s="2" t="s">
        <v>426</v>
      </c>
      <c r="BB44" s="2" t="s">
        <v>79</v>
      </c>
      <c r="BC44" s="2" t="s">
        <v>364</v>
      </c>
      <c r="BD44" s="2" t="s">
        <v>775</v>
      </c>
      <c r="BE44" s="2" t="s">
        <v>104</v>
      </c>
      <c r="BF44" s="2" t="s">
        <v>776</v>
      </c>
      <c r="BG44" s="2" t="s">
        <v>92</v>
      </c>
      <c r="BH44" s="2" t="s">
        <v>79</v>
      </c>
      <c r="BI44" s="2" t="s">
        <v>367</v>
      </c>
      <c r="BJ44" s="2" t="s">
        <v>777</v>
      </c>
      <c r="BK44" s="2" t="s">
        <v>79</v>
      </c>
      <c r="BL44" s="2" t="s">
        <v>109</v>
      </c>
      <c r="BM44" s="2">
        <v>2020</v>
      </c>
    </row>
    <row r="45" spans="1:65" ht="409.5" x14ac:dyDescent="0.25">
      <c r="A45" s="2" t="s">
        <v>818</v>
      </c>
      <c r="B45" s="2" t="s">
        <v>92</v>
      </c>
      <c r="C45" s="2" t="s">
        <v>821</v>
      </c>
      <c r="D45" s="2" t="s">
        <v>79</v>
      </c>
      <c r="E45" s="2" t="s">
        <v>79</v>
      </c>
      <c r="F45" s="2" t="s">
        <v>822</v>
      </c>
      <c r="G45" s="2" t="s">
        <v>89</v>
      </c>
      <c r="H45" s="2" t="s">
        <v>79</v>
      </c>
      <c r="I45" s="2" t="s">
        <v>194</v>
      </c>
      <c r="J45" s="2" t="s">
        <v>143</v>
      </c>
      <c r="K45" s="2" t="s">
        <v>79</v>
      </c>
      <c r="L45" s="2" t="s">
        <v>79</v>
      </c>
      <c r="M45" s="2" t="s">
        <v>823</v>
      </c>
      <c r="N45" s="2"/>
      <c r="O45" s="2"/>
      <c r="P45" s="2" t="s">
        <v>79</v>
      </c>
      <c r="Q45" s="2" t="s">
        <v>824</v>
      </c>
      <c r="R45" s="2" t="s">
        <v>802</v>
      </c>
      <c r="S45" s="2" t="s">
        <v>819</v>
      </c>
      <c r="T45" s="2" t="s">
        <v>803</v>
      </c>
      <c r="U45" s="2" t="s">
        <v>825</v>
      </c>
      <c r="V45" s="2" t="s">
        <v>805</v>
      </c>
      <c r="W45" s="2" t="s">
        <v>826</v>
      </c>
      <c r="X45" s="2" t="s">
        <v>827</v>
      </c>
      <c r="Y45" s="2" t="s">
        <v>79</v>
      </c>
      <c r="Z45" s="2" t="s">
        <v>828</v>
      </c>
      <c r="AA45" s="2" t="s">
        <v>829</v>
      </c>
      <c r="AB45" s="2"/>
      <c r="AC45" s="2" t="s">
        <v>79</v>
      </c>
      <c r="AD45" s="2" t="s">
        <v>830</v>
      </c>
      <c r="AE45" s="2" t="s">
        <v>820</v>
      </c>
      <c r="AF45" s="2" t="s">
        <v>82</v>
      </c>
      <c r="AG45" s="2">
        <v>10</v>
      </c>
      <c r="AH45" s="2" t="s">
        <v>84</v>
      </c>
      <c r="AI45" s="2" t="s">
        <v>84</v>
      </c>
      <c r="AJ45" s="2" t="s">
        <v>84</v>
      </c>
      <c r="AK45" s="2" t="s">
        <v>84</v>
      </c>
      <c r="AL45" s="2" t="s">
        <v>84</v>
      </c>
      <c r="AM45" s="2" t="s">
        <v>84</v>
      </c>
      <c r="AN45" s="2" t="s">
        <v>84</v>
      </c>
      <c r="AO45" s="2" t="s">
        <v>84</v>
      </c>
      <c r="AP45" s="2" t="s">
        <v>84</v>
      </c>
      <c r="AQ45" s="2" t="s">
        <v>84</v>
      </c>
      <c r="AR45" s="2" t="s">
        <v>106</v>
      </c>
      <c r="AS45" s="2" t="s">
        <v>79</v>
      </c>
      <c r="AT45" s="2" t="s">
        <v>831</v>
      </c>
      <c r="AU45" s="2" t="s">
        <v>106</v>
      </c>
      <c r="AV45" s="2" t="s">
        <v>79</v>
      </c>
      <c r="AW45" s="2" t="s">
        <v>92</v>
      </c>
      <c r="AX45" s="2" t="s">
        <v>832</v>
      </c>
      <c r="AY45" s="2" t="s">
        <v>100</v>
      </c>
      <c r="AZ45" s="2" t="s">
        <v>833</v>
      </c>
      <c r="BA45" s="2" t="s">
        <v>202</v>
      </c>
      <c r="BB45" s="2" t="s">
        <v>79</v>
      </c>
      <c r="BC45" s="2" t="s">
        <v>364</v>
      </c>
      <c r="BD45" s="2" t="s">
        <v>834</v>
      </c>
      <c r="BE45" s="2" t="s">
        <v>153</v>
      </c>
      <c r="BF45" s="2" t="s">
        <v>835</v>
      </c>
      <c r="BG45" s="2" t="s">
        <v>79</v>
      </c>
      <c r="BH45" s="2" t="s">
        <v>79</v>
      </c>
      <c r="BI45" s="2" t="s">
        <v>107</v>
      </c>
      <c r="BJ45" s="2" t="s">
        <v>836</v>
      </c>
      <c r="BK45" s="2" t="s">
        <v>79</v>
      </c>
      <c r="BL45" s="2" t="s">
        <v>109</v>
      </c>
      <c r="BM45" s="2">
        <v>2020</v>
      </c>
    </row>
    <row r="46" spans="1:65" ht="409.5" x14ac:dyDescent="0.25">
      <c r="A46" s="2" t="s">
        <v>778</v>
      </c>
      <c r="B46" s="2" t="s">
        <v>92</v>
      </c>
      <c r="C46" s="2" t="s">
        <v>781</v>
      </c>
      <c r="D46" s="2" t="s">
        <v>79</v>
      </c>
      <c r="E46" s="2" t="s">
        <v>79</v>
      </c>
      <c r="F46" s="2" t="s">
        <v>782</v>
      </c>
      <c r="G46" s="2" t="s">
        <v>143</v>
      </c>
      <c r="H46" s="2" t="s">
        <v>79</v>
      </c>
      <c r="I46" s="2" t="s">
        <v>90</v>
      </c>
      <c r="J46" s="2" t="s">
        <v>111</v>
      </c>
      <c r="K46" s="2" t="s">
        <v>79</v>
      </c>
      <c r="L46" s="2" t="s">
        <v>92</v>
      </c>
      <c r="M46" s="2" t="s">
        <v>783</v>
      </c>
      <c r="N46" s="2"/>
      <c r="O46" s="2"/>
      <c r="P46" s="2" t="s">
        <v>80</v>
      </c>
      <c r="Q46" s="2"/>
      <c r="R46" s="2" t="s">
        <v>92</v>
      </c>
      <c r="S46" s="2" t="s">
        <v>779</v>
      </c>
      <c r="T46" s="2" t="s">
        <v>784</v>
      </c>
      <c r="U46" s="2" t="s">
        <v>785</v>
      </c>
      <c r="V46" s="2" t="s">
        <v>95</v>
      </c>
      <c r="W46" s="2" t="s">
        <v>786</v>
      </c>
      <c r="X46" s="2" t="s">
        <v>787</v>
      </c>
      <c r="Y46" s="2" t="s">
        <v>80</v>
      </c>
      <c r="Z46" s="2"/>
      <c r="AA46" s="2"/>
      <c r="AB46" s="2" t="s">
        <v>788</v>
      </c>
      <c r="AC46" s="2" t="s">
        <v>79</v>
      </c>
      <c r="AD46" s="2" t="s">
        <v>789</v>
      </c>
      <c r="AE46" s="2" t="s">
        <v>780</v>
      </c>
      <c r="AF46" s="2" t="s">
        <v>82</v>
      </c>
      <c r="AG46" s="2">
        <v>9.5</v>
      </c>
      <c r="AH46" s="2" t="s">
        <v>84</v>
      </c>
      <c r="AI46" s="2" t="s">
        <v>84</v>
      </c>
      <c r="AJ46" s="2" t="s">
        <v>84</v>
      </c>
      <c r="AK46" s="2" t="s">
        <v>84</v>
      </c>
      <c r="AL46" s="2" t="s">
        <v>84</v>
      </c>
      <c r="AM46" s="2" t="s">
        <v>84</v>
      </c>
      <c r="AN46" s="2" t="s">
        <v>84</v>
      </c>
      <c r="AO46" s="2" t="s">
        <v>84</v>
      </c>
      <c r="AP46" s="2" t="s">
        <v>84</v>
      </c>
      <c r="AQ46" s="2" t="s">
        <v>85</v>
      </c>
      <c r="AR46" s="2" t="s">
        <v>80</v>
      </c>
      <c r="AS46" s="2" t="s">
        <v>80</v>
      </c>
      <c r="AT46" s="2"/>
      <c r="AU46" s="2" t="s">
        <v>80</v>
      </c>
      <c r="AV46" s="2" t="s">
        <v>79</v>
      </c>
      <c r="AW46" s="2" t="s">
        <v>92</v>
      </c>
      <c r="AX46" s="2" t="s">
        <v>790</v>
      </c>
      <c r="AY46" s="2" t="s">
        <v>303</v>
      </c>
      <c r="AZ46" s="2" t="s">
        <v>791</v>
      </c>
      <c r="BA46" s="2" t="s">
        <v>426</v>
      </c>
      <c r="BB46" s="2" t="s">
        <v>79</v>
      </c>
      <c r="BC46" s="2" t="s">
        <v>364</v>
      </c>
      <c r="BD46" s="2" t="s">
        <v>792</v>
      </c>
      <c r="BE46" s="2" t="s">
        <v>104</v>
      </c>
      <c r="BF46" s="2" t="s">
        <v>793</v>
      </c>
      <c r="BG46" s="2" t="s">
        <v>79</v>
      </c>
      <c r="BH46" s="2" t="s">
        <v>79</v>
      </c>
      <c r="BI46" s="2" t="s">
        <v>429</v>
      </c>
      <c r="BJ46" s="2" t="s">
        <v>794</v>
      </c>
      <c r="BK46" s="2" t="s">
        <v>79</v>
      </c>
      <c r="BL46" s="2" t="s">
        <v>109</v>
      </c>
      <c r="BM46" s="2">
        <v>2020</v>
      </c>
    </row>
    <row r="47" spans="1:65" ht="409.5" x14ac:dyDescent="0.25">
      <c r="A47" s="2" t="s">
        <v>744</v>
      </c>
      <c r="B47" s="2" t="s">
        <v>79</v>
      </c>
      <c r="C47" s="2" t="s">
        <v>746</v>
      </c>
      <c r="D47" s="2" t="s">
        <v>79</v>
      </c>
      <c r="E47" s="2" t="s">
        <v>79</v>
      </c>
      <c r="F47" s="2" t="s">
        <v>747</v>
      </c>
      <c r="G47" s="2" t="s">
        <v>89</v>
      </c>
      <c r="H47" s="2" t="s">
        <v>79</v>
      </c>
      <c r="I47" s="2" t="s">
        <v>116</v>
      </c>
      <c r="J47" s="2" t="s">
        <v>143</v>
      </c>
      <c r="K47" s="2" t="s">
        <v>79</v>
      </c>
      <c r="L47" s="2" t="s">
        <v>92</v>
      </c>
      <c r="M47" s="2" t="s">
        <v>748</v>
      </c>
      <c r="N47" s="2"/>
      <c r="O47" s="2"/>
      <c r="P47" s="2" t="s">
        <v>80</v>
      </c>
      <c r="Q47" s="2"/>
      <c r="R47" s="2" t="s">
        <v>92</v>
      </c>
      <c r="S47" s="2" t="s">
        <v>224</v>
      </c>
      <c r="T47" s="2" t="s">
        <v>388</v>
      </c>
      <c r="U47" s="2" t="s">
        <v>749</v>
      </c>
      <c r="V47" s="2" t="s">
        <v>95</v>
      </c>
      <c r="W47" s="2" t="s">
        <v>750</v>
      </c>
      <c r="X47" s="2" t="s">
        <v>751</v>
      </c>
      <c r="Y47" s="2" t="s">
        <v>80</v>
      </c>
      <c r="Z47" s="2"/>
      <c r="AA47" s="2"/>
      <c r="AB47" s="2" t="s">
        <v>752</v>
      </c>
      <c r="AC47" s="2" t="s">
        <v>79</v>
      </c>
      <c r="AD47" s="2" t="s">
        <v>753</v>
      </c>
      <c r="AE47" s="2" t="s">
        <v>745</v>
      </c>
      <c r="AF47" s="2" t="s">
        <v>82</v>
      </c>
      <c r="AG47" s="2">
        <v>8.5</v>
      </c>
      <c r="AH47" s="2" t="s">
        <v>84</v>
      </c>
      <c r="AI47" s="2" t="s">
        <v>84</v>
      </c>
      <c r="AJ47" s="2" t="s">
        <v>84</v>
      </c>
      <c r="AK47" s="2" t="s">
        <v>84</v>
      </c>
      <c r="AL47" s="2" t="s">
        <v>84</v>
      </c>
      <c r="AM47" s="2" t="s">
        <v>84</v>
      </c>
      <c r="AN47" s="2" t="s">
        <v>84</v>
      </c>
      <c r="AO47" s="2" t="s">
        <v>86</v>
      </c>
      <c r="AP47" s="2" t="s">
        <v>84</v>
      </c>
      <c r="AQ47" s="2" t="s">
        <v>85</v>
      </c>
      <c r="AR47" s="2" t="s">
        <v>80</v>
      </c>
      <c r="AS47" s="2" t="s">
        <v>80</v>
      </c>
      <c r="AT47" s="2"/>
      <c r="AU47" s="2" t="s">
        <v>80</v>
      </c>
      <c r="AV47" s="2" t="s">
        <v>79</v>
      </c>
      <c r="AW47" s="2" t="s">
        <v>92</v>
      </c>
      <c r="AX47" s="2" t="s">
        <v>754</v>
      </c>
      <c r="AY47" s="2" t="s">
        <v>100</v>
      </c>
      <c r="AZ47" s="2" t="s">
        <v>755</v>
      </c>
      <c r="BA47" s="2" t="s">
        <v>102</v>
      </c>
      <c r="BB47" s="2" t="s">
        <v>79</v>
      </c>
      <c r="BC47" s="2" t="s">
        <v>756</v>
      </c>
      <c r="BD47" s="2" t="s">
        <v>757</v>
      </c>
      <c r="BE47" s="2" t="s">
        <v>758</v>
      </c>
      <c r="BF47" s="2" t="s">
        <v>759</v>
      </c>
      <c r="BG47" s="2" t="s">
        <v>79</v>
      </c>
      <c r="BH47" s="2" t="s">
        <v>79</v>
      </c>
      <c r="BI47" s="2" t="s">
        <v>107</v>
      </c>
      <c r="BJ47" s="2" t="s">
        <v>760</v>
      </c>
      <c r="BK47" s="2" t="s">
        <v>79</v>
      </c>
      <c r="BL47" s="2" t="s">
        <v>109</v>
      </c>
      <c r="BM47" s="2">
        <v>2020</v>
      </c>
    </row>
    <row r="48" spans="1:65" ht="409.5" x14ac:dyDescent="0.25">
      <c r="A48" s="2" t="s">
        <v>795</v>
      </c>
      <c r="B48" s="2" t="s">
        <v>92</v>
      </c>
      <c r="C48" s="2" t="s">
        <v>798</v>
      </c>
      <c r="D48" s="2" t="s">
        <v>79</v>
      </c>
      <c r="E48" s="2" t="s">
        <v>79</v>
      </c>
      <c r="F48" s="2" t="s">
        <v>799</v>
      </c>
      <c r="G48" s="2" t="s">
        <v>89</v>
      </c>
      <c r="H48" s="2" t="s">
        <v>79</v>
      </c>
      <c r="I48" s="2" t="s">
        <v>90</v>
      </c>
      <c r="J48" s="2" t="s">
        <v>111</v>
      </c>
      <c r="K48" s="2" t="s">
        <v>79</v>
      </c>
      <c r="L48" s="2" t="s">
        <v>92</v>
      </c>
      <c r="M48" s="2" t="s">
        <v>800</v>
      </c>
      <c r="N48" s="2"/>
      <c r="O48" s="2"/>
      <c r="P48" s="2" t="s">
        <v>79</v>
      </c>
      <c r="Q48" s="2" t="s">
        <v>801</v>
      </c>
      <c r="R48" s="2" t="s">
        <v>802</v>
      </c>
      <c r="S48" s="2" t="s">
        <v>796</v>
      </c>
      <c r="T48" s="2" t="s">
        <v>803</v>
      </c>
      <c r="U48" s="2" t="s">
        <v>804</v>
      </c>
      <c r="V48" s="2" t="s">
        <v>805</v>
      </c>
      <c r="W48" s="2" t="s">
        <v>806</v>
      </c>
      <c r="X48" s="2" t="s">
        <v>807</v>
      </c>
      <c r="Y48" s="2" t="s">
        <v>79</v>
      </c>
      <c r="Z48" s="2" t="s">
        <v>808</v>
      </c>
      <c r="AA48" s="2" t="s">
        <v>809</v>
      </c>
      <c r="AB48" s="2" t="s">
        <v>810</v>
      </c>
      <c r="AC48" s="2" t="s">
        <v>79</v>
      </c>
      <c r="AD48" s="2" t="s">
        <v>811</v>
      </c>
      <c r="AE48" s="2" t="s">
        <v>797</v>
      </c>
      <c r="AF48" s="2" t="s">
        <v>82</v>
      </c>
      <c r="AG48" s="2">
        <v>10</v>
      </c>
      <c r="AH48" s="2" t="s">
        <v>84</v>
      </c>
      <c r="AI48" s="2" t="s">
        <v>84</v>
      </c>
      <c r="AJ48" s="2" t="s">
        <v>84</v>
      </c>
      <c r="AK48" s="2" t="s">
        <v>84</v>
      </c>
      <c r="AL48" s="2" t="s">
        <v>84</v>
      </c>
      <c r="AM48" s="2" t="s">
        <v>84</v>
      </c>
      <c r="AN48" s="2" t="s">
        <v>84</v>
      </c>
      <c r="AO48" s="2" t="s">
        <v>84</v>
      </c>
      <c r="AP48" s="2" t="s">
        <v>84</v>
      </c>
      <c r="AQ48" s="2" t="s">
        <v>84</v>
      </c>
      <c r="AR48" s="2" t="s">
        <v>106</v>
      </c>
      <c r="AS48" s="2" t="s">
        <v>79</v>
      </c>
      <c r="AT48" s="2" t="s">
        <v>812</v>
      </c>
      <c r="AU48" s="2" t="s">
        <v>106</v>
      </c>
      <c r="AV48" s="2" t="s">
        <v>79</v>
      </c>
      <c r="AW48" s="2" t="s">
        <v>79</v>
      </c>
      <c r="AX48" s="2" t="s">
        <v>813</v>
      </c>
      <c r="AY48" s="2" t="s">
        <v>100</v>
      </c>
      <c r="AZ48" s="2" t="s">
        <v>814</v>
      </c>
      <c r="BA48" s="2" t="s">
        <v>286</v>
      </c>
      <c r="BB48" s="2" t="s">
        <v>79</v>
      </c>
      <c r="BC48" s="2" t="s">
        <v>364</v>
      </c>
      <c r="BD48" s="2" t="s">
        <v>815</v>
      </c>
      <c r="BE48" s="2" t="s">
        <v>153</v>
      </c>
      <c r="BF48" s="2" t="s">
        <v>816</v>
      </c>
      <c r="BG48" s="2" t="s">
        <v>92</v>
      </c>
      <c r="BH48" s="2" t="s">
        <v>79</v>
      </c>
      <c r="BI48" s="2" t="s">
        <v>143</v>
      </c>
      <c r="BJ48" s="2" t="s">
        <v>817</v>
      </c>
      <c r="BK48" s="2" t="s">
        <v>79</v>
      </c>
      <c r="BL48" s="2" t="s">
        <v>172</v>
      </c>
      <c r="BM48" s="2">
        <v>2021</v>
      </c>
    </row>
    <row r="49" spans="1:65" ht="409.5" x14ac:dyDescent="0.25">
      <c r="A49" s="2" t="s">
        <v>858</v>
      </c>
      <c r="B49" s="2" t="s">
        <v>92</v>
      </c>
      <c r="C49" s="2" t="s">
        <v>861</v>
      </c>
      <c r="D49" s="2" t="s">
        <v>79</v>
      </c>
      <c r="E49" s="2" t="s">
        <v>79</v>
      </c>
      <c r="F49" s="2" t="s">
        <v>862</v>
      </c>
      <c r="G49" s="2" t="s">
        <v>89</v>
      </c>
      <c r="H49" s="2" t="s">
        <v>79</v>
      </c>
      <c r="I49" s="2" t="s">
        <v>116</v>
      </c>
      <c r="J49" s="2" t="s">
        <v>111</v>
      </c>
      <c r="K49" s="2" t="s">
        <v>79</v>
      </c>
      <c r="L49" s="2" t="s">
        <v>79</v>
      </c>
      <c r="M49" s="2" t="s">
        <v>863</v>
      </c>
      <c r="N49" s="2"/>
      <c r="O49" s="2" t="s">
        <v>155</v>
      </c>
      <c r="P49" s="2" t="s">
        <v>80</v>
      </c>
      <c r="Q49" s="2"/>
      <c r="R49" s="2" t="s">
        <v>92</v>
      </c>
      <c r="S49" s="2" t="s">
        <v>859</v>
      </c>
      <c r="T49" s="2" t="s">
        <v>864</v>
      </c>
      <c r="U49" s="2" t="s">
        <v>865</v>
      </c>
      <c r="V49" s="2" t="s">
        <v>95</v>
      </c>
      <c r="W49" s="2" t="s">
        <v>866</v>
      </c>
      <c r="X49" s="2" t="s">
        <v>867</v>
      </c>
      <c r="Y49" s="2" t="s">
        <v>80</v>
      </c>
      <c r="Z49" s="2"/>
      <c r="AA49" s="2"/>
      <c r="AB49" s="2"/>
      <c r="AC49" s="2" t="s">
        <v>79</v>
      </c>
      <c r="AD49" s="2" t="s">
        <v>868</v>
      </c>
      <c r="AE49" s="2" t="s">
        <v>860</v>
      </c>
      <c r="AF49" s="2" t="s">
        <v>82</v>
      </c>
      <c r="AG49" s="2">
        <v>8.5</v>
      </c>
      <c r="AH49" s="2" t="s">
        <v>84</v>
      </c>
      <c r="AI49" s="2" t="s">
        <v>84</v>
      </c>
      <c r="AJ49" s="2" t="s">
        <v>84</v>
      </c>
      <c r="AK49" s="2" t="s">
        <v>84</v>
      </c>
      <c r="AL49" s="2" t="s">
        <v>84</v>
      </c>
      <c r="AM49" s="2" t="s">
        <v>84</v>
      </c>
      <c r="AN49" s="2" t="s">
        <v>84</v>
      </c>
      <c r="AO49" s="2" t="s">
        <v>86</v>
      </c>
      <c r="AP49" s="2" t="s">
        <v>84</v>
      </c>
      <c r="AQ49" s="2" t="s">
        <v>85</v>
      </c>
      <c r="AR49" s="2" t="s">
        <v>80</v>
      </c>
      <c r="AS49" s="2" t="s">
        <v>80</v>
      </c>
      <c r="AT49" s="2"/>
      <c r="AU49" s="2" t="s">
        <v>80</v>
      </c>
      <c r="AV49" s="2" t="s">
        <v>79</v>
      </c>
      <c r="AW49" s="2" t="s">
        <v>79</v>
      </c>
      <c r="AX49" s="2" t="s">
        <v>869</v>
      </c>
      <c r="AY49" s="2" t="s">
        <v>100</v>
      </c>
      <c r="AZ49" s="2" t="s">
        <v>870</v>
      </c>
      <c r="BA49" s="2" t="s">
        <v>202</v>
      </c>
      <c r="BB49" s="2" t="s">
        <v>79</v>
      </c>
      <c r="BC49" s="2" t="s">
        <v>168</v>
      </c>
      <c r="BD49" s="2" t="s">
        <v>871</v>
      </c>
      <c r="BE49" s="2" t="s">
        <v>153</v>
      </c>
      <c r="BF49" s="2" t="s">
        <v>872</v>
      </c>
      <c r="BG49" s="2" t="s">
        <v>92</v>
      </c>
      <c r="BH49" s="2" t="s">
        <v>79</v>
      </c>
      <c r="BI49" s="2" t="s">
        <v>107</v>
      </c>
      <c r="BJ49" s="2" t="s">
        <v>873</v>
      </c>
      <c r="BK49" s="2" t="s">
        <v>79</v>
      </c>
      <c r="BL49" s="2" t="s">
        <v>109</v>
      </c>
      <c r="BM49" s="2">
        <v>2021</v>
      </c>
    </row>
    <row r="50" spans="1:65" ht="409.5" x14ac:dyDescent="0.25">
      <c r="A50" s="2" t="s">
        <v>713</v>
      </c>
      <c r="B50" s="2" t="s">
        <v>80</v>
      </c>
      <c r="C50" s="2" t="s">
        <v>716</v>
      </c>
      <c r="D50" s="2" t="s">
        <v>79</v>
      </c>
      <c r="E50" s="2" t="s">
        <v>92</v>
      </c>
      <c r="F50" s="2" t="s">
        <v>717</v>
      </c>
      <c r="G50" s="2" t="s">
        <v>143</v>
      </c>
      <c r="H50" s="2" t="s">
        <v>106</v>
      </c>
      <c r="I50" s="2" t="s">
        <v>90</v>
      </c>
      <c r="J50" s="2" t="s">
        <v>566</v>
      </c>
      <c r="K50" s="2" t="s">
        <v>79</v>
      </c>
      <c r="L50" s="2" t="s">
        <v>92</v>
      </c>
      <c r="M50" s="2" t="s">
        <v>718</v>
      </c>
      <c r="N50" s="2"/>
      <c r="O50" s="2"/>
      <c r="P50" s="2" t="s">
        <v>80</v>
      </c>
      <c r="Q50" s="2"/>
      <c r="R50" s="2" t="s">
        <v>92</v>
      </c>
      <c r="S50" s="2" t="s">
        <v>714</v>
      </c>
      <c r="T50" s="2" t="s">
        <v>656</v>
      </c>
      <c r="U50" s="2" t="s">
        <v>719</v>
      </c>
      <c r="V50" s="2" t="s">
        <v>95</v>
      </c>
      <c r="W50" s="2" t="s">
        <v>720</v>
      </c>
      <c r="X50" s="2" t="s">
        <v>721</v>
      </c>
      <c r="Y50" s="2" t="s">
        <v>80</v>
      </c>
      <c r="Z50" s="2"/>
      <c r="AA50" s="2"/>
      <c r="AB50" s="2"/>
      <c r="AC50" s="2" t="s">
        <v>79</v>
      </c>
      <c r="AD50" s="2" t="s">
        <v>722</v>
      </c>
      <c r="AE50" s="2" t="s">
        <v>715</v>
      </c>
      <c r="AF50" s="2" t="s">
        <v>82</v>
      </c>
      <c r="AG50" s="2">
        <v>8.5</v>
      </c>
      <c r="AH50" s="2" t="s">
        <v>84</v>
      </c>
      <c r="AI50" s="2" t="s">
        <v>84</v>
      </c>
      <c r="AJ50" s="2" t="s">
        <v>84</v>
      </c>
      <c r="AK50" s="2" t="s">
        <v>84</v>
      </c>
      <c r="AL50" s="2" t="s">
        <v>84</v>
      </c>
      <c r="AM50" s="2" t="s">
        <v>84</v>
      </c>
      <c r="AN50" s="2" t="s">
        <v>84</v>
      </c>
      <c r="AO50" s="2" t="s">
        <v>86</v>
      </c>
      <c r="AP50" s="2" t="s">
        <v>84</v>
      </c>
      <c r="AQ50" s="2" t="s">
        <v>85</v>
      </c>
      <c r="AR50" s="2" t="s">
        <v>106</v>
      </c>
      <c r="AS50" s="2" t="s">
        <v>80</v>
      </c>
      <c r="AT50" s="2"/>
      <c r="AU50" s="2" t="s">
        <v>106</v>
      </c>
      <c r="AV50" s="2" t="s">
        <v>79</v>
      </c>
      <c r="AW50" s="2" t="s">
        <v>92</v>
      </c>
      <c r="AX50" s="2" t="s">
        <v>723</v>
      </c>
      <c r="AY50" s="2" t="s">
        <v>100</v>
      </c>
      <c r="AZ50" s="2" t="s">
        <v>724</v>
      </c>
      <c r="BA50" s="2" t="s">
        <v>102</v>
      </c>
      <c r="BB50" s="2" t="s">
        <v>79</v>
      </c>
      <c r="BC50" s="2"/>
      <c r="BD50" s="2" t="s">
        <v>725</v>
      </c>
      <c r="BE50" s="2" t="s">
        <v>648</v>
      </c>
      <c r="BF50" s="2"/>
      <c r="BG50" s="2" t="s">
        <v>80</v>
      </c>
      <c r="BH50" s="2" t="s">
        <v>79</v>
      </c>
      <c r="BI50" s="2" t="s">
        <v>367</v>
      </c>
      <c r="BJ50" s="2" t="s">
        <v>726</v>
      </c>
      <c r="BK50" s="2" t="s">
        <v>79</v>
      </c>
      <c r="BL50" s="2" t="s">
        <v>268</v>
      </c>
      <c r="BM50" s="2">
        <v>2019</v>
      </c>
    </row>
    <row r="51" spans="1:65" ht="409.5" x14ac:dyDescent="0.25">
      <c r="A51" s="2" t="s">
        <v>999</v>
      </c>
      <c r="B51" s="2" t="s">
        <v>92</v>
      </c>
      <c r="C51" s="2" t="s">
        <v>1002</v>
      </c>
      <c r="D51" s="2" t="s">
        <v>79</v>
      </c>
      <c r="E51" s="2" t="s">
        <v>79</v>
      </c>
      <c r="F51" s="2" t="s">
        <v>1003</v>
      </c>
      <c r="G51" s="2" t="s">
        <v>143</v>
      </c>
      <c r="H51" s="2" t="s">
        <v>106</v>
      </c>
      <c r="I51" s="2" t="s">
        <v>90</v>
      </c>
      <c r="J51" s="2" t="s">
        <v>111</v>
      </c>
      <c r="K51" s="2" t="s">
        <v>79</v>
      </c>
      <c r="L51" s="2" t="s">
        <v>92</v>
      </c>
      <c r="M51" s="2" t="s">
        <v>1004</v>
      </c>
      <c r="N51" s="2" t="s">
        <v>1005</v>
      </c>
      <c r="O51" s="2" t="s">
        <v>1006</v>
      </c>
      <c r="P51" s="2" t="s">
        <v>79</v>
      </c>
      <c r="Q51" s="2" t="s">
        <v>1007</v>
      </c>
      <c r="R51" s="2" t="s">
        <v>92</v>
      </c>
      <c r="S51" s="2" t="s">
        <v>1000</v>
      </c>
      <c r="T51" s="2" t="s">
        <v>1008</v>
      </c>
      <c r="U51" s="2" t="s">
        <v>1009</v>
      </c>
      <c r="V51" s="2" t="s">
        <v>95</v>
      </c>
      <c r="W51" s="2" t="s">
        <v>1010</v>
      </c>
      <c r="X51" s="2" t="s">
        <v>1011</v>
      </c>
      <c r="Y51" s="2" t="s">
        <v>80</v>
      </c>
      <c r="Z51" s="2"/>
      <c r="AA51" s="2"/>
      <c r="AB51" s="2"/>
      <c r="AC51" s="2" t="s">
        <v>79</v>
      </c>
      <c r="AD51" s="2" t="s">
        <v>1012</v>
      </c>
      <c r="AE51" s="2" t="s">
        <v>1001</v>
      </c>
      <c r="AF51" s="2" t="s">
        <v>82</v>
      </c>
      <c r="AG51" s="2">
        <v>8.5</v>
      </c>
      <c r="AH51" s="2" t="s">
        <v>84</v>
      </c>
      <c r="AI51" s="2" t="s">
        <v>84</v>
      </c>
      <c r="AJ51" s="2" t="s">
        <v>84</v>
      </c>
      <c r="AK51" s="2" t="s">
        <v>86</v>
      </c>
      <c r="AL51" s="2" t="s">
        <v>84</v>
      </c>
      <c r="AM51" s="2" t="s">
        <v>84</v>
      </c>
      <c r="AN51" s="2" t="s">
        <v>84</v>
      </c>
      <c r="AO51" s="2" t="s">
        <v>84</v>
      </c>
      <c r="AP51" s="2" t="s">
        <v>85</v>
      </c>
      <c r="AQ51" s="2" t="s">
        <v>84</v>
      </c>
      <c r="AR51" s="2" t="s">
        <v>106</v>
      </c>
      <c r="AS51" s="2" t="s">
        <v>79</v>
      </c>
      <c r="AT51" s="2" t="s">
        <v>1013</v>
      </c>
      <c r="AU51" s="2" t="s">
        <v>106</v>
      </c>
      <c r="AV51" s="2" t="s">
        <v>79</v>
      </c>
      <c r="AW51" s="2" t="s">
        <v>79</v>
      </c>
      <c r="AX51" s="2" t="s">
        <v>1014</v>
      </c>
      <c r="AY51" s="2" t="s">
        <v>303</v>
      </c>
      <c r="AZ51" s="2" t="s">
        <v>1015</v>
      </c>
      <c r="BA51" s="2" t="s">
        <v>709</v>
      </c>
      <c r="BB51" s="2" t="s">
        <v>79</v>
      </c>
      <c r="BC51" s="2" t="s">
        <v>1016</v>
      </c>
      <c r="BD51" s="2" t="s">
        <v>1017</v>
      </c>
      <c r="BE51" s="2" t="s">
        <v>153</v>
      </c>
      <c r="BF51" s="2" t="s">
        <v>1018</v>
      </c>
      <c r="BG51" s="2" t="s">
        <v>92</v>
      </c>
      <c r="BH51" s="2" t="s">
        <v>79</v>
      </c>
      <c r="BI51" s="2" t="s">
        <v>143</v>
      </c>
      <c r="BJ51" s="2" t="s">
        <v>1019</v>
      </c>
      <c r="BK51" s="2" t="s">
        <v>79</v>
      </c>
      <c r="BL51" s="2" t="s">
        <v>109</v>
      </c>
      <c r="BM51" s="2">
        <v>2022</v>
      </c>
    </row>
    <row r="52" spans="1:65" ht="409.5" x14ac:dyDescent="0.25">
      <c r="A52" s="2" t="s">
        <v>1020</v>
      </c>
      <c r="B52" s="2" t="s">
        <v>80</v>
      </c>
      <c r="C52" s="2" t="s">
        <v>1023</v>
      </c>
      <c r="D52" s="2" t="s">
        <v>79</v>
      </c>
      <c r="E52" s="2" t="s">
        <v>79</v>
      </c>
      <c r="F52" s="2" t="s">
        <v>1024</v>
      </c>
      <c r="G52" s="2" t="s">
        <v>478</v>
      </c>
      <c r="H52" s="2" t="s">
        <v>80</v>
      </c>
      <c r="I52" s="2" t="s">
        <v>116</v>
      </c>
      <c r="J52" s="2" t="s">
        <v>143</v>
      </c>
      <c r="K52" s="2" t="s">
        <v>79</v>
      </c>
      <c r="L52" s="2" t="s">
        <v>92</v>
      </c>
      <c r="M52" s="2" t="s">
        <v>1025</v>
      </c>
      <c r="N52" s="2"/>
      <c r="O52" s="2" t="s">
        <v>155</v>
      </c>
      <c r="P52" s="2" t="s">
        <v>80</v>
      </c>
      <c r="Q52" s="2"/>
      <c r="R52" s="2" t="s">
        <v>92</v>
      </c>
      <c r="S52" s="2" t="s">
        <v>1021</v>
      </c>
      <c r="T52" s="2" t="s">
        <v>328</v>
      </c>
      <c r="U52" s="2" t="s">
        <v>1026</v>
      </c>
      <c r="V52" s="2" t="s">
        <v>95</v>
      </c>
      <c r="W52" s="2" t="s">
        <v>1027</v>
      </c>
      <c r="X52" s="2" t="s">
        <v>1028</v>
      </c>
      <c r="Y52" s="2" t="s">
        <v>80</v>
      </c>
      <c r="Z52" s="2"/>
      <c r="AA52" s="2"/>
      <c r="AB52" s="2"/>
      <c r="AC52" s="2" t="s">
        <v>79</v>
      </c>
      <c r="AD52" s="2" t="s">
        <v>1029</v>
      </c>
      <c r="AE52" s="2" t="s">
        <v>1022</v>
      </c>
      <c r="AF52" s="2" t="s">
        <v>82</v>
      </c>
      <c r="AG52" s="2">
        <v>8.5</v>
      </c>
      <c r="AH52" s="2" t="s">
        <v>84</v>
      </c>
      <c r="AI52" s="2" t="s">
        <v>84</v>
      </c>
      <c r="AJ52" s="2" t="s">
        <v>84</v>
      </c>
      <c r="AK52" s="2" t="s">
        <v>84</v>
      </c>
      <c r="AL52" s="2" t="s">
        <v>84</v>
      </c>
      <c r="AM52" s="2" t="s">
        <v>84</v>
      </c>
      <c r="AN52" s="2" t="s">
        <v>85</v>
      </c>
      <c r="AO52" s="2" t="s">
        <v>86</v>
      </c>
      <c r="AP52" s="2" t="s">
        <v>84</v>
      </c>
      <c r="AQ52" s="2" t="s">
        <v>84</v>
      </c>
      <c r="AR52" s="2" t="s">
        <v>106</v>
      </c>
      <c r="AS52" s="2" t="s">
        <v>79</v>
      </c>
      <c r="AT52" s="2" t="s">
        <v>1030</v>
      </c>
      <c r="AU52" s="2" t="s">
        <v>80</v>
      </c>
      <c r="AV52" s="2" t="s">
        <v>79</v>
      </c>
      <c r="AW52" s="2" t="s">
        <v>79</v>
      </c>
      <c r="AX52" s="2" t="s">
        <v>1031</v>
      </c>
      <c r="AY52" s="2" t="s">
        <v>100</v>
      </c>
      <c r="AZ52" s="2" t="s">
        <v>1032</v>
      </c>
      <c r="BA52" s="2" t="s">
        <v>286</v>
      </c>
      <c r="BB52" s="2" t="s">
        <v>79</v>
      </c>
      <c r="BC52" s="2" t="s">
        <v>287</v>
      </c>
      <c r="BD52" s="2" t="s">
        <v>1033</v>
      </c>
      <c r="BE52" s="2" t="s">
        <v>153</v>
      </c>
      <c r="BF52" s="2"/>
      <c r="BG52" s="2" t="s">
        <v>80</v>
      </c>
      <c r="BH52" s="2" t="s">
        <v>79</v>
      </c>
      <c r="BI52" s="2" t="s">
        <v>206</v>
      </c>
      <c r="BJ52" s="2" t="s">
        <v>1034</v>
      </c>
      <c r="BK52" s="2" t="s">
        <v>79</v>
      </c>
      <c r="BL52" s="2" t="s">
        <v>109</v>
      </c>
      <c r="BM52" s="2">
        <v>2022</v>
      </c>
    </row>
    <row r="53" spans="1:65" ht="409.5" x14ac:dyDescent="0.25">
      <c r="A53" s="2" t="s">
        <v>984</v>
      </c>
      <c r="B53" s="2" t="s">
        <v>92</v>
      </c>
      <c r="C53" s="2" t="s">
        <v>987</v>
      </c>
      <c r="D53" s="2" t="s">
        <v>79</v>
      </c>
      <c r="E53" s="2" t="s">
        <v>79</v>
      </c>
      <c r="F53" s="2" t="s">
        <v>988</v>
      </c>
      <c r="G53" s="2" t="s">
        <v>89</v>
      </c>
      <c r="H53" s="2" t="s">
        <v>79</v>
      </c>
      <c r="I53" s="2" t="s">
        <v>116</v>
      </c>
      <c r="J53" s="2" t="s">
        <v>111</v>
      </c>
      <c r="K53" s="2" t="s">
        <v>79</v>
      </c>
      <c r="L53" s="2" t="s">
        <v>92</v>
      </c>
      <c r="M53" s="2" t="s">
        <v>989</v>
      </c>
      <c r="N53" s="2"/>
      <c r="O53" s="2" t="s">
        <v>155</v>
      </c>
      <c r="P53" s="2" t="s">
        <v>80</v>
      </c>
      <c r="Q53" s="2"/>
      <c r="R53" s="2" t="s">
        <v>92</v>
      </c>
      <c r="S53" s="2" t="s">
        <v>985</v>
      </c>
      <c r="T53" s="2" t="s">
        <v>465</v>
      </c>
      <c r="U53" s="2" t="s">
        <v>990</v>
      </c>
      <c r="V53" s="2" t="s">
        <v>95</v>
      </c>
      <c r="W53" s="2" t="s">
        <v>991</v>
      </c>
      <c r="X53" s="2" t="s">
        <v>992</v>
      </c>
      <c r="Y53" s="2" t="s">
        <v>80</v>
      </c>
      <c r="Z53" s="2"/>
      <c r="AA53" s="2"/>
      <c r="AB53" s="2"/>
      <c r="AC53" s="2" t="s">
        <v>79</v>
      </c>
      <c r="AD53" s="2" t="s">
        <v>993</v>
      </c>
      <c r="AE53" s="2" t="s">
        <v>986</v>
      </c>
      <c r="AF53" s="2" t="s">
        <v>82</v>
      </c>
      <c r="AG53" s="2">
        <v>8.5</v>
      </c>
      <c r="AH53" s="2" t="s">
        <v>84</v>
      </c>
      <c r="AI53" s="2" t="s">
        <v>84</v>
      </c>
      <c r="AJ53" s="2" t="s">
        <v>84</v>
      </c>
      <c r="AK53" s="2" t="s">
        <v>84</v>
      </c>
      <c r="AL53" s="2" t="s">
        <v>84</v>
      </c>
      <c r="AM53" s="2" t="s">
        <v>84</v>
      </c>
      <c r="AN53" s="2" t="s">
        <v>84</v>
      </c>
      <c r="AO53" s="2" t="s">
        <v>86</v>
      </c>
      <c r="AP53" s="2" t="s">
        <v>84</v>
      </c>
      <c r="AQ53" s="2" t="s">
        <v>85</v>
      </c>
      <c r="AR53" s="2" t="s">
        <v>106</v>
      </c>
      <c r="AS53" s="2" t="s">
        <v>80</v>
      </c>
      <c r="AT53" s="2"/>
      <c r="AU53" s="2" t="s">
        <v>80</v>
      </c>
      <c r="AV53" s="2" t="s">
        <v>79</v>
      </c>
      <c r="AW53" s="2" t="s">
        <v>92</v>
      </c>
      <c r="AX53" s="2" t="s">
        <v>994</v>
      </c>
      <c r="AY53" s="2" t="s">
        <v>100</v>
      </c>
      <c r="AZ53" s="2" t="s">
        <v>995</v>
      </c>
      <c r="BA53" s="2" t="s">
        <v>286</v>
      </c>
      <c r="BB53" s="2" t="s">
        <v>79</v>
      </c>
      <c r="BC53" s="2" t="s">
        <v>203</v>
      </c>
      <c r="BD53" s="2" t="s">
        <v>996</v>
      </c>
      <c r="BE53" s="2" t="s">
        <v>153</v>
      </c>
      <c r="BF53" s="2" t="s">
        <v>997</v>
      </c>
      <c r="BG53" s="2" t="s">
        <v>92</v>
      </c>
      <c r="BH53" s="2" t="s">
        <v>79</v>
      </c>
      <c r="BI53" s="2" t="s">
        <v>107</v>
      </c>
      <c r="BJ53" s="2" t="s">
        <v>998</v>
      </c>
      <c r="BK53" s="2" t="s">
        <v>79</v>
      </c>
      <c r="BL53" s="2" t="s">
        <v>109</v>
      </c>
      <c r="BM53" s="2">
        <v>2022</v>
      </c>
    </row>
    <row r="54" spans="1:65" ht="409.5" x14ac:dyDescent="0.25">
      <c r="A54" s="2" t="s">
        <v>919</v>
      </c>
      <c r="B54" s="2" t="s">
        <v>92</v>
      </c>
      <c r="C54" s="2" t="s">
        <v>921</v>
      </c>
      <c r="D54" s="2" t="s">
        <v>79</v>
      </c>
      <c r="E54" s="2" t="s">
        <v>79</v>
      </c>
      <c r="F54" s="2" t="s">
        <v>922</v>
      </c>
      <c r="G54" s="2" t="s">
        <v>842</v>
      </c>
      <c r="H54" s="2" t="s">
        <v>79</v>
      </c>
      <c r="I54" s="2" t="s">
        <v>116</v>
      </c>
      <c r="J54" s="2" t="s">
        <v>111</v>
      </c>
      <c r="K54" s="2" t="s">
        <v>79</v>
      </c>
      <c r="L54" s="2" t="s">
        <v>79</v>
      </c>
      <c r="M54" s="2" t="s">
        <v>923</v>
      </c>
      <c r="N54" s="2" t="s">
        <v>143</v>
      </c>
      <c r="O54" s="2" t="s">
        <v>924</v>
      </c>
      <c r="P54" s="2" t="s">
        <v>79</v>
      </c>
      <c r="Q54" s="2" t="s">
        <v>925</v>
      </c>
      <c r="R54" s="2" t="s">
        <v>92</v>
      </c>
      <c r="S54" s="2" t="s">
        <v>502</v>
      </c>
      <c r="T54" s="2" t="s">
        <v>465</v>
      </c>
      <c r="U54" s="2" t="s">
        <v>926</v>
      </c>
      <c r="V54" s="2" t="s">
        <v>95</v>
      </c>
      <c r="W54" s="2" t="s">
        <v>927</v>
      </c>
      <c r="X54" s="2" t="s">
        <v>928</v>
      </c>
      <c r="Y54" s="2" t="s">
        <v>80</v>
      </c>
      <c r="Z54" s="2"/>
      <c r="AA54" s="2"/>
      <c r="AB54" s="2"/>
      <c r="AC54" s="2" t="s">
        <v>79</v>
      </c>
      <c r="AD54" s="2" t="s">
        <v>929</v>
      </c>
      <c r="AE54" s="2" t="s">
        <v>920</v>
      </c>
      <c r="AF54" s="2" t="s">
        <v>82</v>
      </c>
      <c r="AG54" s="2">
        <v>9</v>
      </c>
      <c r="AH54" s="2" t="s">
        <v>84</v>
      </c>
      <c r="AI54" s="2" t="s">
        <v>84</v>
      </c>
      <c r="AJ54" s="2" t="s">
        <v>84</v>
      </c>
      <c r="AK54" s="2" t="s">
        <v>84</v>
      </c>
      <c r="AL54" s="2" t="s">
        <v>84</v>
      </c>
      <c r="AM54" s="2" t="s">
        <v>84</v>
      </c>
      <c r="AN54" s="2" t="s">
        <v>85</v>
      </c>
      <c r="AO54" s="2" t="s">
        <v>84</v>
      </c>
      <c r="AP54" s="2" t="s">
        <v>84</v>
      </c>
      <c r="AQ54" s="2" t="s">
        <v>85</v>
      </c>
      <c r="AR54" s="2" t="s">
        <v>79</v>
      </c>
      <c r="AS54" s="2" t="s">
        <v>79</v>
      </c>
      <c r="AT54" s="2" t="s">
        <v>930</v>
      </c>
      <c r="AU54" s="2" t="s">
        <v>106</v>
      </c>
      <c r="AV54" s="2" t="s">
        <v>79</v>
      </c>
      <c r="AW54" s="2" t="s">
        <v>79</v>
      </c>
      <c r="AX54" s="2" t="s">
        <v>931</v>
      </c>
      <c r="AY54" s="2" t="s">
        <v>100</v>
      </c>
      <c r="AZ54" s="2" t="s">
        <v>932</v>
      </c>
      <c r="BA54" s="2" t="s">
        <v>709</v>
      </c>
      <c r="BB54" s="2" t="s">
        <v>79</v>
      </c>
      <c r="BC54" s="2" t="s">
        <v>287</v>
      </c>
      <c r="BD54" s="2" t="s">
        <v>933</v>
      </c>
      <c r="BE54" s="2" t="s">
        <v>856</v>
      </c>
      <c r="BF54" s="2"/>
      <c r="BG54" s="2" t="s">
        <v>80</v>
      </c>
      <c r="BH54" s="2" t="s">
        <v>79</v>
      </c>
      <c r="BI54" s="2" t="s">
        <v>206</v>
      </c>
      <c r="BJ54" s="2" t="s">
        <v>934</v>
      </c>
      <c r="BK54" s="2" t="s">
        <v>79</v>
      </c>
      <c r="BL54" s="2" t="s">
        <v>109</v>
      </c>
      <c r="BM54" s="2">
        <v>2021</v>
      </c>
    </row>
    <row r="55" spans="1:65" ht="409.5" x14ac:dyDescent="0.25">
      <c r="A55" s="2" t="s">
        <v>950</v>
      </c>
      <c r="B55" s="2" t="s">
        <v>79</v>
      </c>
      <c r="C55" s="2" t="s">
        <v>953</v>
      </c>
      <c r="D55" s="2" t="s">
        <v>79</v>
      </c>
      <c r="E55" s="2" t="s">
        <v>79</v>
      </c>
      <c r="F55" s="2" t="s">
        <v>954</v>
      </c>
      <c r="G55" s="2" t="s">
        <v>143</v>
      </c>
      <c r="H55" s="2" t="s">
        <v>79</v>
      </c>
      <c r="I55" s="2" t="s">
        <v>90</v>
      </c>
      <c r="J55" s="2" t="s">
        <v>111</v>
      </c>
      <c r="K55" s="2" t="s">
        <v>79</v>
      </c>
      <c r="L55" s="2" t="s">
        <v>92</v>
      </c>
      <c r="M55" s="2" t="s">
        <v>955</v>
      </c>
      <c r="N55" s="2"/>
      <c r="O55" s="2" t="s">
        <v>155</v>
      </c>
      <c r="P55" s="2" t="s">
        <v>80</v>
      </c>
      <c r="Q55" s="2"/>
      <c r="R55" s="2" t="s">
        <v>92</v>
      </c>
      <c r="S55" s="2" t="s">
        <v>951</v>
      </c>
      <c r="T55" s="2" t="s">
        <v>956</v>
      </c>
      <c r="U55" s="2" t="s">
        <v>957</v>
      </c>
      <c r="V55" s="2" t="s">
        <v>95</v>
      </c>
      <c r="W55" s="2" t="s">
        <v>958</v>
      </c>
      <c r="X55" s="2" t="s">
        <v>959</v>
      </c>
      <c r="Y55" s="2" t="s">
        <v>80</v>
      </c>
      <c r="Z55" s="2"/>
      <c r="AA55" s="2"/>
      <c r="AB55" s="2"/>
      <c r="AC55" s="2" t="s">
        <v>79</v>
      </c>
      <c r="AD55" s="2" t="s">
        <v>960</v>
      </c>
      <c r="AE55" s="2" t="s">
        <v>952</v>
      </c>
      <c r="AF55" s="2" t="s">
        <v>82</v>
      </c>
      <c r="AG55" s="2">
        <v>8.5</v>
      </c>
      <c r="AH55" s="2" t="s">
        <v>84</v>
      </c>
      <c r="AI55" s="2" t="s">
        <v>84</v>
      </c>
      <c r="AJ55" s="2" t="s">
        <v>84</v>
      </c>
      <c r="AK55" s="2" t="s">
        <v>84</v>
      </c>
      <c r="AL55" s="2" t="s">
        <v>84</v>
      </c>
      <c r="AM55" s="2" t="s">
        <v>84</v>
      </c>
      <c r="AN55" s="2" t="s">
        <v>84</v>
      </c>
      <c r="AO55" s="2" t="s">
        <v>86</v>
      </c>
      <c r="AP55" s="2" t="s">
        <v>84</v>
      </c>
      <c r="AQ55" s="2" t="s">
        <v>85</v>
      </c>
      <c r="AR55" s="2" t="s">
        <v>106</v>
      </c>
      <c r="AS55" s="2" t="s">
        <v>80</v>
      </c>
      <c r="AT55" s="2"/>
      <c r="AU55" s="2" t="s">
        <v>80</v>
      </c>
      <c r="AV55" s="2" t="s">
        <v>79</v>
      </c>
      <c r="AW55" s="2" t="s">
        <v>92</v>
      </c>
      <c r="AX55" s="2" t="s">
        <v>961</v>
      </c>
      <c r="AY55" s="2" t="s">
        <v>100</v>
      </c>
      <c r="AZ55" s="2" t="s">
        <v>962</v>
      </c>
      <c r="BA55" s="2" t="s">
        <v>963</v>
      </c>
      <c r="BB55" s="2" t="s">
        <v>79</v>
      </c>
      <c r="BC55" s="2" t="s">
        <v>964</v>
      </c>
      <c r="BD55" s="2" t="s">
        <v>965</v>
      </c>
      <c r="BE55" s="2" t="s">
        <v>758</v>
      </c>
      <c r="BF55" s="2" t="s">
        <v>966</v>
      </c>
      <c r="BG55" s="2" t="s">
        <v>79</v>
      </c>
      <c r="BH55" s="2" t="s">
        <v>79</v>
      </c>
      <c r="BI55" s="2" t="s">
        <v>429</v>
      </c>
      <c r="BJ55" s="2" t="s">
        <v>967</v>
      </c>
      <c r="BK55" s="2" t="s">
        <v>79</v>
      </c>
      <c r="BL55" s="2" t="s">
        <v>109</v>
      </c>
      <c r="BM55" s="2">
        <v>2022</v>
      </c>
    </row>
    <row r="56" spans="1:65" ht="409.5" x14ac:dyDescent="0.25">
      <c r="A56" s="2" t="s">
        <v>1035</v>
      </c>
      <c r="B56" s="2" t="s">
        <v>92</v>
      </c>
      <c r="C56" s="2" t="s">
        <v>1038</v>
      </c>
      <c r="D56" s="2" t="s">
        <v>79</v>
      </c>
      <c r="E56" s="2" t="s">
        <v>79</v>
      </c>
      <c r="F56" s="2" t="s">
        <v>1039</v>
      </c>
      <c r="G56" s="2" t="s">
        <v>89</v>
      </c>
      <c r="H56" s="2" t="s">
        <v>79</v>
      </c>
      <c r="I56" s="2" t="s">
        <v>116</v>
      </c>
      <c r="J56" s="2" t="s">
        <v>143</v>
      </c>
      <c r="K56" s="2" t="s">
        <v>79</v>
      </c>
      <c r="L56" s="2" t="s">
        <v>92</v>
      </c>
      <c r="M56" s="2" t="s">
        <v>1040</v>
      </c>
      <c r="N56" s="2"/>
      <c r="O56" s="2" t="s">
        <v>155</v>
      </c>
      <c r="P56" s="2" t="s">
        <v>80</v>
      </c>
      <c r="Q56" s="2"/>
      <c r="R56" s="2" t="s">
        <v>92</v>
      </c>
      <c r="S56" s="2" t="s">
        <v>1036</v>
      </c>
      <c r="T56" s="2" t="s">
        <v>279</v>
      </c>
      <c r="U56" s="2" t="s">
        <v>1041</v>
      </c>
      <c r="V56" s="2" t="s">
        <v>95</v>
      </c>
      <c r="W56" s="2" t="s">
        <v>1042</v>
      </c>
      <c r="X56" s="2" t="s">
        <v>1043</v>
      </c>
      <c r="Y56" s="2" t="s">
        <v>80</v>
      </c>
      <c r="Z56" s="2"/>
      <c r="AA56" s="2"/>
      <c r="AB56" s="2"/>
      <c r="AC56" s="2" t="s">
        <v>79</v>
      </c>
      <c r="AD56" s="2" t="s">
        <v>1044</v>
      </c>
      <c r="AE56" s="2" t="s">
        <v>1037</v>
      </c>
      <c r="AF56" s="2" t="s">
        <v>82</v>
      </c>
      <c r="AG56" s="2">
        <v>9</v>
      </c>
      <c r="AH56" s="2" t="s">
        <v>84</v>
      </c>
      <c r="AI56" s="2" t="s">
        <v>84</v>
      </c>
      <c r="AJ56" s="2" t="s">
        <v>84</v>
      </c>
      <c r="AK56" s="2" t="s">
        <v>84</v>
      </c>
      <c r="AL56" s="2" t="s">
        <v>84</v>
      </c>
      <c r="AM56" s="2" t="s">
        <v>84</v>
      </c>
      <c r="AN56" s="2" t="s">
        <v>84</v>
      </c>
      <c r="AO56" s="2" t="s">
        <v>86</v>
      </c>
      <c r="AP56" s="2" t="s">
        <v>84</v>
      </c>
      <c r="AQ56" s="2" t="s">
        <v>84</v>
      </c>
      <c r="AR56" s="2" t="s">
        <v>106</v>
      </c>
      <c r="AS56" s="2" t="s">
        <v>79</v>
      </c>
      <c r="AT56" s="2" t="s">
        <v>1045</v>
      </c>
      <c r="AU56" s="2" t="s">
        <v>106</v>
      </c>
      <c r="AV56" s="2" t="s">
        <v>79</v>
      </c>
      <c r="AW56" s="2" t="s">
        <v>79</v>
      </c>
      <c r="AX56" s="2" t="s">
        <v>1046</v>
      </c>
      <c r="AY56" s="2" t="s">
        <v>100</v>
      </c>
      <c r="AZ56" s="2" t="s">
        <v>1047</v>
      </c>
      <c r="BA56" s="2" t="s">
        <v>709</v>
      </c>
      <c r="BB56" s="2" t="s">
        <v>79</v>
      </c>
      <c r="BC56" s="2" t="s">
        <v>1016</v>
      </c>
      <c r="BD56" s="2" t="s">
        <v>1048</v>
      </c>
      <c r="BE56" s="2" t="s">
        <v>153</v>
      </c>
      <c r="BF56" s="2" t="s">
        <v>1049</v>
      </c>
      <c r="BG56" s="2" t="s">
        <v>92</v>
      </c>
      <c r="BH56" s="2" t="s">
        <v>79</v>
      </c>
      <c r="BI56" s="2" t="s">
        <v>206</v>
      </c>
      <c r="BJ56" s="2" t="s">
        <v>1050</v>
      </c>
      <c r="BK56" s="2" t="s">
        <v>79</v>
      </c>
      <c r="BL56" s="2" t="s">
        <v>172</v>
      </c>
      <c r="BM56" s="2">
        <v>2025</v>
      </c>
    </row>
    <row r="57" spans="1:65" ht="409.5" x14ac:dyDescent="0.25">
      <c r="A57" s="2" t="s">
        <v>903</v>
      </c>
      <c r="B57" s="2" t="s">
        <v>92</v>
      </c>
      <c r="C57" s="2" t="s">
        <v>906</v>
      </c>
      <c r="D57" s="2" t="s">
        <v>79</v>
      </c>
      <c r="E57" s="2" t="s">
        <v>79</v>
      </c>
      <c r="F57" s="2" t="s">
        <v>907</v>
      </c>
      <c r="G57" s="2" t="s">
        <v>842</v>
      </c>
      <c r="H57" s="2" t="s">
        <v>79</v>
      </c>
      <c r="I57" s="2" t="s">
        <v>116</v>
      </c>
      <c r="J57" s="2" t="s">
        <v>189</v>
      </c>
      <c r="K57" s="2" t="s">
        <v>79</v>
      </c>
      <c r="L57" s="2" t="s">
        <v>79</v>
      </c>
      <c r="M57" s="2" t="s">
        <v>908</v>
      </c>
      <c r="N57" s="2"/>
      <c r="O57" s="2" t="s">
        <v>155</v>
      </c>
      <c r="P57" s="2" t="s">
        <v>80</v>
      </c>
      <c r="Q57" s="2"/>
      <c r="R57" s="2" t="s">
        <v>92</v>
      </c>
      <c r="S57" s="2" t="s">
        <v>904</v>
      </c>
      <c r="T57" s="2" t="s">
        <v>909</v>
      </c>
      <c r="U57" s="2" t="s">
        <v>910</v>
      </c>
      <c r="V57" s="2" t="s">
        <v>95</v>
      </c>
      <c r="W57" s="2" t="s">
        <v>911</v>
      </c>
      <c r="X57" s="2" t="s">
        <v>912</v>
      </c>
      <c r="Y57" s="2" t="s">
        <v>80</v>
      </c>
      <c r="Z57" s="2"/>
      <c r="AA57" s="2"/>
      <c r="AB57" s="2"/>
      <c r="AC57" s="2" t="s">
        <v>79</v>
      </c>
      <c r="AD57" s="2" t="s">
        <v>913</v>
      </c>
      <c r="AE57" s="2" t="s">
        <v>905</v>
      </c>
      <c r="AF57" s="2" t="s">
        <v>82</v>
      </c>
      <c r="AG57" s="2">
        <v>8.5</v>
      </c>
      <c r="AH57" s="2" t="s">
        <v>84</v>
      </c>
      <c r="AI57" s="2" t="s">
        <v>84</v>
      </c>
      <c r="AJ57" s="2" t="s">
        <v>84</v>
      </c>
      <c r="AK57" s="2" t="s">
        <v>84</v>
      </c>
      <c r="AL57" s="2" t="s">
        <v>84</v>
      </c>
      <c r="AM57" s="2" t="s">
        <v>84</v>
      </c>
      <c r="AN57" s="2" t="s">
        <v>84</v>
      </c>
      <c r="AO57" s="2" t="s">
        <v>86</v>
      </c>
      <c r="AP57" s="2" t="s">
        <v>84</v>
      </c>
      <c r="AQ57" s="2" t="s">
        <v>85</v>
      </c>
      <c r="AR57" s="2" t="s">
        <v>80</v>
      </c>
      <c r="AS57" s="2" t="s">
        <v>80</v>
      </c>
      <c r="AT57" s="2"/>
      <c r="AU57" s="2" t="s">
        <v>80</v>
      </c>
      <c r="AV57" s="2" t="s">
        <v>79</v>
      </c>
      <c r="AW57" s="2" t="s">
        <v>79</v>
      </c>
      <c r="AX57" s="2" t="s">
        <v>914</v>
      </c>
      <c r="AY57" s="2" t="s">
        <v>100</v>
      </c>
      <c r="AZ57" s="2" t="s">
        <v>915</v>
      </c>
      <c r="BA57" s="2" t="s">
        <v>286</v>
      </c>
      <c r="BB57" s="2" t="s">
        <v>79</v>
      </c>
      <c r="BC57" s="2" t="s">
        <v>287</v>
      </c>
      <c r="BD57" s="2" t="s">
        <v>916</v>
      </c>
      <c r="BE57" s="2" t="s">
        <v>856</v>
      </c>
      <c r="BF57" s="2" t="s">
        <v>917</v>
      </c>
      <c r="BG57" s="2" t="s">
        <v>92</v>
      </c>
      <c r="BH57" s="2" t="s">
        <v>79</v>
      </c>
      <c r="BI57" s="2" t="s">
        <v>107</v>
      </c>
      <c r="BJ57" s="2" t="s">
        <v>918</v>
      </c>
      <c r="BK57" s="2" t="s">
        <v>79</v>
      </c>
      <c r="BL57" s="2" t="s">
        <v>109</v>
      </c>
      <c r="BM57" s="2">
        <v>2021</v>
      </c>
    </row>
    <row r="58" spans="1:65" ht="409.5" x14ac:dyDescent="0.25">
      <c r="A58" s="2" t="s">
        <v>888</v>
      </c>
      <c r="B58" s="2" t="s">
        <v>92</v>
      </c>
      <c r="C58" s="2" t="s">
        <v>891</v>
      </c>
      <c r="D58" s="2" t="s">
        <v>79</v>
      </c>
      <c r="E58" s="2" t="s">
        <v>79</v>
      </c>
      <c r="F58" s="2" t="s">
        <v>892</v>
      </c>
      <c r="G58" s="2" t="s">
        <v>89</v>
      </c>
      <c r="H58" s="2" t="s">
        <v>79</v>
      </c>
      <c r="I58" s="2" t="s">
        <v>90</v>
      </c>
      <c r="J58" s="2" t="s">
        <v>111</v>
      </c>
      <c r="K58" s="2" t="s">
        <v>79</v>
      </c>
      <c r="L58" s="2" t="s">
        <v>79</v>
      </c>
      <c r="M58" s="2" t="s">
        <v>893</v>
      </c>
      <c r="N58" s="2"/>
      <c r="O58" s="2" t="s">
        <v>155</v>
      </c>
      <c r="P58" s="2" t="s">
        <v>80</v>
      </c>
      <c r="Q58" s="2"/>
      <c r="R58" s="2" t="s">
        <v>92</v>
      </c>
      <c r="S58" s="2" t="s">
        <v>889</v>
      </c>
      <c r="T58" s="2" t="s">
        <v>243</v>
      </c>
      <c r="U58" s="2" t="s">
        <v>894</v>
      </c>
      <c r="V58" s="2" t="s">
        <v>95</v>
      </c>
      <c r="W58" s="2" t="s">
        <v>895</v>
      </c>
      <c r="X58" s="2" t="s">
        <v>896</v>
      </c>
      <c r="Y58" s="2" t="s">
        <v>80</v>
      </c>
      <c r="Z58" s="2"/>
      <c r="AA58" s="2"/>
      <c r="AB58" s="2"/>
      <c r="AC58" s="2" t="s">
        <v>79</v>
      </c>
      <c r="AD58" s="2" t="s">
        <v>897</v>
      </c>
      <c r="AE58" s="2" t="s">
        <v>890</v>
      </c>
      <c r="AF58" s="2" t="s">
        <v>82</v>
      </c>
      <c r="AG58" s="2">
        <v>8.5</v>
      </c>
      <c r="AH58" s="2" t="s">
        <v>84</v>
      </c>
      <c r="AI58" s="2" t="s">
        <v>84</v>
      </c>
      <c r="AJ58" s="2" t="s">
        <v>84</v>
      </c>
      <c r="AK58" s="2" t="s">
        <v>84</v>
      </c>
      <c r="AL58" s="2" t="s">
        <v>84</v>
      </c>
      <c r="AM58" s="2" t="s">
        <v>84</v>
      </c>
      <c r="AN58" s="2" t="s">
        <v>84</v>
      </c>
      <c r="AO58" s="2" t="s">
        <v>86</v>
      </c>
      <c r="AP58" s="2" t="s">
        <v>85</v>
      </c>
      <c r="AQ58" s="2" t="s">
        <v>84</v>
      </c>
      <c r="AR58" s="2" t="s">
        <v>80</v>
      </c>
      <c r="AS58" s="2" t="s">
        <v>80</v>
      </c>
      <c r="AT58" s="2"/>
      <c r="AU58" s="2" t="s">
        <v>80</v>
      </c>
      <c r="AV58" s="2" t="s">
        <v>79</v>
      </c>
      <c r="AW58" s="2" t="s">
        <v>79</v>
      </c>
      <c r="AX58" s="2" t="s">
        <v>898</v>
      </c>
      <c r="AY58" s="2" t="s">
        <v>100</v>
      </c>
      <c r="AZ58" s="2" t="s">
        <v>899</v>
      </c>
      <c r="BA58" s="2" t="s">
        <v>709</v>
      </c>
      <c r="BB58" s="2" t="s">
        <v>79</v>
      </c>
      <c r="BC58" s="2" t="s">
        <v>168</v>
      </c>
      <c r="BD58" s="2" t="s">
        <v>900</v>
      </c>
      <c r="BE58" s="2" t="s">
        <v>153</v>
      </c>
      <c r="BF58" s="2" t="s">
        <v>901</v>
      </c>
      <c r="BG58" s="2" t="s">
        <v>92</v>
      </c>
      <c r="BH58" s="2" t="s">
        <v>79</v>
      </c>
      <c r="BI58" s="2" t="s">
        <v>143</v>
      </c>
      <c r="BJ58" s="2" t="s">
        <v>902</v>
      </c>
      <c r="BK58" s="2" t="s">
        <v>79</v>
      </c>
      <c r="BL58" s="2" t="s">
        <v>109</v>
      </c>
      <c r="BM58" s="2">
        <v>2021</v>
      </c>
    </row>
    <row r="59" spans="1:65" ht="409.5" x14ac:dyDescent="0.25">
      <c r="A59" s="2" t="s">
        <v>968</v>
      </c>
      <c r="B59" s="2" t="s">
        <v>80</v>
      </c>
      <c r="C59" s="2" t="s">
        <v>970</v>
      </c>
      <c r="D59" s="2" t="s">
        <v>79</v>
      </c>
      <c r="E59" s="2" t="s">
        <v>79</v>
      </c>
      <c r="F59" s="2" t="s">
        <v>971</v>
      </c>
      <c r="G59" s="2" t="s">
        <v>143</v>
      </c>
      <c r="H59" s="2" t="s">
        <v>80</v>
      </c>
      <c r="I59" s="2" t="s">
        <v>90</v>
      </c>
      <c r="J59" s="2" t="s">
        <v>143</v>
      </c>
      <c r="K59" s="2" t="s">
        <v>79</v>
      </c>
      <c r="L59" s="2" t="s">
        <v>92</v>
      </c>
      <c r="M59" s="2" t="s">
        <v>972</v>
      </c>
      <c r="N59" s="2" t="s">
        <v>276</v>
      </c>
      <c r="O59" s="2" t="s">
        <v>973</v>
      </c>
      <c r="P59" s="2" t="s">
        <v>79</v>
      </c>
      <c r="Q59" s="2" t="s">
        <v>974</v>
      </c>
      <c r="R59" s="2" t="s">
        <v>92</v>
      </c>
      <c r="S59" s="2" t="s">
        <v>951</v>
      </c>
      <c r="T59" s="2" t="s">
        <v>734</v>
      </c>
      <c r="U59" s="2" t="s">
        <v>975</v>
      </c>
      <c r="V59" s="2" t="s">
        <v>95</v>
      </c>
      <c r="W59" s="2" t="s">
        <v>976</v>
      </c>
      <c r="X59" s="2" t="s">
        <v>977</v>
      </c>
      <c r="Y59" s="2" t="s">
        <v>80</v>
      </c>
      <c r="Z59" s="2"/>
      <c r="AA59" s="2"/>
      <c r="AB59" s="2"/>
      <c r="AC59" s="2" t="s">
        <v>79</v>
      </c>
      <c r="AD59" s="2" t="s">
        <v>978</v>
      </c>
      <c r="AE59" s="2" t="s">
        <v>969</v>
      </c>
      <c r="AF59" s="2" t="s">
        <v>82</v>
      </c>
      <c r="AG59" s="2">
        <v>8.5</v>
      </c>
      <c r="AH59" s="2" t="s">
        <v>84</v>
      </c>
      <c r="AI59" s="2" t="s">
        <v>84</v>
      </c>
      <c r="AJ59" s="2" t="s">
        <v>84</v>
      </c>
      <c r="AK59" s="2" t="s">
        <v>86</v>
      </c>
      <c r="AL59" s="2" t="s">
        <v>84</v>
      </c>
      <c r="AM59" s="2" t="s">
        <v>84</v>
      </c>
      <c r="AN59" s="2" t="s">
        <v>84</v>
      </c>
      <c r="AO59" s="2" t="s">
        <v>84</v>
      </c>
      <c r="AP59" s="2" t="s">
        <v>85</v>
      </c>
      <c r="AQ59" s="2" t="s">
        <v>84</v>
      </c>
      <c r="AR59" s="2" t="s">
        <v>106</v>
      </c>
      <c r="AS59" s="2" t="s">
        <v>80</v>
      </c>
      <c r="AT59" s="2"/>
      <c r="AU59" s="2" t="s">
        <v>80</v>
      </c>
      <c r="AV59" s="2" t="s">
        <v>79</v>
      </c>
      <c r="AW59" s="2" t="s">
        <v>79</v>
      </c>
      <c r="AX59" s="2" t="s">
        <v>979</v>
      </c>
      <c r="AY59" s="2" t="s">
        <v>303</v>
      </c>
      <c r="AZ59" s="2" t="s">
        <v>980</v>
      </c>
      <c r="BA59" s="2" t="s">
        <v>514</v>
      </c>
      <c r="BB59" s="2" t="s">
        <v>79</v>
      </c>
      <c r="BC59" s="2" t="s">
        <v>981</v>
      </c>
      <c r="BD59" s="2" t="s">
        <v>982</v>
      </c>
      <c r="BE59" s="2" t="s">
        <v>648</v>
      </c>
      <c r="BF59" s="2"/>
      <c r="BG59" s="2" t="s">
        <v>80</v>
      </c>
      <c r="BH59" s="2" t="s">
        <v>79</v>
      </c>
      <c r="BI59" s="2" t="s">
        <v>143</v>
      </c>
      <c r="BJ59" s="2" t="s">
        <v>983</v>
      </c>
      <c r="BK59" s="2" t="s">
        <v>79</v>
      </c>
      <c r="BL59" s="2" t="s">
        <v>172</v>
      </c>
      <c r="BM59" s="2">
        <v>2022</v>
      </c>
    </row>
    <row r="60" spans="1:65" ht="409.5" x14ac:dyDescent="0.25">
      <c r="A60" s="2" t="s">
        <v>935</v>
      </c>
      <c r="B60" s="2" t="s">
        <v>92</v>
      </c>
      <c r="C60" s="2" t="s">
        <v>938</v>
      </c>
      <c r="D60" s="2" t="s">
        <v>79</v>
      </c>
      <c r="E60" s="2" t="s">
        <v>79</v>
      </c>
      <c r="F60" s="2" t="s">
        <v>939</v>
      </c>
      <c r="G60" s="2" t="s">
        <v>89</v>
      </c>
      <c r="H60" s="2" t="s">
        <v>79</v>
      </c>
      <c r="I60" s="2" t="s">
        <v>116</v>
      </c>
      <c r="J60" s="2" t="s">
        <v>111</v>
      </c>
      <c r="K60" s="2" t="s">
        <v>79</v>
      </c>
      <c r="L60" s="2" t="s">
        <v>92</v>
      </c>
      <c r="M60" s="2" t="s">
        <v>940</v>
      </c>
      <c r="N60" s="2"/>
      <c r="O60" s="2" t="s">
        <v>155</v>
      </c>
      <c r="P60" s="2" t="s">
        <v>80</v>
      </c>
      <c r="Q60" s="2"/>
      <c r="R60" s="2" t="s">
        <v>92</v>
      </c>
      <c r="S60" s="2" t="s">
        <v>936</v>
      </c>
      <c r="T60" s="2" t="s">
        <v>279</v>
      </c>
      <c r="U60" s="2" t="s">
        <v>941</v>
      </c>
      <c r="V60" s="2" t="s">
        <v>95</v>
      </c>
      <c r="W60" s="2" t="s">
        <v>942</v>
      </c>
      <c r="X60" s="2" t="s">
        <v>943</v>
      </c>
      <c r="Y60" s="2" t="s">
        <v>80</v>
      </c>
      <c r="Z60" s="2"/>
      <c r="AA60" s="2"/>
      <c r="AB60" s="2"/>
      <c r="AC60" s="2" t="s">
        <v>79</v>
      </c>
      <c r="AD60" s="2" t="s">
        <v>944</v>
      </c>
      <c r="AE60" s="2" t="s">
        <v>937</v>
      </c>
      <c r="AF60" s="2" t="s">
        <v>82</v>
      </c>
      <c r="AG60" s="2">
        <v>8.5</v>
      </c>
      <c r="AH60" s="2" t="s">
        <v>84</v>
      </c>
      <c r="AI60" s="2" t="s">
        <v>84</v>
      </c>
      <c r="AJ60" s="2" t="s">
        <v>84</v>
      </c>
      <c r="AK60" s="2" t="s">
        <v>84</v>
      </c>
      <c r="AL60" s="2" t="s">
        <v>84</v>
      </c>
      <c r="AM60" s="2" t="s">
        <v>84</v>
      </c>
      <c r="AN60" s="2" t="s">
        <v>84</v>
      </c>
      <c r="AO60" s="2" t="s">
        <v>86</v>
      </c>
      <c r="AP60" s="2" t="s">
        <v>84</v>
      </c>
      <c r="AQ60" s="2" t="s">
        <v>85</v>
      </c>
      <c r="AR60" s="2" t="s">
        <v>106</v>
      </c>
      <c r="AS60" s="2" t="s">
        <v>80</v>
      </c>
      <c r="AT60" s="2"/>
      <c r="AU60" s="2" t="s">
        <v>80</v>
      </c>
      <c r="AV60" s="2" t="s">
        <v>79</v>
      </c>
      <c r="AW60" s="2" t="s">
        <v>92</v>
      </c>
      <c r="AX60" s="2" t="s">
        <v>945</v>
      </c>
      <c r="AY60" s="2" t="s">
        <v>100</v>
      </c>
      <c r="AZ60" s="2" t="s">
        <v>946</v>
      </c>
      <c r="BA60" s="2" t="s">
        <v>286</v>
      </c>
      <c r="BB60" s="2" t="s">
        <v>79</v>
      </c>
      <c r="BC60" s="2" t="s">
        <v>854</v>
      </c>
      <c r="BD60" s="2" t="s">
        <v>947</v>
      </c>
      <c r="BE60" s="2" t="s">
        <v>153</v>
      </c>
      <c r="BF60" s="2" t="s">
        <v>948</v>
      </c>
      <c r="BG60" s="2" t="s">
        <v>92</v>
      </c>
      <c r="BH60" s="2" t="s">
        <v>79</v>
      </c>
      <c r="BI60" s="2" t="s">
        <v>107</v>
      </c>
      <c r="BJ60" s="2" t="s">
        <v>949</v>
      </c>
      <c r="BK60" s="2" t="s">
        <v>79</v>
      </c>
      <c r="BL60" s="2" t="s">
        <v>109</v>
      </c>
      <c r="BM60" s="2">
        <v>2023</v>
      </c>
    </row>
    <row r="61" spans="1:65" ht="409.5" x14ac:dyDescent="0.25">
      <c r="A61" s="2" t="s">
        <v>1135</v>
      </c>
      <c r="B61" s="2" t="s">
        <v>80</v>
      </c>
      <c r="C61" s="2" t="s">
        <v>1137</v>
      </c>
      <c r="D61" s="2" t="s">
        <v>79</v>
      </c>
      <c r="E61" s="2" t="s">
        <v>92</v>
      </c>
      <c r="F61" s="2" t="s">
        <v>1138</v>
      </c>
      <c r="G61" s="2" t="s">
        <v>143</v>
      </c>
      <c r="H61" s="2" t="s">
        <v>106</v>
      </c>
      <c r="I61" s="2" t="s">
        <v>90</v>
      </c>
      <c r="J61" s="2" t="s">
        <v>111</v>
      </c>
      <c r="K61" s="2" t="s">
        <v>80</v>
      </c>
      <c r="L61" s="2" t="s">
        <v>80</v>
      </c>
      <c r="M61" s="2"/>
      <c r="N61" s="2"/>
      <c r="O61" s="2"/>
      <c r="P61" s="2" t="s">
        <v>80</v>
      </c>
      <c r="Q61" s="2"/>
      <c r="R61" s="2" t="s">
        <v>92</v>
      </c>
      <c r="S61" s="2" t="s">
        <v>271</v>
      </c>
      <c r="T61" s="2" t="s">
        <v>656</v>
      </c>
      <c r="U61" s="2" t="s">
        <v>1139</v>
      </c>
      <c r="V61" s="2" t="s">
        <v>95</v>
      </c>
      <c r="W61" s="2" t="s">
        <v>1140</v>
      </c>
      <c r="X61" s="2" t="s">
        <v>1141</v>
      </c>
      <c r="Y61" s="2" t="s">
        <v>80</v>
      </c>
      <c r="Z61" s="2"/>
      <c r="AA61" s="2"/>
      <c r="AB61" s="2"/>
      <c r="AC61" s="2" t="s">
        <v>79</v>
      </c>
      <c r="AD61" s="2" t="s">
        <v>1142</v>
      </c>
      <c r="AE61" s="2" t="s">
        <v>1136</v>
      </c>
      <c r="AF61" s="2" t="s">
        <v>82</v>
      </c>
      <c r="AG61" s="2">
        <v>4.5</v>
      </c>
      <c r="AH61" s="2" t="s">
        <v>84</v>
      </c>
      <c r="AI61" s="2" t="s">
        <v>86</v>
      </c>
      <c r="AJ61" s="2" t="s">
        <v>85</v>
      </c>
      <c r="AK61" s="2" t="s">
        <v>86</v>
      </c>
      <c r="AL61" s="2" t="s">
        <v>84</v>
      </c>
      <c r="AM61" s="2" t="s">
        <v>84</v>
      </c>
      <c r="AN61" s="2" t="s">
        <v>86</v>
      </c>
      <c r="AO61" s="2" t="s">
        <v>86</v>
      </c>
      <c r="AP61" s="2" t="s">
        <v>84</v>
      </c>
      <c r="AQ61" s="2" t="s">
        <v>86</v>
      </c>
      <c r="AR61" s="2"/>
      <c r="AS61" s="2" t="s">
        <v>80</v>
      </c>
      <c r="AT61" s="2"/>
      <c r="AU61" s="2"/>
      <c r="AV61" s="2" t="s">
        <v>80</v>
      </c>
      <c r="AW61" s="2" t="s">
        <v>80</v>
      </c>
      <c r="AX61" s="2"/>
      <c r="AY61" s="2" t="s">
        <v>1143</v>
      </c>
      <c r="AZ61" s="2" t="s">
        <v>1144</v>
      </c>
      <c r="BA61" s="2" t="s">
        <v>514</v>
      </c>
      <c r="BB61" s="2" t="s">
        <v>79</v>
      </c>
      <c r="BC61" s="2"/>
      <c r="BD61" s="2" t="s">
        <v>1145</v>
      </c>
      <c r="BE61" s="2" t="s">
        <v>153</v>
      </c>
      <c r="BF61" s="2"/>
      <c r="BG61" s="2" t="s">
        <v>106</v>
      </c>
      <c r="BH61" s="2" t="s">
        <v>106</v>
      </c>
      <c r="BI61" s="2" t="s">
        <v>107</v>
      </c>
      <c r="BJ61" s="2" t="s">
        <v>1146</v>
      </c>
      <c r="BK61" s="2" t="s">
        <v>79</v>
      </c>
      <c r="BL61" s="2" t="s">
        <v>172</v>
      </c>
      <c r="BM61" s="2">
        <v>2023</v>
      </c>
    </row>
    <row r="62" spans="1:65" ht="409.5" x14ac:dyDescent="0.25">
      <c r="A62" s="2" t="s">
        <v>1160</v>
      </c>
      <c r="B62" s="2" t="s">
        <v>80</v>
      </c>
      <c r="C62" s="2" t="s">
        <v>1162</v>
      </c>
      <c r="D62" s="2" t="s">
        <v>79</v>
      </c>
      <c r="E62" s="2" t="s">
        <v>79</v>
      </c>
      <c r="F62" s="2" t="s">
        <v>1163</v>
      </c>
      <c r="G62" s="2" t="s">
        <v>842</v>
      </c>
      <c r="H62" s="2" t="s">
        <v>80</v>
      </c>
      <c r="I62" s="2" t="s">
        <v>116</v>
      </c>
      <c r="J62" s="2" t="s">
        <v>111</v>
      </c>
      <c r="K62" s="2" t="s">
        <v>79</v>
      </c>
      <c r="L62" s="2" t="s">
        <v>92</v>
      </c>
      <c r="M62" s="2" t="s">
        <v>1164</v>
      </c>
      <c r="N62" s="2" t="s">
        <v>143</v>
      </c>
      <c r="O62" s="2" t="s">
        <v>1165</v>
      </c>
      <c r="P62" s="2" t="s">
        <v>79</v>
      </c>
      <c r="Q62" s="2" t="s">
        <v>1166</v>
      </c>
      <c r="R62" s="2" t="s">
        <v>92</v>
      </c>
      <c r="S62" s="2" t="s">
        <v>936</v>
      </c>
      <c r="T62" s="2" t="s">
        <v>909</v>
      </c>
      <c r="U62" s="2" t="s">
        <v>1167</v>
      </c>
      <c r="V62" s="2" t="s">
        <v>95</v>
      </c>
      <c r="W62" s="2" t="s">
        <v>1168</v>
      </c>
      <c r="X62" s="2" t="s">
        <v>1169</v>
      </c>
      <c r="Y62" s="2" t="s">
        <v>80</v>
      </c>
      <c r="Z62" s="2"/>
      <c r="AA62" s="2"/>
      <c r="AB62" s="2"/>
      <c r="AC62" s="2" t="s">
        <v>79</v>
      </c>
      <c r="AD62" s="2" t="s">
        <v>1170</v>
      </c>
      <c r="AE62" s="2" t="s">
        <v>1161</v>
      </c>
      <c r="AF62" s="2" t="s">
        <v>82</v>
      </c>
      <c r="AG62" s="2">
        <v>10</v>
      </c>
      <c r="AH62" s="2" t="s">
        <v>84</v>
      </c>
      <c r="AI62" s="2" t="s">
        <v>84</v>
      </c>
      <c r="AJ62" s="2" t="s">
        <v>84</v>
      </c>
      <c r="AK62" s="2" t="s">
        <v>84</v>
      </c>
      <c r="AL62" s="2" t="s">
        <v>84</v>
      </c>
      <c r="AM62" s="2" t="s">
        <v>84</v>
      </c>
      <c r="AN62" s="2" t="s">
        <v>84</v>
      </c>
      <c r="AO62" s="2" t="s">
        <v>84</v>
      </c>
      <c r="AP62" s="2" t="s">
        <v>84</v>
      </c>
      <c r="AQ62" s="2" t="s">
        <v>84</v>
      </c>
      <c r="AR62" s="2" t="s">
        <v>106</v>
      </c>
      <c r="AS62" s="2" t="s">
        <v>80</v>
      </c>
      <c r="AT62" s="2"/>
      <c r="AU62" s="2" t="s">
        <v>106</v>
      </c>
      <c r="AV62" s="2" t="s">
        <v>79</v>
      </c>
      <c r="AW62" s="2" t="s">
        <v>80</v>
      </c>
      <c r="AX62" s="2" t="s">
        <v>1171</v>
      </c>
      <c r="AY62" s="2" t="s">
        <v>100</v>
      </c>
      <c r="AZ62" s="2" t="s">
        <v>1172</v>
      </c>
      <c r="BA62" s="2" t="s">
        <v>102</v>
      </c>
      <c r="BB62" s="2" t="s">
        <v>79</v>
      </c>
      <c r="BC62" s="2"/>
      <c r="BD62" s="2" t="s">
        <v>1173</v>
      </c>
      <c r="BE62" s="2" t="s">
        <v>856</v>
      </c>
      <c r="BF62" s="2"/>
      <c r="BG62" s="2" t="s">
        <v>80</v>
      </c>
      <c r="BH62" s="2" t="s">
        <v>79</v>
      </c>
      <c r="BI62" s="2" t="s">
        <v>107</v>
      </c>
      <c r="BJ62" s="2" t="s">
        <v>1174</v>
      </c>
      <c r="BK62" s="2" t="s">
        <v>79</v>
      </c>
      <c r="BL62" s="2" t="s">
        <v>109</v>
      </c>
      <c r="BM62" s="2">
        <v>2024</v>
      </c>
    </row>
    <row r="63" spans="1:65" ht="409.5" x14ac:dyDescent="0.25">
      <c r="A63" s="2" t="s">
        <v>1124</v>
      </c>
      <c r="B63" s="2" t="s">
        <v>80</v>
      </c>
      <c r="C63" s="2" t="s">
        <v>1126</v>
      </c>
      <c r="D63" s="2" t="s">
        <v>79</v>
      </c>
      <c r="E63" s="2" t="s">
        <v>92</v>
      </c>
      <c r="F63" s="2" t="s">
        <v>1127</v>
      </c>
      <c r="G63" s="2" t="s">
        <v>143</v>
      </c>
      <c r="H63" s="2" t="s">
        <v>80</v>
      </c>
      <c r="I63" s="2" t="s">
        <v>90</v>
      </c>
      <c r="J63" s="2" t="s">
        <v>111</v>
      </c>
      <c r="K63" s="2" t="s">
        <v>80</v>
      </c>
      <c r="L63" s="2" t="s">
        <v>80</v>
      </c>
      <c r="M63" s="2"/>
      <c r="N63" s="2"/>
      <c r="O63" s="2"/>
      <c r="P63" s="2" t="s">
        <v>80</v>
      </c>
      <c r="Q63" s="2"/>
      <c r="R63" s="2" t="s">
        <v>92</v>
      </c>
      <c r="S63" s="2" t="s">
        <v>714</v>
      </c>
      <c r="T63" s="2" t="s">
        <v>465</v>
      </c>
      <c r="U63" s="2" t="s">
        <v>1128</v>
      </c>
      <c r="V63" s="2" t="s">
        <v>95</v>
      </c>
      <c r="W63" s="2" t="s">
        <v>1129</v>
      </c>
      <c r="X63" s="2" t="s">
        <v>1130</v>
      </c>
      <c r="Y63" s="2" t="s">
        <v>80</v>
      </c>
      <c r="Z63" s="2"/>
      <c r="AA63" s="2"/>
      <c r="AB63" s="2"/>
      <c r="AC63" s="2" t="s">
        <v>79</v>
      </c>
      <c r="AD63" s="2" t="s">
        <v>1131</v>
      </c>
      <c r="AE63" s="2" t="s">
        <v>1125</v>
      </c>
      <c r="AF63" s="2" t="s">
        <v>82</v>
      </c>
      <c r="AG63" s="2">
        <v>6.5</v>
      </c>
      <c r="AH63" s="2" t="s">
        <v>84</v>
      </c>
      <c r="AI63" s="2" t="s">
        <v>86</v>
      </c>
      <c r="AJ63" s="2" t="s">
        <v>84</v>
      </c>
      <c r="AK63" s="2" t="s">
        <v>84</v>
      </c>
      <c r="AL63" s="2" t="s">
        <v>84</v>
      </c>
      <c r="AM63" s="2" t="s">
        <v>84</v>
      </c>
      <c r="AN63" s="2" t="s">
        <v>85</v>
      </c>
      <c r="AO63" s="2" t="s">
        <v>86</v>
      </c>
      <c r="AP63" s="2" t="s">
        <v>84</v>
      </c>
      <c r="AQ63" s="2" t="s">
        <v>86</v>
      </c>
      <c r="AR63" s="2"/>
      <c r="AS63" s="2" t="s">
        <v>80</v>
      </c>
      <c r="AT63" s="2"/>
      <c r="AU63" s="2"/>
      <c r="AV63" s="2" t="s">
        <v>80</v>
      </c>
      <c r="AW63" s="2" t="s">
        <v>80</v>
      </c>
      <c r="AX63" s="2"/>
      <c r="AY63" s="2" t="s">
        <v>100</v>
      </c>
      <c r="AZ63" s="2" t="s">
        <v>1132</v>
      </c>
      <c r="BA63" s="2" t="s">
        <v>102</v>
      </c>
      <c r="BB63" s="2" t="s">
        <v>79</v>
      </c>
      <c r="BC63" s="2"/>
      <c r="BD63" s="2" t="s">
        <v>1133</v>
      </c>
      <c r="BE63" s="2" t="s">
        <v>153</v>
      </c>
      <c r="BF63" s="2"/>
      <c r="BG63" s="2" t="s">
        <v>80</v>
      </c>
      <c r="BH63" s="2" t="s">
        <v>79</v>
      </c>
      <c r="BI63" s="2" t="s">
        <v>107</v>
      </c>
      <c r="BJ63" s="2" t="s">
        <v>1134</v>
      </c>
      <c r="BK63" s="2" t="s">
        <v>79</v>
      </c>
      <c r="BL63" s="2" t="s">
        <v>109</v>
      </c>
      <c r="BM63" s="2">
        <v>2023</v>
      </c>
    </row>
    <row r="64" spans="1:65" ht="409.5" x14ac:dyDescent="0.25">
      <c r="A64" s="2" t="s">
        <v>1051</v>
      </c>
      <c r="B64" s="2" t="s">
        <v>80</v>
      </c>
      <c r="C64" s="2" t="s">
        <v>1054</v>
      </c>
      <c r="D64" s="2" t="s">
        <v>79</v>
      </c>
      <c r="E64" s="2" t="s">
        <v>79</v>
      </c>
      <c r="F64" s="2" t="s">
        <v>1055</v>
      </c>
      <c r="G64" s="2" t="s">
        <v>842</v>
      </c>
      <c r="H64" s="2" t="s">
        <v>106</v>
      </c>
      <c r="I64" s="2" t="s">
        <v>116</v>
      </c>
      <c r="J64" s="2" t="s">
        <v>111</v>
      </c>
      <c r="K64" s="2" t="s">
        <v>79</v>
      </c>
      <c r="L64" s="2" t="s">
        <v>92</v>
      </c>
      <c r="M64" s="2" t="s">
        <v>1056</v>
      </c>
      <c r="N64" s="2"/>
      <c r="O64" s="2" t="s">
        <v>155</v>
      </c>
      <c r="P64" s="2" t="s">
        <v>80</v>
      </c>
      <c r="Q64" s="2"/>
      <c r="R64" s="2" t="s">
        <v>92</v>
      </c>
      <c r="S64" s="2" t="s">
        <v>1052</v>
      </c>
      <c r="T64" s="2" t="s">
        <v>118</v>
      </c>
      <c r="U64" s="2" t="s">
        <v>1057</v>
      </c>
      <c r="V64" s="2" t="s">
        <v>95</v>
      </c>
      <c r="W64" s="2" t="s">
        <v>1058</v>
      </c>
      <c r="X64" s="2" t="s">
        <v>1059</v>
      </c>
      <c r="Y64" s="2" t="s">
        <v>80</v>
      </c>
      <c r="Z64" s="2"/>
      <c r="AA64" s="2"/>
      <c r="AB64" s="2"/>
      <c r="AC64" s="2" t="s">
        <v>79</v>
      </c>
      <c r="AD64" s="2" t="s">
        <v>1060</v>
      </c>
      <c r="AE64" s="2" t="s">
        <v>1053</v>
      </c>
      <c r="AF64" s="2" t="s">
        <v>82</v>
      </c>
      <c r="AG64" s="2">
        <v>9</v>
      </c>
      <c r="AH64" s="2" t="s">
        <v>84</v>
      </c>
      <c r="AI64" s="2" t="s">
        <v>84</v>
      </c>
      <c r="AJ64" s="2" t="s">
        <v>84</v>
      </c>
      <c r="AK64" s="2" t="s">
        <v>84</v>
      </c>
      <c r="AL64" s="2" t="s">
        <v>84</v>
      </c>
      <c r="AM64" s="2" t="s">
        <v>84</v>
      </c>
      <c r="AN64" s="2" t="s">
        <v>84</v>
      </c>
      <c r="AO64" s="2" t="s">
        <v>86</v>
      </c>
      <c r="AP64" s="2" t="s">
        <v>84</v>
      </c>
      <c r="AQ64" s="2" t="s">
        <v>84</v>
      </c>
      <c r="AR64" s="2" t="s">
        <v>106</v>
      </c>
      <c r="AS64" s="2" t="s">
        <v>80</v>
      </c>
      <c r="AT64" s="2"/>
      <c r="AU64" s="2" t="s">
        <v>106</v>
      </c>
      <c r="AV64" s="2" t="s">
        <v>79</v>
      </c>
      <c r="AW64" s="2" t="s">
        <v>92</v>
      </c>
      <c r="AX64" s="2" t="s">
        <v>1061</v>
      </c>
      <c r="AY64" s="2" t="s">
        <v>100</v>
      </c>
      <c r="AZ64" s="2" t="s">
        <v>1062</v>
      </c>
      <c r="BA64" s="2" t="s">
        <v>143</v>
      </c>
      <c r="BB64" s="2" t="s">
        <v>79</v>
      </c>
      <c r="BC64" s="2" t="s">
        <v>1063</v>
      </c>
      <c r="BD64" s="2" t="s">
        <v>1064</v>
      </c>
      <c r="BE64" s="2" t="s">
        <v>856</v>
      </c>
      <c r="BF64" s="2"/>
      <c r="BG64" s="2" t="s">
        <v>80</v>
      </c>
      <c r="BH64" s="2" t="s">
        <v>79</v>
      </c>
      <c r="BI64" s="2" t="s">
        <v>206</v>
      </c>
      <c r="BJ64" s="2" t="s">
        <v>1065</v>
      </c>
      <c r="BK64" s="2" t="s">
        <v>79</v>
      </c>
      <c r="BL64" s="2" t="s">
        <v>172</v>
      </c>
      <c r="BM64" s="2">
        <v>2022</v>
      </c>
    </row>
    <row r="65" spans="1:65" ht="409.5" x14ac:dyDescent="0.25">
      <c r="A65" s="2" t="s">
        <v>1096</v>
      </c>
      <c r="B65" s="2" t="s">
        <v>80</v>
      </c>
      <c r="C65" s="2" t="s">
        <v>1098</v>
      </c>
      <c r="D65" s="2" t="s">
        <v>79</v>
      </c>
      <c r="E65" s="2" t="s">
        <v>79</v>
      </c>
      <c r="F65" s="2" t="s">
        <v>1099</v>
      </c>
      <c r="G65" s="2" t="s">
        <v>143</v>
      </c>
      <c r="H65" s="2" t="s">
        <v>106</v>
      </c>
      <c r="I65" s="2" t="s">
        <v>194</v>
      </c>
      <c r="J65" s="2" t="s">
        <v>111</v>
      </c>
      <c r="K65" s="2" t="s">
        <v>79</v>
      </c>
      <c r="L65" s="2" t="s">
        <v>92</v>
      </c>
      <c r="M65" s="2" t="s">
        <v>1100</v>
      </c>
      <c r="N65" s="2"/>
      <c r="O65" s="2" t="s">
        <v>155</v>
      </c>
      <c r="P65" s="2" t="s">
        <v>80</v>
      </c>
      <c r="Q65" s="2"/>
      <c r="R65" s="2" t="s">
        <v>92</v>
      </c>
      <c r="S65" s="2" t="s">
        <v>889</v>
      </c>
      <c r="T65" s="2" t="s">
        <v>465</v>
      </c>
      <c r="U65" s="2" t="s">
        <v>1101</v>
      </c>
      <c r="V65" s="2" t="s">
        <v>95</v>
      </c>
      <c r="W65" s="2" t="s">
        <v>1102</v>
      </c>
      <c r="X65" s="2" t="s">
        <v>1103</v>
      </c>
      <c r="Y65" s="2" t="s">
        <v>80</v>
      </c>
      <c r="Z65" s="2"/>
      <c r="AA65" s="2"/>
      <c r="AB65" s="2"/>
      <c r="AC65" s="2" t="s">
        <v>79</v>
      </c>
      <c r="AD65" s="2" t="s">
        <v>1104</v>
      </c>
      <c r="AE65" s="2" t="s">
        <v>1097</v>
      </c>
      <c r="AF65" s="2" t="s">
        <v>82</v>
      </c>
      <c r="AG65" s="2">
        <v>8.5</v>
      </c>
      <c r="AH65" s="2" t="s">
        <v>84</v>
      </c>
      <c r="AI65" s="2" t="s">
        <v>84</v>
      </c>
      <c r="AJ65" s="2" t="s">
        <v>84</v>
      </c>
      <c r="AK65" s="2" t="s">
        <v>84</v>
      </c>
      <c r="AL65" s="2" t="s">
        <v>84</v>
      </c>
      <c r="AM65" s="2" t="s">
        <v>84</v>
      </c>
      <c r="AN65" s="2" t="s">
        <v>84</v>
      </c>
      <c r="AO65" s="2" t="s">
        <v>86</v>
      </c>
      <c r="AP65" s="2" t="s">
        <v>84</v>
      </c>
      <c r="AQ65" s="2" t="s">
        <v>85</v>
      </c>
      <c r="AR65" s="2" t="s">
        <v>106</v>
      </c>
      <c r="AS65" s="2" t="s">
        <v>80</v>
      </c>
      <c r="AT65" s="2"/>
      <c r="AU65" s="2" t="s">
        <v>106</v>
      </c>
      <c r="AV65" s="2" t="s">
        <v>79</v>
      </c>
      <c r="AW65" s="2" t="s">
        <v>92</v>
      </c>
      <c r="AX65" s="2" t="s">
        <v>1105</v>
      </c>
      <c r="AY65" s="2" t="s">
        <v>100</v>
      </c>
      <c r="AZ65" s="2" t="s">
        <v>1106</v>
      </c>
      <c r="BA65" s="2" t="s">
        <v>286</v>
      </c>
      <c r="BB65" s="2" t="s">
        <v>79</v>
      </c>
      <c r="BC65" s="2" t="s">
        <v>756</v>
      </c>
      <c r="BD65" s="2" t="s">
        <v>1107</v>
      </c>
      <c r="BE65" s="2" t="s">
        <v>1108</v>
      </c>
      <c r="BF65" s="2"/>
      <c r="BG65" s="2" t="s">
        <v>80</v>
      </c>
      <c r="BH65" s="2" t="s">
        <v>79</v>
      </c>
      <c r="BI65" s="2" t="s">
        <v>206</v>
      </c>
      <c r="BJ65" s="2" t="s">
        <v>1109</v>
      </c>
      <c r="BK65" s="2" t="s">
        <v>79</v>
      </c>
      <c r="BL65" s="2" t="s">
        <v>109</v>
      </c>
      <c r="BM65" s="2">
        <v>2019</v>
      </c>
    </row>
    <row r="66" spans="1:65" ht="409.5" x14ac:dyDescent="0.25">
      <c r="A66" s="2" t="s">
        <v>1083</v>
      </c>
      <c r="B66" s="2" t="s">
        <v>80</v>
      </c>
      <c r="C66" s="2" t="s">
        <v>1085</v>
      </c>
      <c r="D66" s="2" t="s">
        <v>79</v>
      </c>
      <c r="E66" s="2" t="s">
        <v>79</v>
      </c>
      <c r="F66" s="2" t="s">
        <v>1086</v>
      </c>
      <c r="G66" s="2" t="s">
        <v>89</v>
      </c>
      <c r="H66" s="2" t="s">
        <v>106</v>
      </c>
      <c r="I66" s="2" t="s">
        <v>116</v>
      </c>
      <c r="J66" s="2" t="s">
        <v>111</v>
      </c>
      <c r="K66" s="2" t="s">
        <v>79</v>
      </c>
      <c r="L66" s="2" t="s">
        <v>92</v>
      </c>
      <c r="M66" s="2" t="s">
        <v>1087</v>
      </c>
      <c r="N66" s="2"/>
      <c r="O66" s="2" t="s">
        <v>155</v>
      </c>
      <c r="P66" s="2" t="s">
        <v>80</v>
      </c>
      <c r="Q66" s="2"/>
      <c r="R66" s="2" t="s">
        <v>92</v>
      </c>
      <c r="S66" s="2" t="s">
        <v>889</v>
      </c>
      <c r="T66" s="2" t="s">
        <v>864</v>
      </c>
      <c r="U66" s="2" t="s">
        <v>1088</v>
      </c>
      <c r="V66" s="2" t="s">
        <v>95</v>
      </c>
      <c r="W66" s="2" t="s">
        <v>1089</v>
      </c>
      <c r="X66" s="2" t="s">
        <v>1090</v>
      </c>
      <c r="Y66" s="2" t="s">
        <v>80</v>
      </c>
      <c r="Z66" s="2"/>
      <c r="AA66" s="2"/>
      <c r="AB66" s="2"/>
      <c r="AC66" s="2" t="s">
        <v>79</v>
      </c>
      <c r="AD66" s="2" t="s">
        <v>1091</v>
      </c>
      <c r="AE66" s="2" t="s">
        <v>1084</v>
      </c>
      <c r="AF66" s="2" t="s">
        <v>82</v>
      </c>
      <c r="AG66" s="2">
        <v>8.5</v>
      </c>
      <c r="AH66" s="2" t="s">
        <v>84</v>
      </c>
      <c r="AI66" s="2" t="s">
        <v>84</v>
      </c>
      <c r="AJ66" s="2" t="s">
        <v>84</v>
      </c>
      <c r="AK66" s="2" t="s">
        <v>84</v>
      </c>
      <c r="AL66" s="2" t="s">
        <v>84</v>
      </c>
      <c r="AM66" s="2" t="s">
        <v>84</v>
      </c>
      <c r="AN66" s="2" t="s">
        <v>84</v>
      </c>
      <c r="AO66" s="2" t="s">
        <v>86</v>
      </c>
      <c r="AP66" s="2" t="s">
        <v>84</v>
      </c>
      <c r="AQ66" s="2" t="s">
        <v>85</v>
      </c>
      <c r="AR66" s="2" t="s">
        <v>106</v>
      </c>
      <c r="AS66" s="2" t="s">
        <v>80</v>
      </c>
      <c r="AT66" s="2"/>
      <c r="AU66" s="2" t="s">
        <v>106</v>
      </c>
      <c r="AV66" s="2" t="s">
        <v>79</v>
      </c>
      <c r="AW66" s="2" t="s">
        <v>92</v>
      </c>
      <c r="AX66" s="2" t="s">
        <v>1092</v>
      </c>
      <c r="AY66" s="2" t="s">
        <v>100</v>
      </c>
      <c r="AZ66" s="2" t="s">
        <v>1093</v>
      </c>
      <c r="BA66" s="2" t="s">
        <v>286</v>
      </c>
      <c r="BB66" s="2" t="s">
        <v>79</v>
      </c>
      <c r="BC66" s="2" t="s">
        <v>1063</v>
      </c>
      <c r="BD66" s="2" t="s">
        <v>1094</v>
      </c>
      <c r="BE66" s="2" t="s">
        <v>153</v>
      </c>
      <c r="BF66" s="2"/>
      <c r="BG66" s="2" t="s">
        <v>80</v>
      </c>
      <c r="BH66" s="2" t="s">
        <v>79</v>
      </c>
      <c r="BI66" s="2" t="s">
        <v>206</v>
      </c>
      <c r="BJ66" s="2" t="s">
        <v>1095</v>
      </c>
      <c r="BK66" s="2" t="s">
        <v>79</v>
      </c>
      <c r="BL66" s="2" t="s">
        <v>172</v>
      </c>
      <c r="BM66" s="2">
        <v>2026</v>
      </c>
    </row>
    <row r="67" spans="1:65" ht="409.5" x14ac:dyDescent="0.25">
      <c r="A67" s="2" t="s">
        <v>1110</v>
      </c>
      <c r="B67" s="2" t="s">
        <v>80</v>
      </c>
      <c r="C67" s="2" t="s">
        <v>1112</v>
      </c>
      <c r="D67" s="2" t="s">
        <v>79</v>
      </c>
      <c r="E67" s="2" t="s">
        <v>79</v>
      </c>
      <c r="F67" s="2" t="s">
        <v>1113</v>
      </c>
      <c r="G67" s="2" t="s">
        <v>143</v>
      </c>
      <c r="H67" s="2" t="s">
        <v>79</v>
      </c>
      <c r="I67" s="2" t="s">
        <v>116</v>
      </c>
      <c r="J67" s="2" t="s">
        <v>111</v>
      </c>
      <c r="K67" s="2" t="s">
        <v>79</v>
      </c>
      <c r="L67" s="2" t="s">
        <v>92</v>
      </c>
      <c r="M67" s="2" t="s">
        <v>1114</v>
      </c>
      <c r="N67" s="2"/>
      <c r="O67" s="2" t="s">
        <v>155</v>
      </c>
      <c r="P67" s="2" t="s">
        <v>80</v>
      </c>
      <c r="Q67" s="2"/>
      <c r="R67" s="2" t="s">
        <v>92</v>
      </c>
      <c r="S67" s="2" t="s">
        <v>1000</v>
      </c>
      <c r="T67" s="2" t="s">
        <v>465</v>
      </c>
      <c r="U67" s="2" t="s">
        <v>1115</v>
      </c>
      <c r="V67" s="2" t="s">
        <v>95</v>
      </c>
      <c r="W67" s="2" t="s">
        <v>1116</v>
      </c>
      <c r="X67" s="2" t="s">
        <v>1117</v>
      </c>
      <c r="Y67" s="2" t="s">
        <v>80</v>
      </c>
      <c r="Z67" s="2"/>
      <c r="AA67" s="2"/>
      <c r="AB67" s="2"/>
      <c r="AC67" s="2" t="s">
        <v>79</v>
      </c>
      <c r="AD67" s="2" t="s">
        <v>1118</v>
      </c>
      <c r="AE67" s="2" t="s">
        <v>1111</v>
      </c>
      <c r="AF67" s="2" t="s">
        <v>82</v>
      </c>
      <c r="AG67" s="2">
        <v>8.5</v>
      </c>
      <c r="AH67" s="2" t="s">
        <v>84</v>
      </c>
      <c r="AI67" s="2" t="s">
        <v>84</v>
      </c>
      <c r="AJ67" s="2" t="s">
        <v>84</v>
      </c>
      <c r="AK67" s="2" t="s">
        <v>84</v>
      </c>
      <c r="AL67" s="2" t="s">
        <v>84</v>
      </c>
      <c r="AM67" s="2" t="s">
        <v>84</v>
      </c>
      <c r="AN67" s="2" t="s">
        <v>84</v>
      </c>
      <c r="AO67" s="2" t="s">
        <v>86</v>
      </c>
      <c r="AP67" s="2" t="s">
        <v>84</v>
      </c>
      <c r="AQ67" s="2" t="s">
        <v>85</v>
      </c>
      <c r="AR67" s="2" t="s">
        <v>106</v>
      </c>
      <c r="AS67" s="2" t="s">
        <v>80</v>
      </c>
      <c r="AT67" s="2"/>
      <c r="AU67" s="2" t="s">
        <v>106</v>
      </c>
      <c r="AV67" s="2" t="s">
        <v>79</v>
      </c>
      <c r="AW67" s="2" t="s">
        <v>92</v>
      </c>
      <c r="AX67" s="2" t="s">
        <v>1119</v>
      </c>
      <c r="AY67" s="2" t="s">
        <v>100</v>
      </c>
      <c r="AZ67" s="2" t="s">
        <v>1120</v>
      </c>
      <c r="BA67" s="2" t="s">
        <v>286</v>
      </c>
      <c r="BB67" s="2" t="s">
        <v>79</v>
      </c>
      <c r="BC67" s="2" t="s">
        <v>168</v>
      </c>
      <c r="BD67" s="2" t="s">
        <v>1121</v>
      </c>
      <c r="BE67" s="2" t="s">
        <v>153</v>
      </c>
      <c r="BF67" s="2" t="s">
        <v>1122</v>
      </c>
      <c r="BG67" s="2" t="s">
        <v>92</v>
      </c>
      <c r="BH67" s="2" t="s">
        <v>79</v>
      </c>
      <c r="BI67" s="2" t="s">
        <v>107</v>
      </c>
      <c r="BJ67" s="2" t="s">
        <v>1123</v>
      </c>
      <c r="BK67" s="2" t="s">
        <v>79</v>
      </c>
      <c r="BL67" s="2" t="s">
        <v>109</v>
      </c>
      <c r="BM67" s="2">
        <v>2023</v>
      </c>
    </row>
    <row r="68" spans="1:65" ht="409.5" x14ac:dyDescent="0.25">
      <c r="A68" s="2" t="s">
        <v>1066</v>
      </c>
      <c r="B68" s="2" t="s">
        <v>80</v>
      </c>
      <c r="C68" s="2" t="s">
        <v>1068</v>
      </c>
      <c r="D68" s="2" t="s">
        <v>79</v>
      </c>
      <c r="E68" s="2" t="s">
        <v>79</v>
      </c>
      <c r="F68" s="2" t="s">
        <v>1069</v>
      </c>
      <c r="G68" s="2" t="s">
        <v>89</v>
      </c>
      <c r="H68" s="2" t="s">
        <v>79</v>
      </c>
      <c r="I68" s="2" t="s">
        <v>116</v>
      </c>
      <c r="J68" s="2" t="s">
        <v>111</v>
      </c>
      <c r="K68" s="2" t="s">
        <v>79</v>
      </c>
      <c r="L68" s="2" t="s">
        <v>92</v>
      </c>
      <c r="M68" s="2" t="s">
        <v>1070</v>
      </c>
      <c r="N68" s="2" t="s">
        <v>1071</v>
      </c>
      <c r="O68" s="2" t="s">
        <v>1072</v>
      </c>
      <c r="P68" s="2" t="s">
        <v>79</v>
      </c>
      <c r="Q68" s="2" t="s">
        <v>1073</v>
      </c>
      <c r="R68" s="2" t="s">
        <v>92</v>
      </c>
      <c r="S68" s="2" t="s">
        <v>838</v>
      </c>
      <c r="T68" s="2" t="s">
        <v>803</v>
      </c>
      <c r="U68" s="2" t="s">
        <v>1074</v>
      </c>
      <c r="V68" s="2" t="s">
        <v>95</v>
      </c>
      <c r="W68" s="2" t="s">
        <v>1075</v>
      </c>
      <c r="X68" s="2" t="s">
        <v>1076</v>
      </c>
      <c r="Y68" s="2" t="s">
        <v>80</v>
      </c>
      <c r="Z68" s="2"/>
      <c r="AA68" s="2"/>
      <c r="AB68" s="2"/>
      <c r="AC68" s="2" t="s">
        <v>79</v>
      </c>
      <c r="AD68" s="2" t="s">
        <v>1077</v>
      </c>
      <c r="AE68" s="2" t="s">
        <v>1067</v>
      </c>
      <c r="AF68" s="2" t="s">
        <v>82</v>
      </c>
      <c r="AG68" s="2">
        <v>10</v>
      </c>
      <c r="AH68" s="2" t="s">
        <v>84</v>
      </c>
      <c r="AI68" s="2" t="s">
        <v>84</v>
      </c>
      <c r="AJ68" s="2" t="s">
        <v>84</v>
      </c>
      <c r="AK68" s="2" t="s">
        <v>84</v>
      </c>
      <c r="AL68" s="2" t="s">
        <v>84</v>
      </c>
      <c r="AM68" s="2" t="s">
        <v>84</v>
      </c>
      <c r="AN68" s="2" t="s">
        <v>84</v>
      </c>
      <c r="AO68" s="2" t="s">
        <v>84</v>
      </c>
      <c r="AP68" s="2" t="s">
        <v>84</v>
      </c>
      <c r="AQ68" s="2" t="s">
        <v>84</v>
      </c>
      <c r="AR68" s="2" t="s">
        <v>106</v>
      </c>
      <c r="AS68" s="2" t="s">
        <v>80</v>
      </c>
      <c r="AT68" s="2"/>
      <c r="AU68" s="2" t="s">
        <v>106</v>
      </c>
      <c r="AV68" s="2" t="s">
        <v>79</v>
      </c>
      <c r="AW68" s="2" t="s">
        <v>92</v>
      </c>
      <c r="AX68" s="2" t="s">
        <v>1078</v>
      </c>
      <c r="AY68" s="2" t="s">
        <v>100</v>
      </c>
      <c r="AZ68" s="2" t="s">
        <v>1079</v>
      </c>
      <c r="BA68" s="2" t="s">
        <v>286</v>
      </c>
      <c r="BB68" s="2" t="s">
        <v>79</v>
      </c>
      <c r="BC68" s="2" t="s">
        <v>1080</v>
      </c>
      <c r="BD68" s="2" t="s">
        <v>1081</v>
      </c>
      <c r="BE68" s="2" t="s">
        <v>104</v>
      </c>
      <c r="BF68" s="2"/>
      <c r="BG68" s="2" t="s">
        <v>80</v>
      </c>
      <c r="BH68" s="2" t="s">
        <v>79</v>
      </c>
      <c r="BI68" s="2" t="s">
        <v>289</v>
      </c>
      <c r="BJ68" s="2" t="s">
        <v>1082</v>
      </c>
      <c r="BK68" s="2" t="s">
        <v>79</v>
      </c>
      <c r="BL68" s="2" t="s">
        <v>172</v>
      </c>
      <c r="BM68" s="2">
        <v>2023</v>
      </c>
    </row>
    <row r="69" spans="1:65" ht="409.5" x14ac:dyDescent="0.25">
      <c r="A69" s="2" t="s">
        <v>1147</v>
      </c>
      <c r="B69" s="2" t="s">
        <v>80</v>
      </c>
      <c r="C69" s="2" t="s">
        <v>1149</v>
      </c>
      <c r="D69" s="2" t="s">
        <v>79</v>
      </c>
      <c r="E69" s="2" t="s">
        <v>79</v>
      </c>
      <c r="F69" s="2" t="s">
        <v>1150</v>
      </c>
      <c r="G69" s="2" t="s">
        <v>143</v>
      </c>
      <c r="H69" s="2" t="s">
        <v>106</v>
      </c>
      <c r="I69" s="2" t="s">
        <v>90</v>
      </c>
      <c r="J69" s="2" t="s">
        <v>111</v>
      </c>
      <c r="K69" s="2" t="s">
        <v>79</v>
      </c>
      <c r="L69" s="2" t="s">
        <v>92</v>
      </c>
      <c r="M69" s="2" t="s">
        <v>1151</v>
      </c>
      <c r="N69" s="2"/>
      <c r="O69" s="2" t="s">
        <v>155</v>
      </c>
      <c r="P69" s="2" t="s">
        <v>80</v>
      </c>
      <c r="Q69" s="2"/>
      <c r="R69" s="2" t="s">
        <v>92</v>
      </c>
      <c r="S69" s="2" t="s">
        <v>613</v>
      </c>
      <c r="T69" s="2" t="s">
        <v>243</v>
      </c>
      <c r="U69" s="2" t="s">
        <v>1152</v>
      </c>
      <c r="V69" s="2" t="s">
        <v>95</v>
      </c>
      <c r="W69" s="2" t="s">
        <v>1153</v>
      </c>
      <c r="X69" s="2" t="s">
        <v>1154</v>
      </c>
      <c r="Y69" s="2" t="s">
        <v>80</v>
      </c>
      <c r="Z69" s="2"/>
      <c r="AA69" s="2"/>
      <c r="AB69" s="2"/>
      <c r="AC69" s="2" t="s">
        <v>79</v>
      </c>
      <c r="AD69" s="2" t="s">
        <v>1155</v>
      </c>
      <c r="AE69" s="2" t="s">
        <v>1148</v>
      </c>
      <c r="AF69" s="2" t="s">
        <v>82</v>
      </c>
      <c r="AG69" s="2">
        <v>9.5</v>
      </c>
      <c r="AH69" s="2" t="s">
        <v>84</v>
      </c>
      <c r="AI69" s="2" t="s">
        <v>84</v>
      </c>
      <c r="AJ69" s="2" t="s">
        <v>84</v>
      </c>
      <c r="AK69" s="2" t="s">
        <v>84</v>
      </c>
      <c r="AL69" s="2" t="s">
        <v>84</v>
      </c>
      <c r="AM69" s="2" t="s">
        <v>84</v>
      </c>
      <c r="AN69" s="2" t="s">
        <v>84</v>
      </c>
      <c r="AO69" s="2" t="s">
        <v>84</v>
      </c>
      <c r="AP69" s="2" t="s">
        <v>84</v>
      </c>
      <c r="AQ69" s="2" t="s">
        <v>85</v>
      </c>
      <c r="AR69" s="2" t="s">
        <v>106</v>
      </c>
      <c r="AS69" s="2" t="s">
        <v>80</v>
      </c>
      <c r="AT69" s="2"/>
      <c r="AU69" s="2" t="s">
        <v>106</v>
      </c>
      <c r="AV69" s="2" t="s">
        <v>79</v>
      </c>
      <c r="AW69" s="2" t="s">
        <v>92</v>
      </c>
      <c r="AX69" s="2" t="s">
        <v>1156</v>
      </c>
      <c r="AY69" s="2" t="s">
        <v>303</v>
      </c>
      <c r="AZ69" s="2" t="s">
        <v>1157</v>
      </c>
      <c r="BA69" s="2" t="s">
        <v>143</v>
      </c>
      <c r="BB69" s="2" t="s">
        <v>79</v>
      </c>
      <c r="BC69" s="2" t="s">
        <v>364</v>
      </c>
      <c r="BD69" s="2" t="s">
        <v>1158</v>
      </c>
      <c r="BE69" s="2" t="s">
        <v>104</v>
      </c>
      <c r="BF69" s="2"/>
      <c r="BG69" s="2" t="s">
        <v>80</v>
      </c>
      <c r="BH69" s="2" t="s">
        <v>79</v>
      </c>
      <c r="BI69" s="2" t="s">
        <v>429</v>
      </c>
      <c r="BJ69" s="2" t="s">
        <v>1159</v>
      </c>
      <c r="BK69" s="2" t="s">
        <v>79</v>
      </c>
      <c r="BL69" s="2" t="s">
        <v>172</v>
      </c>
      <c r="BM69" s="2">
        <v>2023</v>
      </c>
    </row>
    <row r="70" spans="1:65" ht="409.5" x14ac:dyDescent="0.25">
      <c r="A70" s="2" t="s">
        <v>1279</v>
      </c>
      <c r="B70" s="2" t="s">
        <v>80</v>
      </c>
      <c r="C70" s="2" t="s">
        <v>1282</v>
      </c>
      <c r="D70" s="2" t="s">
        <v>79</v>
      </c>
      <c r="E70" s="2" t="s">
        <v>92</v>
      </c>
      <c r="F70" s="2" t="s">
        <v>1283</v>
      </c>
      <c r="G70" s="2" t="s">
        <v>143</v>
      </c>
      <c r="H70" s="2" t="s">
        <v>80</v>
      </c>
      <c r="I70" s="2" t="s">
        <v>194</v>
      </c>
      <c r="J70" s="2" t="s">
        <v>111</v>
      </c>
      <c r="K70" s="2" t="s">
        <v>79</v>
      </c>
      <c r="L70" s="2" t="s">
        <v>92</v>
      </c>
      <c r="M70" s="2" t="s">
        <v>1284</v>
      </c>
      <c r="N70" s="2" t="s">
        <v>1285</v>
      </c>
      <c r="O70" s="2" t="s">
        <v>1286</v>
      </c>
      <c r="P70" s="2" t="s">
        <v>79</v>
      </c>
      <c r="Q70" s="2" t="s">
        <v>1287</v>
      </c>
      <c r="R70" s="2" t="s">
        <v>92</v>
      </c>
      <c r="S70" s="2" t="s">
        <v>1280</v>
      </c>
      <c r="T70" s="2" t="s">
        <v>1288</v>
      </c>
      <c r="U70" s="2" t="s">
        <v>1289</v>
      </c>
      <c r="V70" s="2" t="s">
        <v>95</v>
      </c>
      <c r="W70" s="2" t="s">
        <v>1290</v>
      </c>
      <c r="X70" s="2" t="s">
        <v>1291</v>
      </c>
      <c r="Y70" s="2" t="s">
        <v>79</v>
      </c>
      <c r="Z70" s="2" t="s">
        <v>1292</v>
      </c>
      <c r="AA70" s="2" t="s">
        <v>1293</v>
      </c>
      <c r="AB70" s="2"/>
      <c r="AC70" s="2" t="s">
        <v>79</v>
      </c>
      <c r="AD70" s="2" t="s">
        <v>1294</v>
      </c>
      <c r="AE70" s="2" t="s">
        <v>1281</v>
      </c>
      <c r="AF70" s="2" t="s">
        <v>82</v>
      </c>
      <c r="AG70" s="2">
        <v>8.5</v>
      </c>
      <c r="AH70" s="2" t="s">
        <v>84</v>
      </c>
      <c r="AI70" s="2" t="s">
        <v>84</v>
      </c>
      <c r="AJ70" s="2" t="s">
        <v>84</v>
      </c>
      <c r="AK70" s="2" t="s">
        <v>86</v>
      </c>
      <c r="AL70" s="2" t="s">
        <v>84</v>
      </c>
      <c r="AM70" s="2" t="s">
        <v>84</v>
      </c>
      <c r="AN70" s="2" t="s">
        <v>84</v>
      </c>
      <c r="AO70" s="2" t="s">
        <v>84</v>
      </c>
      <c r="AP70" s="2" t="s">
        <v>84</v>
      </c>
      <c r="AQ70" s="2" t="s">
        <v>85</v>
      </c>
      <c r="AR70" s="2" t="s">
        <v>80</v>
      </c>
      <c r="AS70" s="2" t="s">
        <v>80</v>
      </c>
      <c r="AT70" s="2"/>
      <c r="AU70" s="2" t="s">
        <v>80</v>
      </c>
      <c r="AV70" s="2" t="s">
        <v>79</v>
      </c>
      <c r="AW70" s="2" t="s">
        <v>92</v>
      </c>
      <c r="AX70" s="2" t="s">
        <v>1295</v>
      </c>
      <c r="AY70" s="2" t="s">
        <v>1143</v>
      </c>
      <c r="AZ70" s="2" t="s">
        <v>1296</v>
      </c>
      <c r="BA70" s="2" t="s">
        <v>514</v>
      </c>
      <c r="BB70" s="2" t="s">
        <v>79</v>
      </c>
      <c r="BC70" s="2" t="s">
        <v>756</v>
      </c>
      <c r="BD70" s="2" t="s">
        <v>1297</v>
      </c>
      <c r="BE70" s="2" t="s">
        <v>648</v>
      </c>
      <c r="BF70" s="2"/>
      <c r="BG70" s="2" t="s">
        <v>80</v>
      </c>
      <c r="BH70" s="2" t="s">
        <v>79</v>
      </c>
      <c r="BI70" s="2" t="s">
        <v>1298</v>
      </c>
      <c r="BJ70" s="2" t="s">
        <v>1299</v>
      </c>
      <c r="BK70" s="2" t="s">
        <v>79</v>
      </c>
      <c r="BL70" s="2" t="s">
        <v>109</v>
      </c>
      <c r="BM70" s="2">
        <v>2019</v>
      </c>
    </row>
    <row r="71" spans="1:65" ht="409.5" x14ac:dyDescent="0.25">
      <c r="A71" s="2" t="s">
        <v>1262</v>
      </c>
      <c r="B71" s="2" t="s">
        <v>80</v>
      </c>
      <c r="C71" s="2" t="s">
        <v>1265</v>
      </c>
      <c r="D71" s="2" t="s">
        <v>79</v>
      </c>
      <c r="E71" s="2" t="s">
        <v>92</v>
      </c>
      <c r="F71" s="2" t="s">
        <v>1266</v>
      </c>
      <c r="G71" s="2" t="s">
        <v>89</v>
      </c>
      <c r="H71" s="2" t="s">
        <v>80</v>
      </c>
      <c r="I71" s="2" t="s">
        <v>116</v>
      </c>
      <c r="J71" s="2" t="s">
        <v>78</v>
      </c>
      <c r="K71" s="2" t="s">
        <v>79</v>
      </c>
      <c r="L71" s="2" t="s">
        <v>92</v>
      </c>
      <c r="M71" s="2" t="s">
        <v>1267</v>
      </c>
      <c r="N71" s="2" t="s">
        <v>143</v>
      </c>
      <c r="O71" s="2" t="s">
        <v>1268</v>
      </c>
      <c r="P71" s="2" t="s">
        <v>79</v>
      </c>
      <c r="Q71" s="2" t="s">
        <v>1269</v>
      </c>
      <c r="R71" s="2" t="s">
        <v>92</v>
      </c>
      <c r="S71" s="2" t="s">
        <v>1263</v>
      </c>
      <c r="T71" s="2" t="s">
        <v>279</v>
      </c>
      <c r="U71" s="2" t="s">
        <v>1270</v>
      </c>
      <c r="V71" s="2" t="s">
        <v>95</v>
      </c>
      <c r="W71" s="2" t="s">
        <v>1271</v>
      </c>
      <c r="X71" s="2" t="s">
        <v>1272</v>
      </c>
      <c r="Y71" s="2" t="s">
        <v>80</v>
      </c>
      <c r="Z71" s="2"/>
      <c r="AA71" s="2"/>
      <c r="AB71" s="2"/>
      <c r="AC71" s="2" t="s">
        <v>79</v>
      </c>
      <c r="AD71" s="2" t="s">
        <v>1273</v>
      </c>
      <c r="AE71" s="2" t="s">
        <v>1264</v>
      </c>
      <c r="AF71" s="2" t="s">
        <v>82</v>
      </c>
      <c r="AG71" s="2">
        <v>8</v>
      </c>
      <c r="AH71" s="2" t="s">
        <v>84</v>
      </c>
      <c r="AI71" s="2" t="s">
        <v>84</v>
      </c>
      <c r="AJ71" s="2" t="s">
        <v>85</v>
      </c>
      <c r="AK71" s="2" t="s">
        <v>84</v>
      </c>
      <c r="AL71" s="2" t="s">
        <v>86</v>
      </c>
      <c r="AM71" s="2" t="s">
        <v>84</v>
      </c>
      <c r="AN71" s="2" t="s">
        <v>85</v>
      </c>
      <c r="AO71" s="2" t="s">
        <v>84</v>
      </c>
      <c r="AP71" s="2" t="s">
        <v>84</v>
      </c>
      <c r="AQ71" s="2" t="s">
        <v>84</v>
      </c>
      <c r="AR71" s="2" t="s">
        <v>106</v>
      </c>
      <c r="AS71" s="2" t="s">
        <v>80</v>
      </c>
      <c r="AT71" s="2"/>
      <c r="AU71" s="2" t="s">
        <v>106</v>
      </c>
      <c r="AV71" s="2" t="s">
        <v>79</v>
      </c>
      <c r="AW71" s="2" t="s">
        <v>79</v>
      </c>
      <c r="AX71" s="2" t="s">
        <v>1274</v>
      </c>
      <c r="AY71" s="2" t="s">
        <v>303</v>
      </c>
      <c r="AZ71" s="2" t="s">
        <v>1275</v>
      </c>
      <c r="BA71" s="2" t="s">
        <v>1259</v>
      </c>
      <c r="BB71" s="2" t="s">
        <v>79</v>
      </c>
      <c r="BC71" s="2" t="s">
        <v>1276</v>
      </c>
      <c r="BD71" s="2" t="s">
        <v>1277</v>
      </c>
      <c r="BE71" s="2" t="s">
        <v>153</v>
      </c>
      <c r="BF71" s="2"/>
      <c r="BG71" s="2" t="s">
        <v>80</v>
      </c>
      <c r="BH71" s="2" t="s">
        <v>79</v>
      </c>
      <c r="BI71" s="2" t="s">
        <v>289</v>
      </c>
      <c r="BJ71" s="2" t="s">
        <v>1278</v>
      </c>
      <c r="BK71" s="2" t="s">
        <v>79</v>
      </c>
      <c r="BL71" s="2" t="s">
        <v>172</v>
      </c>
      <c r="BM71" s="2">
        <v>2025</v>
      </c>
    </row>
    <row r="72" spans="1:65" ht="409.5" x14ac:dyDescent="0.25">
      <c r="A72" s="2" t="s">
        <v>1175</v>
      </c>
      <c r="B72" s="2" t="s">
        <v>80</v>
      </c>
      <c r="C72" s="2" t="s">
        <v>1177</v>
      </c>
      <c r="D72" s="2" t="s">
        <v>79</v>
      </c>
      <c r="E72" s="2" t="s">
        <v>79</v>
      </c>
      <c r="F72" s="2" t="s">
        <v>1178</v>
      </c>
      <c r="G72" s="2" t="s">
        <v>478</v>
      </c>
      <c r="H72" s="2" t="s">
        <v>80</v>
      </c>
      <c r="I72" s="2" t="s">
        <v>116</v>
      </c>
      <c r="J72" s="2" t="s">
        <v>566</v>
      </c>
      <c r="K72" s="2" t="s">
        <v>79</v>
      </c>
      <c r="L72" s="2" t="s">
        <v>92</v>
      </c>
      <c r="M72" s="2" t="s">
        <v>1179</v>
      </c>
      <c r="N72" s="2" t="s">
        <v>143</v>
      </c>
      <c r="O72" s="2" t="s">
        <v>844</v>
      </c>
      <c r="P72" s="2" t="s">
        <v>79</v>
      </c>
      <c r="Q72" s="2" t="s">
        <v>1180</v>
      </c>
      <c r="R72" s="2" t="s">
        <v>92</v>
      </c>
      <c r="S72" s="2" t="s">
        <v>714</v>
      </c>
      <c r="T72" s="2" t="s">
        <v>465</v>
      </c>
      <c r="U72" s="2" t="s">
        <v>1181</v>
      </c>
      <c r="V72" s="2" t="s">
        <v>95</v>
      </c>
      <c r="W72" s="2" t="s">
        <v>1182</v>
      </c>
      <c r="X72" s="2" t="s">
        <v>1183</v>
      </c>
      <c r="Y72" s="2" t="s">
        <v>80</v>
      </c>
      <c r="Z72" s="2"/>
      <c r="AA72" s="2"/>
      <c r="AB72" s="2"/>
      <c r="AC72" s="2" t="s">
        <v>79</v>
      </c>
      <c r="AD72" s="2" t="s">
        <v>1184</v>
      </c>
      <c r="AE72" s="2" t="s">
        <v>1176</v>
      </c>
      <c r="AF72" s="2" t="s">
        <v>82</v>
      </c>
      <c r="AG72" s="2">
        <v>9</v>
      </c>
      <c r="AH72" s="2" t="s">
        <v>84</v>
      </c>
      <c r="AI72" s="2" t="s">
        <v>84</v>
      </c>
      <c r="AJ72" s="2" t="s">
        <v>84</v>
      </c>
      <c r="AK72" s="2" t="s">
        <v>84</v>
      </c>
      <c r="AL72" s="2" t="s">
        <v>86</v>
      </c>
      <c r="AM72" s="2" t="s">
        <v>84</v>
      </c>
      <c r="AN72" s="2" t="s">
        <v>84</v>
      </c>
      <c r="AO72" s="2" t="s">
        <v>84</v>
      </c>
      <c r="AP72" s="2" t="s">
        <v>84</v>
      </c>
      <c r="AQ72" s="2" t="s">
        <v>84</v>
      </c>
      <c r="AR72" s="2" t="s">
        <v>106</v>
      </c>
      <c r="AS72" s="2" t="s">
        <v>80</v>
      </c>
      <c r="AT72" s="2"/>
      <c r="AU72" s="2" t="s">
        <v>106</v>
      </c>
      <c r="AV72" s="2" t="s">
        <v>79</v>
      </c>
      <c r="AW72" s="2" t="s">
        <v>92</v>
      </c>
      <c r="AX72" s="2" t="s">
        <v>1185</v>
      </c>
      <c r="AY72" s="2" t="s">
        <v>100</v>
      </c>
      <c r="AZ72" s="2" t="s">
        <v>1186</v>
      </c>
      <c r="BA72" s="2" t="s">
        <v>102</v>
      </c>
      <c r="BB72" s="2" t="s">
        <v>79</v>
      </c>
      <c r="BC72" s="2"/>
      <c r="BD72" s="2" t="s">
        <v>1187</v>
      </c>
      <c r="BE72" s="2" t="s">
        <v>648</v>
      </c>
      <c r="BF72" s="2"/>
      <c r="BG72" s="2" t="s">
        <v>80</v>
      </c>
      <c r="BH72" s="2" t="s">
        <v>79</v>
      </c>
      <c r="BI72" s="2" t="s">
        <v>107</v>
      </c>
      <c r="BJ72" s="2" t="s">
        <v>1188</v>
      </c>
      <c r="BK72" s="2" t="s">
        <v>79</v>
      </c>
      <c r="BL72" s="2" t="s">
        <v>109</v>
      </c>
      <c r="BM72" s="2">
        <v>2024</v>
      </c>
    </row>
    <row r="73" spans="1:65" ht="409.5" x14ac:dyDescent="0.25">
      <c r="A73" s="2" t="s">
        <v>1300</v>
      </c>
      <c r="B73" s="2" t="s">
        <v>80</v>
      </c>
      <c r="C73" s="2" t="s">
        <v>1303</v>
      </c>
      <c r="D73" s="2" t="s">
        <v>79</v>
      </c>
      <c r="E73" s="2" t="s">
        <v>92</v>
      </c>
      <c r="F73" s="2" t="s">
        <v>1304</v>
      </c>
      <c r="G73" s="2" t="s">
        <v>143</v>
      </c>
      <c r="H73" s="2" t="s">
        <v>80</v>
      </c>
      <c r="I73" s="2" t="s">
        <v>194</v>
      </c>
      <c r="J73" s="2" t="s">
        <v>111</v>
      </c>
      <c r="K73" s="2" t="s">
        <v>79</v>
      </c>
      <c r="L73" s="2" t="s">
        <v>92</v>
      </c>
      <c r="M73" s="2" t="s">
        <v>1305</v>
      </c>
      <c r="N73" s="2" t="s">
        <v>1306</v>
      </c>
      <c r="O73" s="2" t="s">
        <v>1307</v>
      </c>
      <c r="P73" s="2" t="s">
        <v>79</v>
      </c>
      <c r="Q73" s="2" t="s">
        <v>1308</v>
      </c>
      <c r="R73" s="2" t="s">
        <v>92</v>
      </c>
      <c r="S73" s="2" t="s">
        <v>1301</v>
      </c>
      <c r="T73" s="2" t="s">
        <v>553</v>
      </c>
      <c r="U73" s="2" t="s">
        <v>1309</v>
      </c>
      <c r="V73" s="2" t="s">
        <v>95</v>
      </c>
      <c r="W73" s="2"/>
      <c r="X73" s="2"/>
      <c r="Y73" s="2" t="s">
        <v>79</v>
      </c>
      <c r="Z73" s="2" t="s">
        <v>1310</v>
      </c>
      <c r="AA73" s="2" t="s">
        <v>1311</v>
      </c>
      <c r="AB73" s="2"/>
      <c r="AC73" s="2" t="s">
        <v>80</v>
      </c>
      <c r="AD73" s="2" t="s">
        <v>1312</v>
      </c>
      <c r="AE73" s="2" t="s">
        <v>1302</v>
      </c>
      <c r="AF73" s="2" t="s">
        <v>82</v>
      </c>
      <c r="AG73" s="2">
        <v>8.5</v>
      </c>
      <c r="AH73" s="2" t="s">
        <v>84</v>
      </c>
      <c r="AI73" s="2" t="s">
        <v>84</v>
      </c>
      <c r="AJ73" s="2" t="s">
        <v>84</v>
      </c>
      <c r="AK73" s="2" t="s">
        <v>86</v>
      </c>
      <c r="AL73" s="2" t="s">
        <v>84</v>
      </c>
      <c r="AM73" s="2" t="s">
        <v>84</v>
      </c>
      <c r="AN73" s="2" t="s">
        <v>84</v>
      </c>
      <c r="AO73" s="2" t="s">
        <v>84</v>
      </c>
      <c r="AP73" s="2" t="s">
        <v>84</v>
      </c>
      <c r="AQ73" s="2" t="s">
        <v>85</v>
      </c>
      <c r="AR73" s="2" t="s">
        <v>80</v>
      </c>
      <c r="AS73" s="2" t="s">
        <v>80</v>
      </c>
      <c r="AT73" s="2"/>
      <c r="AU73" s="2" t="s">
        <v>80</v>
      </c>
      <c r="AV73" s="2" t="s">
        <v>79</v>
      </c>
      <c r="AW73" s="2" t="s">
        <v>79</v>
      </c>
      <c r="AX73" s="2" t="s">
        <v>1313</v>
      </c>
      <c r="AY73" s="2" t="s">
        <v>303</v>
      </c>
      <c r="AZ73" s="2" t="s">
        <v>1314</v>
      </c>
      <c r="BA73" s="2" t="s">
        <v>1315</v>
      </c>
      <c r="BB73" s="2" t="s">
        <v>79</v>
      </c>
      <c r="BC73" s="2" t="s">
        <v>756</v>
      </c>
      <c r="BD73" s="2" t="s">
        <v>1316</v>
      </c>
      <c r="BE73" s="2" t="s">
        <v>648</v>
      </c>
      <c r="BF73" s="2"/>
      <c r="BG73" s="2" t="s">
        <v>80</v>
      </c>
      <c r="BH73" s="2" t="s">
        <v>79</v>
      </c>
      <c r="BI73" s="2" t="s">
        <v>1298</v>
      </c>
      <c r="BJ73" s="2" t="s">
        <v>1317</v>
      </c>
      <c r="BK73" s="2" t="s">
        <v>79</v>
      </c>
      <c r="BL73" s="2" t="s">
        <v>109</v>
      </c>
      <c r="BM73" s="2">
        <v>2020</v>
      </c>
    </row>
    <row r="74" spans="1:65" ht="409.5" x14ac:dyDescent="0.25">
      <c r="A74" s="2" t="s">
        <v>1189</v>
      </c>
      <c r="B74" s="2" t="s">
        <v>79</v>
      </c>
      <c r="C74" s="2" t="s">
        <v>1192</v>
      </c>
      <c r="D74" s="2" t="s">
        <v>79</v>
      </c>
      <c r="E74" s="2" t="s">
        <v>79</v>
      </c>
      <c r="F74" s="2" t="s">
        <v>1193</v>
      </c>
      <c r="G74" s="2" t="s">
        <v>89</v>
      </c>
      <c r="H74" s="2" t="s">
        <v>79</v>
      </c>
      <c r="I74" s="2" t="s">
        <v>90</v>
      </c>
      <c r="J74" s="2" t="s">
        <v>78</v>
      </c>
      <c r="K74" s="2" t="s">
        <v>79</v>
      </c>
      <c r="L74" s="2" t="s">
        <v>92</v>
      </c>
      <c r="M74" s="2" t="s">
        <v>1194</v>
      </c>
      <c r="N74" s="2"/>
      <c r="O74" s="2" t="s">
        <v>155</v>
      </c>
      <c r="P74" s="2" t="s">
        <v>80</v>
      </c>
      <c r="Q74" s="2"/>
      <c r="R74" s="2" t="s">
        <v>92</v>
      </c>
      <c r="S74" s="2" t="s">
        <v>1190</v>
      </c>
      <c r="T74" s="2" t="s">
        <v>465</v>
      </c>
      <c r="U74" s="2" t="s">
        <v>1195</v>
      </c>
      <c r="V74" s="2" t="s">
        <v>95</v>
      </c>
      <c r="W74" s="2" t="s">
        <v>1196</v>
      </c>
      <c r="X74" s="2" t="s">
        <v>1197</v>
      </c>
      <c r="Y74" s="2" t="s">
        <v>80</v>
      </c>
      <c r="Z74" s="2"/>
      <c r="AA74" s="2"/>
      <c r="AB74" s="2"/>
      <c r="AC74" s="2" t="s">
        <v>79</v>
      </c>
      <c r="AD74" s="2" t="s">
        <v>1198</v>
      </c>
      <c r="AE74" s="2" t="s">
        <v>1191</v>
      </c>
      <c r="AF74" s="2" t="s">
        <v>82</v>
      </c>
      <c r="AG74" s="2">
        <v>8.5</v>
      </c>
      <c r="AH74" s="2" t="s">
        <v>84</v>
      </c>
      <c r="AI74" s="2" t="s">
        <v>84</v>
      </c>
      <c r="AJ74" s="2" t="s">
        <v>84</v>
      </c>
      <c r="AK74" s="2" t="s">
        <v>84</v>
      </c>
      <c r="AL74" s="2" t="s">
        <v>84</v>
      </c>
      <c r="AM74" s="2" t="s">
        <v>84</v>
      </c>
      <c r="AN74" s="2" t="s">
        <v>84</v>
      </c>
      <c r="AO74" s="2" t="s">
        <v>86</v>
      </c>
      <c r="AP74" s="2" t="s">
        <v>84</v>
      </c>
      <c r="AQ74" s="2" t="s">
        <v>85</v>
      </c>
      <c r="AR74" s="2" t="s">
        <v>106</v>
      </c>
      <c r="AS74" s="2" t="s">
        <v>80</v>
      </c>
      <c r="AT74" s="2"/>
      <c r="AU74" s="2" t="s">
        <v>106</v>
      </c>
      <c r="AV74" s="2" t="s">
        <v>79</v>
      </c>
      <c r="AW74" s="2" t="s">
        <v>92</v>
      </c>
      <c r="AX74" s="2" t="s">
        <v>1199</v>
      </c>
      <c r="AY74" s="2" t="s">
        <v>100</v>
      </c>
      <c r="AZ74" s="2" t="s">
        <v>1200</v>
      </c>
      <c r="BA74" s="2" t="s">
        <v>202</v>
      </c>
      <c r="BB74" s="2" t="s">
        <v>79</v>
      </c>
      <c r="BC74" s="2"/>
      <c r="BD74" s="2" t="s">
        <v>1201</v>
      </c>
      <c r="BE74" s="2" t="s">
        <v>104</v>
      </c>
      <c r="BF74" s="2" t="s">
        <v>1202</v>
      </c>
      <c r="BG74" s="2" t="s">
        <v>79</v>
      </c>
      <c r="BH74" s="2" t="s">
        <v>79</v>
      </c>
      <c r="BI74" s="2" t="s">
        <v>367</v>
      </c>
      <c r="BJ74" s="2" t="s">
        <v>1203</v>
      </c>
      <c r="BK74" s="2" t="s">
        <v>79</v>
      </c>
      <c r="BL74" s="2" t="s">
        <v>109</v>
      </c>
      <c r="BM74" s="2">
        <v>2024</v>
      </c>
    </row>
    <row r="75" spans="1:65" ht="409.5" x14ac:dyDescent="0.25">
      <c r="A75" s="2" t="s">
        <v>1219</v>
      </c>
      <c r="B75" s="2" t="s">
        <v>80</v>
      </c>
      <c r="C75" s="2" t="s">
        <v>1221</v>
      </c>
      <c r="D75" s="2" t="s">
        <v>79</v>
      </c>
      <c r="E75" s="2" t="s">
        <v>79</v>
      </c>
      <c r="F75" s="2" t="s">
        <v>1222</v>
      </c>
      <c r="G75" s="2" t="s">
        <v>143</v>
      </c>
      <c r="H75" s="2" t="s">
        <v>106</v>
      </c>
      <c r="I75" s="2" t="s">
        <v>116</v>
      </c>
      <c r="J75" s="2" t="s">
        <v>111</v>
      </c>
      <c r="K75" s="2" t="s">
        <v>79</v>
      </c>
      <c r="L75" s="2" t="s">
        <v>92</v>
      </c>
      <c r="M75" s="2" t="s">
        <v>1223</v>
      </c>
      <c r="N75" s="2"/>
      <c r="O75" s="2" t="s">
        <v>155</v>
      </c>
      <c r="P75" s="2" t="s">
        <v>80</v>
      </c>
      <c r="Q75" s="2"/>
      <c r="R75" s="2" t="s">
        <v>92</v>
      </c>
      <c r="S75" s="2" t="s">
        <v>714</v>
      </c>
      <c r="T75" s="2" t="s">
        <v>118</v>
      </c>
      <c r="U75" s="2" t="s">
        <v>1224</v>
      </c>
      <c r="V75" s="2" t="s">
        <v>95</v>
      </c>
      <c r="W75" s="2" t="s">
        <v>1225</v>
      </c>
      <c r="X75" s="2" t="s">
        <v>1226</v>
      </c>
      <c r="Y75" s="2" t="s">
        <v>80</v>
      </c>
      <c r="Z75" s="2"/>
      <c r="AA75" s="2"/>
      <c r="AB75" s="2"/>
      <c r="AC75" s="2" t="s">
        <v>79</v>
      </c>
      <c r="AD75" s="2" t="s">
        <v>1227</v>
      </c>
      <c r="AE75" s="2" t="s">
        <v>1220</v>
      </c>
      <c r="AF75" s="2" t="s">
        <v>82</v>
      </c>
      <c r="AG75" s="2">
        <v>8.5</v>
      </c>
      <c r="AH75" s="2" t="s">
        <v>84</v>
      </c>
      <c r="AI75" s="2" t="s">
        <v>84</v>
      </c>
      <c r="AJ75" s="2" t="s">
        <v>84</v>
      </c>
      <c r="AK75" s="2" t="s">
        <v>84</v>
      </c>
      <c r="AL75" s="2" t="s">
        <v>84</v>
      </c>
      <c r="AM75" s="2" t="s">
        <v>84</v>
      </c>
      <c r="AN75" s="2" t="s">
        <v>84</v>
      </c>
      <c r="AO75" s="2" t="s">
        <v>86</v>
      </c>
      <c r="AP75" s="2" t="s">
        <v>84</v>
      </c>
      <c r="AQ75" s="2" t="s">
        <v>85</v>
      </c>
      <c r="AR75" s="2" t="s">
        <v>106</v>
      </c>
      <c r="AS75" s="2" t="s">
        <v>80</v>
      </c>
      <c r="AT75" s="2"/>
      <c r="AU75" s="2" t="s">
        <v>106</v>
      </c>
      <c r="AV75" s="2" t="s">
        <v>79</v>
      </c>
      <c r="AW75" s="2" t="s">
        <v>92</v>
      </c>
      <c r="AX75" s="2" t="s">
        <v>1228</v>
      </c>
      <c r="AY75" s="2" t="s">
        <v>100</v>
      </c>
      <c r="AZ75" s="2" t="s">
        <v>1229</v>
      </c>
      <c r="BA75" s="2" t="s">
        <v>426</v>
      </c>
      <c r="BB75" s="2" t="s">
        <v>79</v>
      </c>
      <c r="BC75" s="2"/>
      <c r="BD75" s="2" t="s">
        <v>1230</v>
      </c>
      <c r="BE75" s="2" t="s">
        <v>153</v>
      </c>
      <c r="BF75" s="2" t="s">
        <v>1231</v>
      </c>
      <c r="BG75" s="2" t="s">
        <v>92</v>
      </c>
      <c r="BH75" s="2" t="s">
        <v>79</v>
      </c>
      <c r="BI75" s="2" t="s">
        <v>107</v>
      </c>
      <c r="BJ75" s="2" t="s">
        <v>1232</v>
      </c>
      <c r="BK75" s="2" t="s">
        <v>79</v>
      </c>
      <c r="BL75" s="2" t="s">
        <v>172</v>
      </c>
      <c r="BM75" s="2">
        <v>2024</v>
      </c>
    </row>
    <row r="76" spans="1:65" ht="409.5" x14ac:dyDescent="0.25">
      <c r="A76" s="2" t="s">
        <v>1248</v>
      </c>
      <c r="B76" s="2" t="s">
        <v>80</v>
      </c>
      <c r="C76" s="2" t="s">
        <v>1250</v>
      </c>
      <c r="D76" s="2" t="s">
        <v>79</v>
      </c>
      <c r="E76" s="2" t="s">
        <v>92</v>
      </c>
      <c r="F76" s="2" t="s">
        <v>1251</v>
      </c>
      <c r="G76" s="2" t="s">
        <v>89</v>
      </c>
      <c r="H76" s="2" t="s">
        <v>80</v>
      </c>
      <c r="I76" s="2" t="s">
        <v>116</v>
      </c>
      <c r="J76" s="2" t="s">
        <v>143</v>
      </c>
      <c r="K76" s="2" t="s">
        <v>79</v>
      </c>
      <c r="L76" s="2" t="s">
        <v>92</v>
      </c>
      <c r="M76" s="2" t="s">
        <v>1252</v>
      </c>
      <c r="N76" s="2"/>
      <c r="O76" s="2" t="s">
        <v>155</v>
      </c>
      <c r="P76" s="2" t="s">
        <v>80</v>
      </c>
      <c r="Q76" s="2"/>
      <c r="R76" s="2" t="s">
        <v>92</v>
      </c>
      <c r="S76" s="2" t="s">
        <v>714</v>
      </c>
      <c r="T76" s="2" t="s">
        <v>1253</v>
      </c>
      <c r="U76" s="2" t="s">
        <v>1254</v>
      </c>
      <c r="V76" s="2" t="s">
        <v>95</v>
      </c>
      <c r="W76" s="2" t="s">
        <v>1255</v>
      </c>
      <c r="X76" s="2" t="s">
        <v>1256</v>
      </c>
      <c r="Y76" s="2" t="s">
        <v>80</v>
      </c>
      <c r="Z76" s="2"/>
      <c r="AA76" s="2"/>
      <c r="AB76" s="2"/>
      <c r="AC76" s="2" t="s">
        <v>79</v>
      </c>
      <c r="AD76" s="2" t="s">
        <v>1257</v>
      </c>
      <c r="AE76" s="2" t="s">
        <v>1249</v>
      </c>
      <c r="AF76" s="2" t="s">
        <v>82</v>
      </c>
      <c r="AG76" s="2">
        <v>8</v>
      </c>
      <c r="AH76" s="2" t="s">
        <v>84</v>
      </c>
      <c r="AI76" s="2" t="s">
        <v>84</v>
      </c>
      <c r="AJ76" s="2" t="s">
        <v>85</v>
      </c>
      <c r="AK76" s="2" t="s">
        <v>84</v>
      </c>
      <c r="AL76" s="2" t="s">
        <v>84</v>
      </c>
      <c r="AM76" s="2" t="s">
        <v>84</v>
      </c>
      <c r="AN76" s="2" t="s">
        <v>84</v>
      </c>
      <c r="AO76" s="2" t="s">
        <v>86</v>
      </c>
      <c r="AP76" s="2" t="s">
        <v>84</v>
      </c>
      <c r="AQ76" s="2" t="s">
        <v>85</v>
      </c>
      <c r="AR76" s="2" t="s">
        <v>106</v>
      </c>
      <c r="AS76" s="2" t="s">
        <v>80</v>
      </c>
      <c r="AT76" s="2"/>
      <c r="AU76" s="2" t="s">
        <v>106</v>
      </c>
      <c r="AV76" s="2" t="s">
        <v>80</v>
      </c>
      <c r="AW76" s="2" t="s">
        <v>80</v>
      </c>
      <c r="AX76" s="2"/>
      <c r="AY76" s="2" t="s">
        <v>303</v>
      </c>
      <c r="AZ76" s="2" t="s">
        <v>1258</v>
      </c>
      <c r="BA76" s="2" t="s">
        <v>1259</v>
      </c>
      <c r="BB76" s="2" t="s">
        <v>79</v>
      </c>
      <c r="BC76" s="2" t="s">
        <v>1244</v>
      </c>
      <c r="BD76" s="2" t="s">
        <v>1260</v>
      </c>
      <c r="BE76" s="2" t="s">
        <v>153</v>
      </c>
      <c r="BF76" s="2"/>
      <c r="BG76" s="2" t="s">
        <v>80</v>
      </c>
      <c r="BH76" s="2" t="s">
        <v>79</v>
      </c>
      <c r="BI76" s="2" t="s">
        <v>107</v>
      </c>
      <c r="BJ76" s="2" t="s">
        <v>1261</v>
      </c>
      <c r="BK76" s="2" t="s">
        <v>79</v>
      </c>
      <c r="BL76" s="2" t="s">
        <v>172</v>
      </c>
      <c r="BM76" s="2">
        <v>2025</v>
      </c>
    </row>
    <row r="77" spans="1:65" ht="409.5" x14ac:dyDescent="0.25">
      <c r="A77" s="2" t="s">
        <v>1204</v>
      </c>
      <c r="B77" s="2" t="s">
        <v>79</v>
      </c>
      <c r="C77" s="2" t="s">
        <v>1206</v>
      </c>
      <c r="D77" s="2" t="s">
        <v>79</v>
      </c>
      <c r="E77" s="2" t="s">
        <v>79</v>
      </c>
      <c r="F77" s="2" t="s">
        <v>1207</v>
      </c>
      <c r="G77" s="2" t="s">
        <v>89</v>
      </c>
      <c r="H77" s="2" t="s">
        <v>79</v>
      </c>
      <c r="I77" s="2" t="s">
        <v>116</v>
      </c>
      <c r="J77" s="2" t="s">
        <v>111</v>
      </c>
      <c r="K77" s="2" t="s">
        <v>79</v>
      </c>
      <c r="L77" s="2" t="s">
        <v>92</v>
      </c>
      <c r="M77" s="2" t="s">
        <v>1208</v>
      </c>
      <c r="N77" s="2" t="s">
        <v>143</v>
      </c>
      <c r="O77" s="2" t="s">
        <v>1072</v>
      </c>
      <c r="P77" s="2" t="s">
        <v>79</v>
      </c>
      <c r="Q77" s="2" t="s">
        <v>1209</v>
      </c>
      <c r="R77" s="2" t="s">
        <v>92</v>
      </c>
      <c r="S77" s="2" t="s">
        <v>1190</v>
      </c>
      <c r="T77" s="2" t="s">
        <v>465</v>
      </c>
      <c r="U77" s="2" t="s">
        <v>1210</v>
      </c>
      <c r="V77" s="2" t="s">
        <v>95</v>
      </c>
      <c r="W77" s="2" t="s">
        <v>1211</v>
      </c>
      <c r="X77" s="2" t="s">
        <v>1212</v>
      </c>
      <c r="Y77" s="2" t="s">
        <v>80</v>
      </c>
      <c r="Z77" s="2"/>
      <c r="AA77" s="2"/>
      <c r="AB77" s="2"/>
      <c r="AC77" s="2" t="s">
        <v>79</v>
      </c>
      <c r="AD77" s="2" t="s">
        <v>1213</v>
      </c>
      <c r="AE77" s="2" t="s">
        <v>1205</v>
      </c>
      <c r="AF77" s="2" t="s">
        <v>82</v>
      </c>
      <c r="AG77" s="2">
        <v>10</v>
      </c>
      <c r="AH77" s="2" t="s">
        <v>84</v>
      </c>
      <c r="AI77" s="2" t="s">
        <v>84</v>
      </c>
      <c r="AJ77" s="2" t="s">
        <v>84</v>
      </c>
      <c r="AK77" s="2" t="s">
        <v>84</v>
      </c>
      <c r="AL77" s="2" t="s">
        <v>84</v>
      </c>
      <c r="AM77" s="2" t="s">
        <v>84</v>
      </c>
      <c r="AN77" s="2" t="s">
        <v>84</v>
      </c>
      <c r="AO77" s="2" t="s">
        <v>84</v>
      </c>
      <c r="AP77" s="2" t="s">
        <v>84</v>
      </c>
      <c r="AQ77" s="2" t="s">
        <v>84</v>
      </c>
      <c r="AR77" s="2" t="s">
        <v>106</v>
      </c>
      <c r="AS77" s="2" t="s">
        <v>80</v>
      </c>
      <c r="AT77" s="2"/>
      <c r="AU77" s="2" t="s">
        <v>106</v>
      </c>
      <c r="AV77" s="2" t="s">
        <v>79</v>
      </c>
      <c r="AW77" s="2" t="s">
        <v>92</v>
      </c>
      <c r="AX77" s="2" t="s">
        <v>1214</v>
      </c>
      <c r="AY77" s="2" t="s">
        <v>100</v>
      </c>
      <c r="AZ77" s="2" t="s">
        <v>1215</v>
      </c>
      <c r="BA77" s="2" t="s">
        <v>202</v>
      </c>
      <c r="BB77" s="2" t="s">
        <v>79</v>
      </c>
      <c r="BC77" s="2"/>
      <c r="BD77" s="2" t="s">
        <v>1216</v>
      </c>
      <c r="BE77" s="2" t="s">
        <v>153</v>
      </c>
      <c r="BF77" s="2" t="s">
        <v>1217</v>
      </c>
      <c r="BG77" s="2" t="s">
        <v>79</v>
      </c>
      <c r="BH77" s="2" t="s">
        <v>79</v>
      </c>
      <c r="BI77" s="2" t="s">
        <v>107</v>
      </c>
      <c r="BJ77" s="2" t="s">
        <v>1218</v>
      </c>
      <c r="BK77" s="2" t="s">
        <v>79</v>
      </c>
      <c r="BL77" s="2" t="s">
        <v>109</v>
      </c>
      <c r="BM77" s="2">
        <v>2024</v>
      </c>
    </row>
    <row r="78" spans="1:65" ht="409.5" x14ac:dyDescent="0.25">
      <c r="A78" s="2" t="s">
        <v>1318</v>
      </c>
      <c r="B78" s="2" t="s">
        <v>80</v>
      </c>
      <c r="C78" s="2" t="s">
        <v>1320</v>
      </c>
      <c r="D78" s="2" t="s">
        <v>79</v>
      </c>
      <c r="E78" s="2" t="s">
        <v>79</v>
      </c>
      <c r="F78" s="2" t="s">
        <v>1321</v>
      </c>
      <c r="G78" s="2" t="s">
        <v>89</v>
      </c>
      <c r="H78" s="2" t="s">
        <v>80</v>
      </c>
      <c r="I78" s="2" t="s">
        <v>116</v>
      </c>
      <c r="J78" s="2" t="s">
        <v>111</v>
      </c>
      <c r="K78" s="2" t="s">
        <v>79</v>
      </c>
      <c r="L78" s="2" t="s">
        <v>92</v>
      </c>
      <c r="M78" s="2" t="s">
        <v>1322</v>
      </c>
      <c r="N78" s="2"/>
      <c r="O78" s="2" t="s">
        <v>155</v>
      </c>
      <c r="P78" s="2" t="s">
        <v>80</v>
      </c>
      <c r="Q78" s="2"/>
      <c r="R78" s="2" t="s">
        <v>92</v>
      </c>
      <c r="S78" s="2" t="s">
        <v>271</v>
      </c>
      <c r="T78" s="2" t="s">
        <v>453</v>
      </c>
      <c r="U78" s="2" t="s">
        <v>1323</v>
      </c>
      <c r="V78" s="2" t="s">
        <v>95</v>
      </c>
      <c r="W78" s="2" t="s">
        <v>1324</v>
      </c>
      <c r="X78" s="2" t="s">
        <v>1325</v>
      </c>
      <c r="Y78" s="2" t="s">
        <v>80</v>
      </c>
      <c r="Z78" s="2"/>
      <c r="AA78" s="2"/>
      <c r="AB78" s="2"/>
      <c r="AC78" s="2" t="s">
        <v>79</v>
      </c>
      <c r="AD78" s="2" t="s">
        <v>1326</v>
      </c>
      <c r="AE78" s="2" t="s">
        <v>1319</v>
      </c>
      <c r="AF78" s="2" t="s">
        <v>82</v>
      </c>
      <c r="AG78" s="2">
        <v>8</v>
      </c>
      <c r="AH78" s="2" t="s">
        <v>84</v>
      </c>
      <c r="AI78" s="2" t="s">
        <v>84</v>
      </c>
      <c r="AJ78" s="2" t="s">
        <v>84</v>
      </c>
      <c r="AK78" s="2" t="s">
        <v>84</v>
      </c>
      <c r="AL78" s="2" t="s">
        <v>84</v>
      </c>
      <c r="AM78" s="2" t="s">
        <v>84</v>
      </c>
      <c r="AN78" s="2" t="s">
        <v>85</v>
      </c>
      <c r="AO78" s="2" t="s">
        <v>86</v>
      </c>
      <c r="AP78" s="2" t="s">
        <v>84</v>
      </c>
      <c r="AQ78" s="2" t="s">
        <v>85</v>
      </c>
      <c r="AR78" s="2" t="s">
        <v>80</v>
      </c>
      <c r="AS78" s="2" t="s">
        <v>80</v>
      </c>
      <c r="AT78" s="2"/>
      <c r="AU78" s="2" t="s">
        <v>80</v>
      </c>
      <c r="AV78" s="2" t="s">
        <v>80</v>
      </c>
      <c r="AW78" s="2" t="s">
        <v>80</v>
      </c>
      <c r="AX78" s="2"/>
      <c r="AY78" s="2" t="s">
        <v>100</v>
      </c>
      <c r="AZ78" s="2" t="s">
        <v>1327</v>
      </c>
      <c r="BA78" s="2" t="s">
        <v>102</v>
      </c>
      <c r="BB78" s="2" t="s">
        <v>79</v>
      </c>
      <c r="BC78" s="2" t="s">
        <v>854</v>
      </c>
      <c r="BD78" s="2" t="s">
        <v>1328</v>
      </c>
      <c r="BE78" s="2" t="s">
        <v>153</v>
      </c>
      <c r="BF78" s="2"/>
      <c r="BG78" s="2" t="s">
        <v>80</v>
      </c>
      <c r="BH78" s="2" t="s">
        <v>106</v>
      </c>
      <c r="BI78" s="2" t="s">
        <v>429</v>
      </c>
      <c r="BJ78" s="2" t="s">
        <v>1329</v>
      </c>
      <c r="BK78" s="2" t="s">
        <v>79</v>
      </c>
      <c r="BL78" s="2" t="s">
        <v>109</v>
      </c>
      <c r="BM78" s="2">
        <v>2020</v>
      </c>
    </row>
    <row r="79" spans="1:65" ht="409.5" x14ac:dyDescent="0.25">
      <c r="A79" s="2" t="s">
        <v>1233</v>
      </c>
      <c r="B79" s="2" t="s">
        <v>80</v>
      </c>
      <c r="C79" s="2" t="s">
        <v>1235</v>
      </c>
      <c r="D79" s="2" t="s">
        <v>79</v>
      </c>
      <c r="E79" s="2" t="s">
        <v>79</v>
      </c>
      <c r="F79" s="2" t="s">
        <v>1236</v>
      </c>
      <c r="G79" s="2" t="s">
        <v>143</v>
      </c>
      <c r="H79" s="2" t="s">
        <v>106</v>
      </c>
      <c r="I79" s="2" t="s">
        <v>116</v>
      </c>
      <c r="J79" s="2" t="s">
        <v>111</v>
      </c>
      <c r="K79" s="2" t="s">
        <v>79</v>
      </c>
      <c r="L79" s="2" t="s">
        <v>92</v>
      </c>
      <c r="M79" s="2" t="s">
        <v>1237</v>
      </c>
      <c r="N79" s="2"/>
      <c r="O79" s="2" t="s">
        <v>155</v>
      </c>
      <c r="P79" s="2" t="s">
        <v>80</v>
      </c>
      <c r="Q79" s="2"/>
      <c r="R79" s="2" t="s">
        <v>92</v>
      </c>
      <c r="S79" s="2" t="s">
        <v>714</v>
      </c>
      <c r="T79" s="2" t="s">
        <v>118</v>
      </c>
      <c r="U79" s="2" t="s">
        <v>1238</v>
      </c>
      <c r="V79" s="2" t="s">
        <v>95</v>
      </c>
      <c r="W79" s="2" t="s">
        <v>1239</v>
      </c>
      <c r="X79" s="2" t="s">
        <v>1240</v>
      </c>
      <c r="Y79" s="2" t="s">
        <v>80</v>
      </c>
      <c r="Z79" s="2"/>
      <c r="AA79" s="2"/>
      <c r="AB79" s="2"/>
      <c r="AC79" s="2" t="s">
        <v>79</v>
      </c>
      <c r="AD79" s="2" t="s">
        <v>1241</v>
      </c>
      <c r="AE79" s="2" t="s">
        <v>1234</v>
      </c>
      <c r="AF79" s="2" t="s">
        <v>82</v>
      </c>
      <c r="AG79" s="2">
        <v>8.5</v>
      </c>
      <c r="AH79" s="2" t="s">
        <v>84</v>
      </c>
      <c r="AI79" s="2" t="s">
        <v>84</v>
      </c>
      <c r="AJ79" s="2" t="s">
        <v>84</v>
      </c>
      <c r="AK79" s="2" t="s">
        <v>84</v>
      </c>
      <c r="AL79" s="2" t="s">
        <v>84</v>
      </c>
      <c r="AM79" s="2" t="s">
        <v>84</v>
      </c>
      <c r="AN79" s="2" t="s">
        <v>84</v>
      </c>
      <c r="AO79" s="2" t="s">
        <v>86</v>
      </c>
      <c r="AP79" s="2" t="s">
        <v>84</v>
      </c>
      <c r="AQ79" s="2" t="s">
        <v>85</v>
      </c>
      <c r="AR79" s="2" t="s">
        <v>106</v>
      </c>
      <c r="AS79" s="2" t="s">
        <v>80</v>
      </c>
      <c r="AT79" s="2"/>
      <c r="AU79" s="2" t="s">
        <v>106</v>
      </c>
      <c r="AV79" s="2" t="s">
        <v>79</v>
      </c>
      <c r="AW79" s="2" t="s">
        <v>92</v>
      </c>
      <c r="AX79" s="2" t="s">
        <v>1242</v>
      </c>
      <c r="AY79" s="2" t="s">
        <v>100</v>
      </c>
      <c r="AZ79" s="2" t="s">
        <v>1243</v>
      </c>
      <c r="BA79" s="2" t="s">
        <v>426</v>
      </c>
      <c r="BB79" s="2" t="s">
        <v>79</v>
      </c>
      <c r="BC79" s="2" t="s">
        <v>1244</v>
      </c>
      <c r="BD79" s="2" t="s">
        <v>1245</v>
      </c>
      <c r="BE79" s="2" t="s">
        <v>153</v>
      </c>
      <c r="BF79" s="2" t="s">
        <v>1246</v>
      </c>
      <c r="BG79" s="2" t="s">
        <v>92</v>
      </c>
      <c r="BH79" s="2" t="s">
        <v>79</v>
      </c>
      <c r="BI79" s="2" t="s">
        <v>107</v>
      </c>
      <c r="BJ79" s="2" t="s">
        <v>1247</v>
      </c>
      <c r="BK79" s="2" t="s">
        <v>79</v>
      </c>
      <c r="BL79" s="2" t="s">
        <v>172</v>
      </c>
      <c r="BM79" s="2">
        <v>2025</v>
      </c>
    </row>
    <row r="80" spans="1:65" ht="409.5" x14ac:dyDescent="0.25">
      <c r="A80" s="2" t="s">
        <v>1330</v>
      </c>
      <c r="B80" s="2" t="s">
        <v>80</v>
      </c>
      <c r="C80" s="2" t="s">
        <v>1332</v>
      </c>
      <c r="D80" s="2" t="s">
        <v>79</v>
      </c>
      <c r="E80" s="2" t="s">
        <v>79</v>
      </c>
      <c r="F80" s="2" t="s">
        <v>1333</v>
      </c>
      <c r="G80" s="2" t="s">
        <v>89</v>
      </c>
      <c r="H80" s="2" t="s">
        <v>80</v>
      </c>
      <c r="I80" s="2" t="s">
        <v>116</v>
      </c>
      <c r="J80" s="2" t="s">
        <v>111</v>
      </c>
      <c r="K80" s="2" t="s">
        <v>79</v>
      </c>
      <c r="L80" s="2" t="s">
        <v>92</v>
      </c>
      <c r="M80" s="2" t="s">
        <v>1334</v>
      </c>
      <c r="N80" s="2"/>
      <c r="O80" s="2" t="s">
        <v>155</v>
      </c>
      <c r="P80" s="2" t="s">
        <v>80</v>
      </c>
      <c r="Q80" s="2"/>
      <c r="R80" s="2" t="s">
        <v>92</v>
      </c>
      <c r="S80" s="2" t="s">
        <v>271</v>
      </c>
      <c r="T80" s="2" t="s">
        <v>118</v>
      </c>
      <c r="U80" s="2" t="s">
        <v>1335</v>
      </c>
      <c r="V80" s="2" t="s">
        <v>95</v>
      </c>
      <c r="W80" s="2" t="s">
        <v>1336</v>
      </c>
      <c r="X80" s="2" t="s">
        <v>1337</v>
      </c>
      <c r="Y80" s="2" t="s">
        <v>80</v>
      </c>
      <c r="Z80" s="2"/>
      <c r="AA80" s="2"/>
      <c r="AB80" s="2"/>
      <c r="AC80" s="2" t="s">
        <v>79</v>
      </c>
      <c r="AD80" s="2" t="s">
        <v>1338</v>
      </c>
      <c r="AE80" s="2" t="s">
        <v>1331</v>
      </c>
      <c r="AF80" s="2" t="s">
        <v>82</v>
      </c>
      <c r="AG80" s="2">
        <v>8</v>
      </c>
      <c r="AH80" s="2" t="s">
        <v>84</v>
      </c>
      <c r="AI80" s="2" t="s">
        <v>84</v>
      </c>
      <c r="AJ80" s="2" t="s">
        <v>84</v>
      </c>
      <c r="AK80" s="2" t="s">
        <v>84</v>
      </c>
      <c r="AL80" s="2" t="s">
        <v>84</v>
      </c>
      <c r="AM80" s="2" t="s">
        <v>84</v>
      </c>
      <c r="AN80" s="2" t="s">
        <v>85</v>
      </c>
      <c r="AO80" s="2" t="s">
        <v>86</v>
      </c>
      <c r="AP80" s="2" t="s">
        <v>84</v>
      </c>
      <c r="AQ80" s="2" t="s">
        <v>85</v>
      </c>
      <c r="AR80" s="2" t="s">
        <v>80</v>
      </c>
      <c r="AS80" s="2" t="s">
        <v>80</v>
      </c>
      <c r="AT80" s="2"/>
      <c r="AU80" s="2" t="s">
        <v>80</v>
      </c>
      <c r="AV80" s="2" t="s">
        <v>80</v>
      </c>
      <c r="AW80" s="2" t="s">
        <v>80</v>
      </c>
      <c r="AX80" s="2"/>
      <c r="AY80" s="2" t="s">
        <v>100</v>
      </c>
      <c r="AZ80" s="2" t="s">
        <v>1339</v>
      </c>
      <c r="BA80" s="2" t="s">
        <v>102</v>
      </c>
      <c r="BB80" s="2" t="s">
        <v>79</v>
      </c>
      <c r="BC80" s="2" t="s">
        <v>1340</v>
      </c>
      <c r="BD80" s="2" t="s">
        <v>1341</v>
      </c>
      <c r="BE80" s="2" t="s">
        <v>153</v>
      </c>
      <c r="BF80" s="2"/>
      <c r="BG80" s="2" t="s">
        <v>80</v>
      </c>
      <c r="BH80" s="2" t="s">
        <v>106</v>
      </c>
      <c r="BI80" s="2" t="s">
        <v>107</v>
      </c>
      <c r="BJ80" s="2" t="s">
        <v>1342</v>
      </c>
      <c r="BK80" s="2" t="s">
        <v>79</v>
      </c>
      <c r="BL80" s="2" t="s">
        <v>109</v>
      </c>
      <c r="BM80" s="2">
        <v>2019</v>
      </c>
    </row>
    <row r="81" spans="1:65" ht="409.5" x14ac:dyDescent="0.25">
      <c r="A81" s="2" t="s">
        <v>1384</v>
      </c>
      <c r="B81" s="2" t="s">
        <v>92</v>
      </c>
      <c r="C81" s="2" t="s">
        <v>1387</v>
      </c>
      <c r="D81" s="2" t="s">
        <v>79</v>
      </c>
      <c r="E81" s="2"/>
      <c r="F81" s="2" t="s">
        <v>1388</v>
      </c>
      <c r="G81" s="2" t="s">
        <v>842</v>
      </c>
      <c r="H81" s="2" t="s">
        <v>106</v>
      </c>
      <c r="I81" s="2" t="s">
        <v>116</v>
      </c>
      <c r="J81" s="2" t="s">
        <v>143</v>
      </c>
      <c r="K81" s="2" t="s">
        <v>79</v>
      </c>
      <c r="L81" s="2"/>
      <c r="M81" s="2" t="s">
        <v>1389</v>
      </c>
      <c r="N81" s="2"/>
      <c r="O81" s="2"/>
      <c r="P81" s="2" t="s">
        <v>80</v>
      </c>
      <c r="Q81" s="2"/>
      <c r="R81" s="2" t="s">
        <v>92</v>
      </c>
      <c r="S81" s="2" t="s">
        <v>1385</v>
      </c>
      <c r="T81" s="2"/>
      <c r="U81" s="2" t="s">
        <v>1390</v>
      </c>
      <c r="V81" s="2" t="s">
        <v>95</v>
      </c>
      <c r="W81" s="2" t="s">
        <v>1391</v>
      </c>
      <c r="X81" s="2" t="s">
        <v>1392</v>
      </c>
      <c r="Y81" s="2" t="s">
        <v>80</v>
      </c>
      <c r="Z81" s="2"/>
      <c r="AA81" s="2"/>
      <c r="AB81" s="2" t="s">
        <v>1393</v>
      </c>
      <c r="AC81" s="2" t="s">
        <v>79</v>
      </c>
      <c r="AD81" s="2" t="s">
        <v>1394</v>
      </c>
      <c r="AE81" s="2" t="s">
        <v>1386</v>
      </c>
      <c r="AF81" s="2" t="s">
        <v>82</v>
      </c>
      <c r="AG81" s="2">
        <v>9</v>
      </c>
      <c r="AH81" s="2" t="s">
        <v>84</v>
      </c>
      <c r="AI81" s="2" t="s">
        <v>84</v>
      </c>
      <c r="AJ81" s="2" t="s">
        <v>84</v>
      </c>
      <c r="AK81" s="2" t="s">
        <v>84</v>
      </c>
      <c r="AL81" s="2" t="s">
        <v>84</v>
      </c>
      <c r="AM81" s="2" t="s">
        <v>84</v>
      </c>
      <c r="AN81" s="2" t="s">
        <v>84</v>
      </c>
      <c r="AO81" s="2" t="s">
        <v>86</v>
      </c>
      <c r="AP81" s="2" t="s">
        <v>84</v>
      </c>
      <c r="AQ81" s="2" t="s">
        <v>84</v>
      </c>
      <c r="AR81" s="2" t="s">
        <v>80</v>
      </c>
      <c r="AS81" s="2" t="s">
        <v>80</v>
      </c>
      <c r="AT81" s="2"/>
      <c r="AU81" s="2" t="s">
        <v>80</v>
      </c>
      <c r="AV81" s="2" t="s">
        <v>79</v>
      </c>
      <c r="AW81" s="2"/>
      <c r="AX81" s="2" t="s">
        <v>1395</v>
      </c>
      <c r="AY81" s="2" t="s">
        <v>100</v>
      </c>
      <c r="AZ81" s="2" t="s">
        <v>1396</v>
      </c>
      <c r="BA81" s="2" t="s">
        <v>102</v>
      </c>
      <c r="BB81" s="2" t="s">
        <v>79</v>
      </c>
      <c r="BC81" s="2"/>
      <c r="BD81" s="2" t="s">
        <v>1397</v>
      </c>
      <c r="BE81" s="2" t="s">
        <v>856</v>
      </c>
      <c r="BF81" s="2" t="s">
        <v>1398</v>
      </c>
      <c r="BG81" s="2" t="s">
        <v>79</v>
      </c>
      <c r="BH81" s="2" t="s">
        <v>79</v>
      </c>
      <c r="BI81" s="2" t="s">
        <v>107</v>
      </c>
      <c r="BJ81" s="2" t="s">
        <v>1399</v>
      </c>
      <c r="BK81" s="2" t="s">
        <v>79</v>
      </c>
      <c r="BL81" s="2" t="s">
        <v>172</v>
      </c>
      <c r="BM81" s="2">
        <v>2025</v>
      </c>
    </row>
    <row r="82" spans="1:65" ht="405" x14ac:dyDescent="0.25">
      <c r="A82" s="2" t="s">
        <v>1436</v>
      </c>
      <c r="B82" s="2" t="s">
        <v>80</v>
      </c>
      <c r="C82" s="2" t="s">
        <v>1438</v>
      </c>
      <c r="D82" s="2" t="s">
        <v>80</v>
      </c>
      <c r="E82" s="2"/>
      <c r="F82" s="2"/>
      <c r="G82" s="2" t="s">
        <v>143</v>
      </c>
      <c r="H82" s="2" t="s">
        <v>80</v>
      </c>
      <c r="I82" s="2"/>
      <c r="J82" s="2" t="s">
        <v>111</v>
      </c>
      <c r="K82" s="2" t="s">
        <v>79</v>
      </c>
      <c r="L82" s="2"/>
      <c r="M82" s="2" t="s">
        <v>1439</v>
      </c>
      <c r="N82" s="2"/>
      <c r="O82" s="2"/>
      <c r="P82" s="2" t="s">
        <v>80</v>
      </c>
      <c r="Q82" s="2"/>
      <c r="R82" s="2"/>
      <c r="S82" s="2"/>
      <c r="T82" s="2" t="s">
        <v>639</v>
      </c>
      <c r="U82" s="2" t="s">
        <v>1440</v>
      </c>
      <c r="V82" s="2" t="s">
        <v>95</v>
      </c>
      <c r="W82" s="2"/>
      <c r="X82" s="2"/>
      <c r="Y82" s="2" t="s">
        <v>80</v>
      </c>
      <c r="Z82" s="2"/>
      <c r="AA82" s="2"/>
      <c r="AB82" s="2"/>
      <c r="AC82" s="2" t="s">
        <v>80</v>
      </c>
      <c r="AD82" s="2" t="s">
        <v>1441</v>
      </c>
      <c r="AE82" s="2" t="s">
        <v>1437</v>
      </c>
      <c r="AF82" s="2" t="s">
        <v>82</v>
      </c>
      <c r="AG82" s="2">
        <v>6.5</v>
      </c>
      <c r="AH82" s="2" t="s">
        <v>84</v>
      </c>
      <c r="AI82" s="2" t="s">
        <v>84</v>
      </c>
      <c r="AJ82" s="2" t="s">
        <v>84</v>
      </c>
      <c r="AK82" s="2" t="s">
        <v>86</v>
      </c>
      <c r="AL82" s="2" t="s">
        <v>84</v>
      </c>
      <c r="AM82" s="2" t="s">
        <v>84</v>
      </c>
      <c r="AN82" s="2" t="s">
        <v>84</v>
      </c>
      <c r="AO82" s="2" t="s">
        <v>86</v>
      </c>
      <c r="AP82" s="2" t="s">
        <v>86</v>
      </c>
      <c r="AQ82" s="2" t="s">
        <v>85</v>
      </c>
      <c r="AR82" s="2"/>
      <c r="AS82" s="2" t="s">
        <v>80</v>
      </c>
      <c r="AT82" s="2"/>
      <c r="AU82" s="2"/>
      <c r="AV82" s="2" t="s">
        <v>79</v>
      </c>
      <c r="AW82" s="2"/>
      <c r="AX82" s="2" t="s">
        <v>1442</v>
      </c>
      <c r="AY82" s="2" t="s">
        <v>303</v>
      </c>
      <c r="AZ82" s="2" t="s">
        <v>1443</v>
      </c>
      <c r="BA82" s="2" t="s">
        <v>514</v>
      </c>
      <c r="BB82" s="2" t="s">
        <v>79</v>
      </c>
      <c r="BC82" s="2" t="s">
        <v>1434</v>
      </c>
      <c r="BD82" s="2" t="s">
        <v>1444</v>
      </c>
      <c r="BE82" s="2" t="s">
        <v>648</v>
      </c>
      <c r="BF82" s="2"/>
      <c r="BG82" s="2" t="s">
        <v>80</v>
      </c>
      <c r="BH82" s="2" t="s">
        <v>79</v>
      </c>
      <c r="BI82" s="2"/>
      <c r="BJ82" s="2"/>
      <c r="BK82" s="2" t="s">
        <v>80</v>
      </c>
      <c r="BL82" s="2" t="s">
        <v>172</v>
      </c>
      <c r="BM82" s="2">
        <v>1999</v>
      </c>
    </row>
    <row r="83" spans="1:65" ht="409.5" x14ac:dyDescent="0.25">
      <c r="A83" s="2" t="s">
        <v>1343</v>
      </c>
      <c r="B83" s="2" t="s">
        <v>80</v>
      </c>
      <c r="C83" s="2" t="s">
        <v>1346</v>
      </c>
      <c r="D83" s="2" t="s">
        <v>79</v>
      </c>
      <c r="E83" s="2"/>
      <c r="F83" s="2" t="s">
        <v>1347</v>
      </c>
      <c r="G83" s="2" t="s">
        <v>89</v>
      </c>
      <c r="H83" s="2" t="s">
        <v>80</v>
      </c>
      <c r="I83" s="2" t="s">
        <v>116</v>
      </c>
      <c r="J83" s="2" t="s">
        <v>111</v>
      </c>
      <c r="K83" s="2" t="s">
        <v>79</v>
      </c>
      <c r="L83" s="2"/>
      <c r="M83" s="2" t="s">
        <v>1348</v>
      </c>
      <c r="N83" s="2"/>
      <c r="O83" s="2"/>
      <c r="P83" s="2" t="s">
        <v>80</v>
      </c>
      <c r="Q83" s="2"/>
      <c r="R83" s="2" t="s">
        <v>92</v>
      </c>
      <c r="S83" s="2" t="s">
        <v>1344</v>
      </c>
      <c r="T83" s="2"/>
      <c r="U83" s="2" t="s">
        <v>1349</v>
      </c>
      <c r="V83" s="2" t="s">
        <v>95</v>
      </c>
      <c r="W83" s="2" t="s">
        <v>1350</v>
      </c>
      <c r="X83" s="2" t="s">
        <v>1351</v>
      </c>
      <c r="Y83" s="2" t="s">
        <v>80</v>
      </c>
      <c r="Z83" s="2"/>
      <c r="AA83" s="2"/>
      <c r="AB83" s="2" t="s">
        <v>1352</v>
      </c>
      <c r="AC83" s="2" t="s">
        <v>79</v>
      </c>
      <c r="AD83" s="2" t="s">
        <v>1353</v>
      </c>
      <c r="AE83" s="2" t="s">
        <v>1345</v>
      </c>
      <c r="AF83" s="2" t="s">
        <v>82</v>
      </c>
      <c r="AG83" s="2">
        <v>8.5</v>
      </c>
      <c r="AH83" s="2" t="s">
        <v>84</v>
      </c>
      <c r="AI83" s="2" t="s">
        <v>84</v>
      </c>
      <c r="AJ83" s="2" t="s">
        <v>84</v>
      </c>
      <c r="AK83" s="2" t="s">
        <v>84</v>
      </c>
      <c r="AL83" s="2" t="s">
        <v>84</v>
      </c>
      <c r="AM83" s="2" t="s">
        <v>84</v>
      </c>
      <c r="AN83" s="2" t="s">
        <v>85</v>
      </c>
      <c r="AO83" s="2" t="s">
        <v>86</v>
      </c>
      <c r="AP83" s="2" t="s">
        <v>84</v>
      </c>
      <c r="AQ83" s="2" t="s">
        <v>84</v>
      </c>
      <c r="AR83" s="2" t="s">
        <v>80</v>
      </c>
      <c r="AS83" s="2" t="s">
        <v>80</v>
      </c>
      <c r="AT83" s="2"/>
      <c r="AU83" s="2" t="s">
        <v>80</v>
      </c>
      <c r="AV83" s="2" t="s">
        <v>80</v>
      </c>
      <c r="AW83" s="2"/>
      <c r="AX83" s="2"/>
      <c r="AY83" s="2" t="s">
        <v>100</v>
      </c>
      <c r="AZ83" s="2" t="s">
        <v>1354</v>
      </c>
      <c r="BA83" s="2" t="s">
        <v>102</v>
      </c>
      <c r="BB83" s="2" t="s">
        <v>79</v>
      </c>
      <c r="BC83" s="2"/>
      <c r="BD83" s="2" t="s">
        <v>1355</v>
      </c>
      <c r="BE83" s="2" t="s">
        <v>153</v>
      </c>
      <c r="BF83" s="2"/>
      <c r="BG83" s="2" t="s">
        <v>80</v>
      </c>
      <c r="BH83" s="2" t="s">
        <v>106</v>
      </c>
      <c r="BI83" s="2" t="s">
        <v>107</v>
      </c>
      <c r="BJ83" s="2" t="s">
        <v>1356</v>
      </c>
      <c r="BK83" s="2" t="s">
        <v>79</v>
      </c>
      <c r="BL83" s="2" t="s">
        <v>109</v>
      </c>
      <c r="BM83" s="2">
        <v>2019</v>
      </c>
    </row>
    <row r="84" spans="1:65" ht="405" x14ac:dyDescent="0.25">
      <c r="A84" s="2" t="s">
        <v>1445</v>
      </c>
      <c r="B84" s="2" t="s">
        <v>80</v>
      </c>
      <c r="C84" s="2" t="s">
        <v>1447</v>
      </c>
      <c r="D84" s="2" t="s">
        <v>80</v>
      </c>
      <c r="E84" s="2"/>
      <c r="F84" s="2"/>
      <c r="G84" s="2" t="s">
        <v>89</v>
      </c>
      <c r="H84" s="2" t="s">
        <v>80</v>
      </c>
      <c r="I84" s="2"/>
      <c r="J84" s="2" t="s">
        <v>189</v>
      </c>
      <c r="K84" s="2" t="s">
        <v>79</v>
      </c>
      <c r="L84" s="2"/>
      <c r="M84" s="2" t="s">
        <v>1448</v>
      </c>
      <c r="N84" s="2"/>
      <c r="O84" s="2"/>
      <c r="P84" s="2" t="s">
        <v>80</v>
      </c>
      <c r="Q84" s="2"/>
      <c r="R84" s="2" t="s">
        <v>92</v>
      </c>
      <c r="S84" s="2"/>
      <c r="T84" s="2" t="s">
        <v>357</v>
      </c>
      <c r="U84" s="2" t="s">
        <v>1449</v>
      </c>
      <c r="V84" s="2" t="s">
        <v>95</v>
      </c>
      <c r="W84" s="2" t="s">
        <v>1450</v>
      </c>
      <c r="X84" s="2" t="s">
        <v>1451</v>
      </c>
      <c r="Y84" s="2" t="s">
        <v>80</v>
      </c>
      <c r="Z84" s="2"/>
      <c r="AA84" s="2"/>
      <c r="AB84" s="2"/>
      <c r="AC84" s="2" t="s">
        <v>79</v>
      </c>
      <c r="AD84" s="2" t="s">
        <v>1452</v>
      </c>
      <c r="AE84" s="2" t="s">
        <v>1446</v>
      </c>
      <c r="AF84" s="2" t="s">
        <v>82</v>
      </c>
      <c r="AG84" s="2">
        <v>9</v>
      </c>
      <c r="AH84" s="2" t="s">
        <v>84</v>
      </c>
      <c r="AI84" s="2" t="s">
        <v>84</v>
      </c>
      <c r="AJ84" s="2" t="s">
        <v>84</v>
      </c>
      <c r="AK84" s="2" t="s">
        <v>84</v>
      </c>
      <c r="AL84" s="2" t="s">
        <v>84</v>
      </c>
      <c r="AM84" s="2" t="s">
        <v>84</v>
      </c>
      <c r="AN84" s="2" t="s">
        <v>84</v>
      </c>
      <c r="AO84" s="2" t="s">
        <v>86</v>
      </c>
      <c r="AP84" s="2" t="s">
        <v>84</v>
      </c>
      <c r="AQ84" s="2" t="s">
        <v>84</v>
      </c>
      <c r="AR84" s="2"/>
      <c r="AS84" s="2" t="s">
        <v>80</v>
      </c>
      <c r="AT84" s="2"/>
      <c r="AU84" s="2"/>
      <c r="AV84" s="2" t="s">
        <v>79</v>
      </c>
      <c r="AW84" s="2"/>
      <c r="AX84" s="2" t="s">
        <v>1453</v>
      </c>
      <c r="AY84" s="2" t="s">
        <v>303</v>
      </c>
      <c r="AZ84" s="2" t="s">
        <v>1454</v>
      </c>
      <c r="BA84" s="2" t="s">
        <v>143</v>
      </c>
      <c r="BB84" s="2" t="s">
        <v>79</v>
      </c>
      <c r="BC84" s="2"/>
      <c r="BD84" s="2" t="s">
        <v>1455</v>
      </c>
      <c r="BE84" s="2" t="s">
        <v>153</v>
      </c>
      <c r="BF84" s="2"/>
      <c r="BG84" s="2" t="s">
        <v>80</v>
      </c>
      <c r="BH84" s="2" t="s">
        <v>79</v>
      </c>
      <c r="BI84" s="2" t="s">
        <v>206</v>
      </c>
      <c r="BJ84" s="2" t="s">
        <v>1456</v>
      </c>
      <c r="BK84" s="2" t="s">
        <v>79</v>
      </c>
      <c r="BL84" s="2" t="s">
        <v>172</v>
      </c>
      <c r="BM84" s="2">
        <v>2004</v>
      </c>
    </row>
    <row r="85" spans="1:65" ht="375" x14ac:dyDescent="0.25">
      <c r="A85" s="2" t="s">
        <v>1400</v>
      </c>
      <c r="B85" s="2" t="s">
        <v>80</v>
      </c>
      <c r="C85" s="2" t="s">
        <v>1402</v>
      </c>
      <c r="D85" s="2" t="s">
        <v>80</v>
      </c>
      <c r="E85" s="2"/>
      <c r="F85" s="2"/>
      <c r="G85" s="2" t="s">
        <v>143</v>
      </c>
      <c r="H85" s="2"/>
      <c r="I85" s="2"/>
      <c r="J85" s="2" t="s">
        <v>111</v>
      </c>
      <c r="K85" s="2" t="s">
        <v>80</v>
      </c>
      <c r="L85" s="2"/>
      <c r="M85" s="2"/>
      <c r="N85" s="2"/>
      <c r="O85" s="2" t="s">
        <v>155</v>
      </c>
      <c r="P85" s="2" t="s">
        <v>79</v>
      </c>
      <c r="Q85" s="2" t="s">
        <v>1403</v>
      </c>
      <c r="R85" s="2" t="s">
        <v>92</v>
      </c>
      <c r="S85" s="2"/>
      <c r="T85" s="2" t="s">
        <v>213</v>
      </c>
      <c r="U85" s="2" t="s">
        <v>1404</v>
      </c>
      <c r="V85" s="2" t="s">
        <v>95</v>
      </c>
      <c r="W85" s="2"/>
      <c r="X85" s="2"/>
      <c r="Y85" s="2" t="s">
        <v>80</v>
      </c>
      <c r="Z85" s="2"/>
      <c r="AA85" s="2"/>
      <c r="AB85" s="2"/>
      <c r="AC85" s="2" t="s">
        <v>80</v>
      </c>
      <c r="AD85" s="2"/>
      <c r="AE85" s="2" t="s">
        <v>1401</v>
      </c>
      <c r="AF85" s="2" t="s">
        <v>82</v>
      </c>
      <c r="AG85" s="2">
        <v>7</v>
      </c>
      <c r="AH85" s="2" t="s">
        <v>84</v>
      </c>
      <c r="AI85" s="2" t="s">
        <v>84</v>
      </c>
      <c r="AJ85" s="2" t="s">
        <v>85</v>
      </c>
      <c r="AK85" s="2" t="s">
        <v>86</v>
      </c>
      <c r="AL85" s="2" t="s">
        <v>84</v>
      </c>
      <c r="AM85" s="2" t="s">
        <v>84</v>
      </c>
      <c r="AN85" s="2" t="s">
        <v>84</v>
      </c>
      <c r="AO85" s="2" t="s">
        <v>84</v>
      </c>
      <c r="AP85" s="2" t="s">
        <v>86</v>
      </c>
      <c r="AQ85" s="2" t="s">
        <v>85</v>
      </c>
      <c r="AR85" s="2"/>
      <c r="AS85" s="2" t="s">
        <v>80</v>
      </c>
      <c r="AT85" s="2"/>
      <c r="AU85" s="2"/>
      <c r="AV85" s="2" t="s">
        <v>79</v>
      </c>
      <c r="AW85" s="2"/>
      <c r="AX85" s="2" t="s">
        <v>1405</v>
      </c>
      <c r="AY85" s="2" t="s">
        <v>1143</v>
      </c>
      <c r="AZ85" s="2" t="s">
        <v>1406</v>
      </c>
      <c r="BA85" s="2" t="s">
        <v>514</v>
      </c>
      <c r="BB85" s="2" t="s">
        <v>79</v>
      </c>
      <c r="BC85" s="2" t="s">
        <v>1407</v>
      </c>
      <c r="BD85" s="2" t="s">
        <v>1408</v>
      </c>
      <c r="BE85" s="2" t="s">
        <v>648</v>
      </c>
      <c r="BF85" s="2"/>
      <c r="BG85" s="2" t="s">
        <v>80</v>
      </c>
      <c r="BH85" s="2" t="s">
        <v>106</v>
      </c>
      <c r="BI85" s="2"/>
      <c r="BJ85" s="2" t="s">
        <v>1409</v>
      </c>
      <c r="BK85" s="2" t="s">
        <v>79</v>
      </c>
      <c r="BL85" s="2" t="s">
        <v>109</v>
      </c>
      <c r="BM85" s="2">
        <v>2018</v>
      </c>
    </row>
    <row r="86" spans="1:65" ht="409.5" x14ac:dyDescent="0.25">
      <c r="A86" s="2" t="s">
        <v>1371</v>
      </c>
      <c r="B86" s="2" t="s">
        <v>80</v>
      </c>
      <c r="C86" s="2" t="s">
        <v>1373</v>
      </c>
      <c r="D86" s="2" t="s">
        <v>79</v>
      </c>
      <c r="E86" s="2"/>
      <c r="F86" s="2" t="s">
        <v>1374</v>
      </c>
      <c r="G86" s="2" t="s">
        <v>89</v>
      </c>
      <c r="H86" s="2" t="s">
        <v>80</v>
      </c>
      <c r="I86" s="2" t="s">
        <v>116</v>
      </c>
      <c r="J86" s="2" t="s">
        <v>111</v>
      </c>
      <c r="K86" s="2" t="s">
        <v>79</v>
      </c>
      <c r="L86" s="2"/>
      <c r="M86" s="2" t="s">
        <v>1375</v>
      </c>
      <c r="N86" s="2"/>
      <c r="O86" s="2"/>
      <c r="P86" s="2" t="s">
        <v>80</v>
      </c>
      <c r="Q86" s="2"/>
      <c r="R86" s="2" t="s">
        <v>92</v>
      </c>
      <c r="S86" s="2" t="s">
        <v>1344</v>
      </c>
      <c r="T86" s="2"/>
      <c r="U86" s="2" t="s">
        <v>1376</v>
      </c>
      <c r="V86" s="2" t="s">
        <v>95</v>
      </c>
      <c r="W86" s="2" t="s">
        <v>1377</v>
      </c>
      <c r="X86" s="2" t="s">
        <v>1378</v>
      </c>
      <c r="Y86" s="2" t="s">
        <v>80</v>
      </c>
      <c r="Z86" s="2"/>
      <c r="AA86" s="2"/>
      <c r="AB86" s="2" t="s">
        <v>1379</v>
      </c>
      <c r="AC86" s="2" t="s">
        <v>79</v>
      </c>
      <c r="AD86" s="2" t="s">
        <v>1380</v>
      </c>
      <c r="AE86" s="2" t="s">
        <v>1372</v>
      </c>
      <c r="AF86" s="2" t="s">
        <v>82</v>
      </c>
      <c r="AG86" s="2">
        <v>8.5</v>
      </c>
      <c r="AH86" s="2" t="s">
        <v>84</v>
      </c>
      <c r="AI86" s="2" t="s">
        <v>84</v>
      </c>
      <c r="AJ86" s="2" t="s">
        <v>84</v>
      </c>
      <c r="AK86" s="2" t="s">
        <v>84</v>
      </c>
      <c r="AL86" s="2" t="s">
        <v>84</v>
      </c>
      <c r="AM86" s="2" t="s">
        <v>84</v>
      </c>
      <c r="AN86" s="2" t="s">
        <v>84</v>
      </c>
      <c r="AO86" s="2" t="s">
        <v>86</v>
      </c>
      <c r="AP86" s="2" t="s">
        <v>84</v>
      </c>
      <c r="AQ86" s="2" t="s">
        <v>85</v>
      </c>
      <c r="AR86" s="2" t="s">
        <v>80</v>
      </c>
      <c r="AS86" s="2" t="s">
        <v>80</v>
      </c>
      <c r="AT86" s="2"/>
      <c r="AU86" s="2" t="s">
        <v>80</v>
      </c>
      <c r="AV86" s="2" t="s">
        <v>80</v>
      </c>
      <c r="AW86" s="2"/>
      <c r="AX86" s="2"/>
      <c r="AY86" s="2" t="s">
        <v>100</v>
      </c>
      <c r="AZ86" s="2" t="s">
        <v>1381</v>
      </c>
      <c r="BA86" s="2" t="s">
        <v>102</v>
      </c>
      <c r="BB86" s="2" t="s">
        <v>79</v>
      </c>
      <c r="BC86" s="2"/>
      <c r="BD86" s="2" t="s">
        <v>1382</v>
      </c>
      <c r="BE86" s="2" t="s">
        <v>153</v>
      </c>
      <c r="BF86" s="2"/>
      <c r="BG86" s="2" t="s">
        <v>80</v>
      </c>
      <c r="BH86" s="2" t="s">
        <v>79</v>
      </c>
      <c r="BI86" s="2" t="s">
        <v>107</v>
      </c>
      <c r="BJ86" s="2" t="s">
        <v>1383</v>
      </c>
      <c r="BK86" s="2" t="s">
        <v>79</v>
      </c>
      <c r="BL86" s="2" t="s">
        <v>109</v>
      </c>
      <c r="BM86" s="2">
        <v>2020</v>
      </c>
    </row>
    <row r="87" spans="1:65" ht="409.5" x14ac:dyDescent="0.25">
      <c r="A87" s="2" t="s">
        <v>1410</v>
      </c>
      <c r="B87" s="2" t="s">
        <v>92</v>
      </c>
      <c r="C87" s="2" t="s">
        <v>1412</v>
      </c>
      <c r="D87" s="2" t="s">
        <v>79</v>
      </c>
      <c r="E87" s="2"/>
      <c r="F87" s="2" t="s">
        <v>1413</v>
      </c>
      <c r="G87" s="2" t="s">
        <v>89</v>
      </c>
      <c r="H87" s="2" t="s">
        <v>79</v>
      </c>
      <c r="I87" s="2" t="s">
        <v>194</v>
      </c>
      <c r="J87" s="2" t="s">
        <v>111</v>
      </c>
      <c r="K87" s="2" t="s">
        <v>79</v>
      </c>
      <c r="L87" s="2"/>
      <c r="M87" s="2" t="s">
        <v>1414</v>
      </c>
      <c r="N87" s="2"/>
      <c r="O87" s="2"/>
      <c r="P87" s="2" t="s">
        <v>80</v>
      </c>
      <c r="Q87" s="2"/>
      <c r="R87" s="2" t="s">
        <v>92</v>
      </c>
      <c r="S87" s="2" t="s">
        <v>81</v>
      </c>
      <c r="T87" s="2" t="s">
        <v>357</v>
      </c>
      <c r="U87" s="2" t="s">
        <v>1415</v>
      </c>
      <c r="V87" s="2" t="s">
        <v>95</v>
      </c>
      <c r="W87" s="2" t="s">
        <v>1416</v>
      </c>
      <c r="X87" s="2" t="s">
        <v>1417</v>
      </c>
      <c r="Y87" s="2" t="s">
        <v>80</v>
      </c>
      <c r="Z87" s="2"/>
      <c r="AA87" s="2"/>
      <c r="AB87" s="2"/>
      <c r="AC87" s="2" t="s">
        <v>79</v>
      </c>
      <c r="AD87" s="2" t="s">
        <v>1418</v>
      </c>
      <c r="AE87" s="2" t="s">
        <v>1411</v>
      </c>
      <c r="AF87" s="2" t="s">
        <v>82</v>
      </c>
      <c r="AG87" s="2">
        <v>6.5</v>
      </c>
      <c r="AH87" s="2" t="s">
        <v>84</v>
      </c>
      <c r="AI87" s="2" t="s">
        <v>86</v>
      </c>
      <c r="AJ87" s="2" t="s">
        <v>84</v>
      </c>
      <c r="AK87" s="2" t="s">
        <v>84</v>
      </c>
      <c r="AL87" s="2" t="s">
        <v>84</v>
      </c>
      <c r="AM87" s="2" t="s">
        <v>84</v>
      </c>
      <c r="AN87" s="2" t="s">
        <v>86</v>
      </c>
      <c r="AO87" s="2" t="s">
        <v>86</v>
      </c>
      <c r="AP87" s="2" t="s">
        <v>84</v>
      </c>
      <c r="AQ87" s="2" t="s">
        <v>85</v>
      </c>
      <c r="AR87" s="2"/>
      <c r="AS87" s="2" t="s">
        <v>80</v>
      </c>
      <c r="AT87" s="2"/>
      <c r="AU87" s="2"/>
      <c r="AV87" s="2" t="s">
        <v>79</v>
      </c>
      <c r="AW87" s="2"/>
      <c r="AX87" s="2" t="s">
        <v>1419</v>
      </c>
      <c r="AY87" s="2" t="s">
        <v>100</v>
      </c>
      <c r="AZ87" s="2" t="s">
        <v>1420</v>
      </c>
      <c r="BA87" s="2" t="s">
        <v>102</v>
      </c>
      <c r="BB87" s="2" t="s">
        <v>79</v>
      </c>
      <c r="BC87" s="2"/>
      <c r="BD87" s="2" t="s">
        <v>1421</v>
      </c>
      <c r="BE87" s="2" t="s">
        <v>104</v>
      </c>
      <c r="BF87" s="2" t="s">
        <v>1422</v>
      </c>
      <c r="BG87" s="2" t="s">
        <v>80</v>
      </c>
      <c r="BH87" s="2" t="s">
        <v>80</v>
      </c>
      <c r="BI87" s="2" t="s">
        <v>107</v>
      </c>
      <c r="BJ87" s="2" t="s">
        <v>1423</v>
      </c>
      <c r="BK87" s="2" t="s">
        <v>79</v>
      </c>
      <c r="BL87" s="2" t="s">
        <v>1424</v>
      </c>
      <c r="BM87" s="2">
        <v>1966</v>
      </c>
    </row>
    <row r="88" spans="1:65" ht="409.5" x14ac:dyDescent="0.25">
      <c r="A88" s="2" t="s">
        <v>1425</v>
      </c>
      <c r="B88" s="2" t="s">
        <v>80</v>
      </c>
      <c r="C88" s="2" t="s">
        <v>1427</v>
      </c>
      <c r="D88" s="2" t="s">
        <v>80</v>
      </c>
      <c r="E88" s="2"/>
      <c r="F88" s="2"/>
      <c r="G88" s="2" t="s">
        <v>143</v>
      </c>
      <c r="H88" s="2" t="s">
        <v>80</v>
      </c>
      <c r="I88" s="2"/>
      <c r="J88" s="2" t="s">
        <v>111</v>
      </c>
      <c r="K88" s="2" t="s">
        <v>79</v>
      </c>
      <c r="L88" s="2"/>
      <c r="M88" s="2" t="s">
        <v>1428</v>
      </c>
      <c r="N88" s="2"/>
      <c r="O88" s="2"/>
      <c r="P88" s="2" t="s">
        <v>80</v>
      </c>
      <c r="Q88" s="2"/>
      <c r="R88" s="2"/>
      <c r="S88" s="2"/>
      <c r="T88" s="2" t="s">
        <v>1429</v>
      </c>
      <c r="U88" s="2" t="s">
        <v>1430</v>
      </c>
      <c r="V88" s="2" t="s">
        <v>95</v>
      </c>
      <c r="W88" s="2"/>
      <c r="X88" s="2"/>
      <c r="Y88" s="2" t="s">
        <v>80</v>
      </c>
      <c r="Z88" s="2"/>
      <c r="AA88" s="2"/>
      <c r="AB88" s="2"/>
      <c r="AC88" s="2" t="s">
        <v>80</v>
      </c>
      <c r="AD88" s="2" t="s">
        <v>1431</v>
      </c>
      <c r="AE88" s="2" t="s">
        <v>1426</v>
      </c>
      <c r="AF88" s="2" t="s">
        <v>82</v>
      </c>
      <c r="AG88" s="2">
        <v>6.5</v>
      </c>
      <c r="AH88" s="2" t="s">
        <v>84</v>
      </c>
      <c r="AI88" s="2" t="s">
        <v>84</v>
      </c>
      <c r="AJ88" s="2" t="s">
        <v>84</v>
      </c>
      <c r="AK88" s="2" t="s">
        <v>86</v>
      </c>
      <c r="AL88" s="2" t="s">
        <v>84</v>
      </c>
      <c r="AM88" s="2" t="s">
        <v>84</v>
      </c>
      <c r="AN88" s="2" t="s">
        <v>84</v>
      </c>
      <c r="AO88" s="2" t="s">
        <v>86</v>
      </c>
      <c r="AP88" s="2" t="s">
        <v>86</v>
      </c>
      <c r="AQ88" s="2" t="s">
        <v>85</v>
      </c>
      <c r="AR88" s="2"/>
      <c r="AS88" s="2" t="s">
        <v>80</v>
      </c>
      <c r="AT88" s="2"/>
      <c r="AU88" s="2"/>
      <c r="AV88" s="2" t="s">
        <v>79</v>
      </c>
      <c r="AW88" s="2"/>
      <c r="AX88" s="2" t="s">
        <v>1432</v>
      </c>
      <c r="AY88" s="2" t="s">
        <v>303</v>
      </c>
      <c r="AZ88" s="2" t="s">
        <v>1433</v>
      </c>
      <c r="BA88" s="2" t="s">
        <v>514</v>
      </c>
      <c r="BB88" s="2" t="s">
        <v>79</v>
      </c>
      <c r="BC88" s="2" t="s">
        <v>1434</v>
      </c>
      <c r="BD88" s="2" t="s">
        <v>1435</v>
      </c>
      <c r="BE88" s="2" t="s">
        <v>648</v>
      </c>
      <c r="BF88" s="2"/>
      <c r="BG88" s="2" t="s">
        <v>80</v>
      </c>
      <c r="BH88" s="2" t="s">
        <v>79</v>
      </c>
      <c r="BI88" s="2"/>
      <c r="BJ88" s="2"/>
      <c r="BK88" s="2" t="s">
        <v>80</v>
      </c>
      <c r="BL88" s="2" t="s">
        <v>172</v>
      </c>
      <c r="BM88" s="2">
        <v>1994</v>
      </c>
    </row>
    <row r="89" spans="1:65" ht="409.5" x14ac:dyDescent="0.25">
      <c r="A89" s="2" t="s">
        <v>1357</v>
      </c>
      <c r="B89" s="2" t="s">
        <v>80</v>
      </c>
      <c r="C89" s="2" t="s">
        <v>1359</v>
      </c>
      <c r="D89" s="2" t="s">
        <v>79</v>
      </c>
      <c r="E89" s="2"/>
      <c r="F89" s="2" t="s">
        <v>1360</v>
      </c>
      <c r="G89" s="2" t="s">
        <v>89</v>
      </c>
      <c r="H89" s="2" t="s">
        <v>80</v>
      </c>
      <c r="I89" s="2" t="s">
        <v>116</v>
      </c>
      <c r="J89" s="2" t="s">
        <v>111</v>
      </c>
      <c r="K89" s="2" t="s">
        <v>79</v>
      </c>
      <c r="L89" s="2"/>
      <c r="M89" s="2" t="s">
        <v>1361</v>
      </c>
      <c r="N89" s="2"/>
      <c r="O89" s="2"/>
      <c r="P89" s="2" t="s">
        <v>80</v>
      </c>
      <c r="Q89" s="2"/>
      <c r="R89" s="2" t="s">
        <v>92</v>
      </c>
      <c r="S89" s="2" t="s">
        <v>1344</v>
      </c>
      <c r="T89" s="2"/>
      <c r="U89" s="2" t="s">
        <v>1362</v>
      </c>
      <c r="V89" s="2" t="s">
        <v>95</v>
      </c>
      <c r="W89" s="2" t="s">
        <v>1363</v>
      </c>
      <c r="X89" s="2" t="s">
        <v>1364</v>
      </c>
      <c r="Y89" s="2" t="s">
        <v>80</v>
      </c>
      <c r="Z89" s="2"/>
      <c r="AA89" s="2"/>
      <c r="AB89" s="2" t="s">
        <v>1365</v>
      </c>
      <c r="AC89" s="2" t="s">
        <v>79</v>
      </c>
      <c r="AD89" s="2" t="s">
        <v>1366</v>
      </c>
      <c r="AE89" s="2" t="s">
        <v>1358</v>
      </c>
      <c r="AF89" s="2" t="s">
        <v>82</v>
      </c>
      <c r="AG89" s="2">
        <v>8.5</v>
      </c>
      <c r="AH89" s="2" t="s">
        <v>84</v>
      </c>
      <c r="AI89" s="2" t="s">
        <v>84</v>
      </c>
      <c r="AJ89" s="2" t="s">
        <v>84</v>
      </c>
      <c r="AK89" s="2" t="s">
        <v>84</v>
      </c>
      <c r="AL89" s="2" t="s">
        <v>84</v>
      </c>
      <c r="AM89" s="2" t="s">
        <v>84</v>
      </c>
      <c r="AN89" s="2" t="s">
        <v>84</v>
      </c>
      <c r="AO89" s="2" t="s">
        <v>86</v>
      </c>
      <c r="AP89" s="2" t="s">
        <v>84</v>
      </c>
      <c r="AQ89" s="2" t="s">
        <v>85</v>
      </c>
      <c r="AR89" s="2" t="s">
        <v>80</v>
      </c>
      <c r="AS89" s="2" t="s">
        <v>80</v>
      </c>
      <c r="AT89" s="2"/>
      <c r="AU89" s="2" t="s">
        <v>80</v>
      </c>
      <c r="AV89" s="2" t="s">
        <v>79</v>
      </c>
      <c r="AW89" s="2"/>
      <c r="AX89" s="2" t="s">
        <v>1367</v>
      </c>
      <c r="AY89" s="2" t="s">
        <v>303</v>
      </c>
      <c r="AZ89" s="2" t="s">
        <v>1368</v>
      </c>
      <c r="BA89" s="2" t="s">
        <v>514</v>
      </c>
      <c r="BB89" s="2" t="s">
        <v>79</v>
      </c>
      <c r="BC89" s="2"/>
      <c r="BD89" s="2" t="s">
        <v>1369</v>
      </c>
      <c r="BE89" s="2" t="s">
        <v>153</v>
      </c>
      <c r="BF89" s="2"/>
      <c r="BG89" s="2" t="s">
        <v>80</v>
      </c>
      <c r="BH89" s="2" t="s">
        <v>79</v>
      </c>
      <c r="BI89" s="2" t="s">
        <v>107</v>
      </c>
      <c r="BJ89" s="2" t="s">
        <v>1370</v>
      </c>
      <c r="BK89" s="2" t="s">
        <v>79</v>
      </c>
      <c r="BL89" s="2" t="s">
        <v>268</v>
      </c>
      <c r="BM89" s="2">
        <v>2019</v>
      </c>
    </row>
    <row r="90" spans="1:65" ht="409.5" x14ac:dyDescent="0.25">
      <c r="A90" s="2" t="s">
        <v>1457</v>
      </c>
      <c r="B90" s="2" t="s">
        <v>80</v>
      </c>
      <c r="C90" s="2" t="s">
        <v>1459</v>
      </c>
      <c r="D90" s="2" t="s">
        <v>80</v>
      </c>
      <c r="E90" s="2"/>
      <c r="F90" s="2"/>
      <c r="G90" s="2" t="s">
        <v>143</v>
      </c>
      <c r="H90" s="2" t="s">
        <v>80</v>
      </c>
      <c r="I90" s="2"/>
      <c r="J90" s="2" t="s">
        <v>111</v>
      </c>
      <c r="K90" s="2" t="s">
        <v>79</v>
      </c>
      <c r="L90" s="2"/>
      <c r="M90" s="2" t="s">
        <v>1460</v>
      </c>
      <c r="N90" s="2"/>
      <c r="O90" s="2"/>
      <c r="P90" s="2" t="s">
        <v>80</v>
      </c>
      <c r="Q90" s="2"/>
      <c r="R90" s="2"/>
      <c r="S90" s="2"/>
      <c r="T90" s="2" t="s">
        <v>93</v>
      </c>
      <c r="U90" s="2" t="s">
        <v>1461</v>
      </c>
      <c r="V90" s="2" t="s">
        <v>95</v>
      </c>
      <c r="W90" s="2"/>
      <c r="X90" s="2"/>
      <c r="Y90" s="2" t="s">
        <v>80</v>
      </c>
      <c r="Z90" s="2"/>
      <c r="AA90" s="2"/>
      <c r="AB90" s="2"/>
      <c r="AC90" s="2" t="s">
        <v>80</v>
      </c>
      <c r="AD90" s="2" t="s">
        <v>1462</v>
      </c>
      <c r="AE90" s="2" t="s">
        <v>1458</v>
      </c>
      <c r="AF90" s="2" t="s">
        <v>82</v>
      </c>
      <c r="AG90" s="2">
        <v>7.5</v>
      </c>
      <c r="AH90" s="2" t="s">
        <v>84</v>
      </c>
      <c r="AI90" s="2" t="s">
        <v>84</v>
      </c>
      <c r="AJ90" s="2" t="s">
        <v>84</v>
      </c>
      <c r="AK90" s="2" t="s">
        <v>86</v>
      </c>
      <c r="AL90" s="2" t="s">
        <v>84</v>
      </c>
      <c r="AM90" s="2" t="s">
        <v>84</v>
      </c>
      <c r="AN90" s="2" t="s">
        <v>84</v>
      </c>
      <c r="AO90" s="2" t="s">
        <v>86</v>
      </c>
      <c r="AP90" s="2" t="s">
        <v>85</v>
      </c>
      <c r="AQ90" s="2" t="s">
        <v>84</v>
      </c>
      <c r="AR90" s="2"/>
      <c r="AS90" s="2" t="s">
        <v>80</v>
      </c>
      <c r="AT90" s="2"/>
      <c r="AU90" s="2"/>
      <c r="AV90" s="2" t="s">
        <v>79</v>
      </c>
      <c r="AW90" s="2"/>
      <c r="AX90" s="2" t="s">
        <v>1463</v>
      </c>
      <c r="AY90" s="2" t="s">
        <v>303</v>
      </c>
      <c r="AZ90" s="2" t="s">
        <v>1464</v>
      </c>
      <c r="BA90" s="2" t="s">
        <v>514</v>
      </c>
      <c r="BB90" s="2" t="s">
        <v>79</v>
      </c>
      <c r="BC90" s="2" t="s">
        <v>1434</v>
      </c>
      <c r="BD90" s="2" t="s">
        <v>1465</v>
      </c>
      <c r="BE90" s="2" t="s">
        <v>648</v>
      </c>
      <c r="BF90" s="2"/>
      <c r="BG90" s="2" t="s">
        <v>80</v>
      </c>
      <c r="BH90" s="2" t="s">
        <v>79</v>
      </c>
      <c r="BI90" s="2"/>
      <c r="BJ90" s="2"/>
      <c r="BK90" s="2" t="s">
        <v>80</v>
      </c>
      <c r="BL90" s="2" t="s">
        <v>172</v>
      </c>
      <c r="BM90" s="2">
        <v>2015</v>
      </c>
    </row>
    <row r="91" spans="1:65" ht="409.5" x14ac:dyDescent="0.25">
      <c r="A91" s="2" t="s">
        <v>1475</v>
      </c>
      <c r="B91" s="2" t="s">
        <v>80</v>
      </c>
      <c r="C91" s="2" t="s">
        <v>1477</v>
      </c>
      <c r="D91" s="2" t="s">
        <v>79</v>
      </c>
      <c r="E91" s="2"/>
      <c r="F91" s="2"/>
      <c r="G91" s="2" t="s">
        <v>143</v>
      </c>
      <c r="H91" s="2" t="s">
        <v>80</v>
      </c>
      <c r="I91" s="2" t="s">
        <v>90</v>
      </c>
      <c r="J91" s="2" t="s">
        <v>111</v>
      </c>
      <c r="K91" s="2" t="s">
        <v>79</v>
      </c>
      <c r="L91" s="2"/>
      <c r="M91" s="2"/>
      <c r="N91" s="2" t="s">
        <v>143</v>
      </c>
      <c r="O91" s="2" t="s">
        <v>619</v>
      </c>
      <c r="P91" s="2" t="s">
        <v>79</v>
      </c>
      <c r="Q91" s="2" t="s">
        <v>1478</v>
      </c>
      <c r="R91" s="2" t="s">
        <v>92</v>
      </c>
      <c r="S91" s="2" t="s">
        <v>1000</v>
      </c>
      <c r="T91" s="2" t="s">
        <v>118</v>
      </c>
      <c r="U91" s="2" t="s">
        <v>1479</v>
      </c>
      <c r="V91" s="2" t="s">
        <v>95</v>
      </c>
      <c r="W91" s="2" t="s">
        <v>1480</v>
      </c>
      <c r="X91" s="2" t="s">
        <v>1481</v>
      </c>
      <c r="Y91" s="2" t="s">
        <v>80</v>
      </c>
      <c r="Z91" s="2"/>
      <c r="AA91" s="2"/>
      <c r="AB91" s="2" t="s">
        <v>1482</v>
      </c>
      <c r="AC91" s="2" t="s">
        <v>79</v>
      </c>
      <c r="AD91" s="2" t="s">
        <v>1483</v>
      </c>
      <c r="AE91" s="2" t="s">
        <v>1476</v>
      </c>
      <c r="AF91" s="2" t="s">
        <v>82</v>
      </c>
      <c r="AG91" s="2">
        <v>7.5</v>
      </c>
      <c r="AH91" s="2" t="s">
        <v>84</v>
      </c>
      <c r="AI91" s="2" t="s">
        <v>84</v>
      </c>
      <c r="AJ91" s="2" t="s">
        <v>84</v>
      </c>
      <c r="AK91" s="2" t="s">
        <v>86</v>
      </c>
      <c r="AL91" s="2" t="s">
        <v>84</v>
      </c>
      <c r="AM91" s="2" t="s">
        <v>84</v>
      </c>
      <c r="AN91" s="2" t="s">
        <v>84</v>
      </c>
      <c r="AO91" s="2" t="s">
        <v>84</v>
      </c>
      <c r="AP91" s="2" t="s">
        <v>86</v>
      </c>
      <c r="AQ91" s="2" t="s">
        <v>85</v>
      </c>
      <c r="AR91" s="2" t="s">
        <v>106</v>
      </c>
      <c r="AS91" s="2" t="s">
        <v>80</v>
      </c>
      <c r="AT91" s="2"/>
      <c r="AU91" s="2" t="s">
        <v>106</v>
      </c>
      <c r="AV91" s="2" t="s">
        <v>79</v>
      </c>
      <c r="AW91" s="2"/>
      <c r="AX91" s="2"/>
      <c r="AY91" s="2" t="s">
        <v>1143</v>
      </c>
      <c r="AZ91" s="2" t="s">
        <v>1484</v>
      </c>
      <c r="BA91" s="2" t="s">
        <v>514</v>
      </c>
      <c r="BB91" s="2" t="s">
        <v>79</v>
      </c>
      <c r="BC91" s="2" t="s">
        <v>1485</v>
      </c>
      <c r="BD91" s="2" t="s">
        <v>1486</v>
      </c>
      <c r="BE91" s="2" t="s">
        <v>648</v>
      </c>
      <c r="BF91" s="2"/>
      <c r="BG91" s="2" t="s">
        <v>80</v>
      </c>
      <c r="BH91" s="2" t="s">
        <v>79</v>
      </c>
      <c r="BI91" s="2" t="s">
        <v>155</v>
      </c>
      <c r="BJ91" s="2"/>
      <c r="BK91" s="2" t="s">
        <v>80</v>
      </c>
      <c r="BL91" s="2" t="s">
        <v>172</v>
      </c>
      <c r="BM91" s="2">
        <v>2019</v>
      </c>
    </row>
    <row r="92" spans="1:65" ht="409.5" x14ac:dyDescent="0.25">
      <c r="A92" s="2" t="s">
        <v>1526</v>
      </c>
      <c r="B92" s="2" t="s">
        <v>92</v>
      </c>
      <c r="C92" s="2" t="s">
        <v>1529</v>
      </c>
      <c r="D92" s="2" t="s">
        <v>79</v>
      </c>
      <c r="E92" s="2"/>
      <c r="F92" s="2" t="s">
        <v>1530</v>
      </c>
      <c r="G92" s="2" t="s">
        <v>89</v>
      </c>
      <c r="H92" s="2" t="s">
        <v>79</v>
      </c>
      <c r="I92" s="2" t="s">
        <v>116</v>
      </c>
      <c r="J92" s="2" t="s">
        <v>111</v>
      </c>
      <c r="K92" s="2" t="s">
        <v>79</v>
      </c>
      <c r="L92" s="2"/>
      <c r="M92" s="2" t="s">
        <v>1531</v>
      </c>
      <c r="N92" s="2" t="s">
        <v>143</v>
      </c>
      <c r="O92" s="2" t="s">
        <v>277</v>
      </c>
      <c r="P92" s="2" t="s">
        <v>79</v>
      </c>
      <c r="Q92" s="2" t="s">
        <v>1532</v>
      </c>
      <c r="R92" s="2" t="s">
        <v>92</v>
      </c>
      <c r="S92" s="2" t="s">
        <v>1527</v>
      </c>
      <c r="T92" s="2"/>
      <c r="U92" s="2" t="s">
        <v>1533</v>
      </c>
      <c r="V92" s="2" t="s">
        <v>95</v>
      </c>
      <c r="W92" s="2" t="s">
        <v>1534</v>
      </c>
      <c r="X92" s="2" t="s">
        <v>1535</v>
      </c>
      <c r="Y92" s="2" t="s">
        <v>80</v>
      </c>
      <c r="Z92" s="2"/>
      <c r="AA92" s="2"/>
      <c r="AB92" s="2" t="s">
        <v>1536</v>
      </c>
      <c r="AC92" s="2" t="s">
        <v>79</v>
      </c>
      <c r="AD92" s="2" t="s">
        <v>1537</v>
      </c>
      <c r="AE92" s="2" t="s">
        <v>1528</v>
      </c>
      <c r="AF92" s="2" t="s">
        <v>82</v>
      </c>
      <c r="AG92" s="2">
        <v>9.5</v>
      </c>
      <c r="AH92" s="2" t="s">
        <v>84</v>
      </c>
      <c r="AI92" s="2" t="s">
        <v>84</v>
      </c>
      <c r="AJ92" s="2" t="s">
        <v>84</v>
      </c>
      <c r="AK92" s="2" t="s">
        <v>84</v>
      </c>
      <c r="AL92" s="2" t="s">
        <v>84</v>
      </c>
      <c r="AM92" s="2" t="s">
        <v>84</v>
      </c>
      <c r="AN92" s="2" t="s">
        <v>84</v>
      </c>
      <c r="AO92" s="2" t="s">
        <v>84</v>
      </c>
      <c r="AP92" s="2" t="s">
        <v>84</v>
      </c>
      <c r="AQ92" s="2" t="s">
        <v>85</v>
      </c>
      <c r="AR92" s="2" t="s">
        <v>106</v>
      </c>
      <c r="AS92" s="2" t="s">
        <v>80</v>
      </c>
      <c r="AT92" s="2"/>
      <c r="AU92" s="2" t="s">
        <v>106</v>
      </c>
      <c r="AV92" s="2" t="s">
        <v>79</v>
      </c>
      <c r="AW92" s="2"/>
      <c r="AX92" s="2" t="s">
        <v>1538</v>
      </c>
      <c r="AY92" s="2" t="s">
        <v>100</v>
      </c>
      <c r="AZ92" s="2" t="s">
        <v>1539</v>
      </c>
      <c r="BA92" s="2" t="s">
        <v>102</v>
      </c>
      <c r="BB92" s="2" t="s">
        <v>79</v>
      </c>
      <c r="BC92" s="2"/>
      <c r="BD92" s="2" t="s">
        <v>1540</v>
      </c>
      <c r="BE92" s="2" t="s">
        <v>153</v>
      </c>
      <c r="BF92" s="2" t="s">
        <v>1541</v>
      </c>
      <c r="BG92" s="2" t="s">
        <v>79</v>
      </c>
      <c r="BH92" s="2" t="s">
        <v>79</v>
      </c>
      <c r="BI92" s="2" t="s">
        <v>563</v>
      </c>
      <c r="BJ92" s="2" t="s">
        <v>1542</v>
      </c>
      <c r="BK92" s="2" t="s">
        <v>79</v>
      </c>
      <c r="BL92" s="2" t="s">
        <v>109</v>
      </c>
      <c r="BM92" s="2">
        <v>2023</v>
      </c>
    </row>
    <row r="93" spans="1:65" ht="409.5" x14ac:dyDescent="0.25">
      <c r="A93" s="2" t="s">
        <v>1466</v>
      </c>
      <c r="B93" s="2" t="s">
        <v>80</v>
      </c>
      <c r="C93" s="2" t="s">
        <v>1468</v>
      </c>
      <c r="D93" s="2" t="s">
        <v>80</v>
      </c>
      <c r="E93" s="2"/>
      <c r="F93" s="2"/>
      <c r="G93" s="2" t="s">
        <v>143</v>
      </c>
      <c r="H93" s="2" t="s">
        <v>80</v>
      </c>
      <c r="I93" s="2"/>
      <c r="J93" s="2" t="s">
        <v>111</v>
      </c>
      <c r="K93" s="2" t="s">
        <v>79</v>
      </c>
      <c r="L93" s="2"/>
      <c r="M93" s="2" t="s">
        <v>1469</v>
      </c>
      <c r="N93" s="2"/>
      <c r="O93" s="2"/>
      <c r="P93" s="2" t="s">
        <v>80</v>
      </c>
      <c r="Q93" s="2"/>
      <c r="R93" s="2"/>
      <c r="S93" s="2"/>
      <c r="T93" s="2" t="s">
        <v>118</v>
      </c>
      <c r="U93" s="2" t="s">
        <v>1470</v>
      </c>
      <c r="V93" s="2" t="s">
        <v>95</v>
      </c>
      <c r="W93" s="2"/>
      <c r="X93" s="2"/>
      <c r="Y93" s="2" t="s">
        <v>80</v>
      </c>
      <c r="Z93" s="2"/>
      <c r="AA93" s="2"/>
      <c r="AB93" s="2"/>
      <c r="AC93" s="2" t="s">
        <v>80</v>
      </c>
      <c r="AD93" s="2" t="s">
        <v>1471</v>
      </c>
      <c r="AE93" s="2" t="s">
        <v>1467</v>
      </c>
      <c r="AF93" s="2" t="s">
        <v>82</v>
      </c>
      <c r="AG93" s="2">
        <v>6.5</v>
      </c>
      <c r="AH93" s="2" t="s">
        <v>84</v>
      </c>
      <c r="AI93" s="2" t="s">
        <v>84</v>
      </c>
      <c r="AJ93" s="2" t="s">
        <v>84</v>
      </c>
      <c r="AK93" s="2" t="s">
        <v>86</v>
      </c>
      <c r="AL93" s="2" t="s">
        <v>84</v>
      </c>
      <c r="AM93" s="2" t="s">
        <v>84</v>
      </c>
      <c r="AN93" s="2" t="s">
        <v>84</v>
      </c>
      <c r="AO93" s="2" t="s">
        <v>86</v>
      </c>
      <c r="AP93" s="2" t="s">
        <v>86</v>
      </c>
      <c r="AQ93" s="2" t="s">
        <v>85</v>
      </c>
      <c r="AR93" s="2"/>
      <c r="AS93" s="2" t="s">
        <v>80</v>
      </c>
      <c r="AT93" s="2"/>
      <c r="AU93" s="2"/>
      <c r="AV93" s="2" t="s">
        <v>79</v>
      </c>
      <c r="AW93" s="2"/>
      <c r="AX93" s="2" t="s">
        <v>1472</v>
      </c>
      <c r="AY93" s="2" t="s">
        <v>303</v>
      </c>
      <c r="AZ93" s="2" t="s">
        <v>1473</v>
      </c>
      <c r="BA93" s="2" t="s">
        <v>514</v>
      </c>
      <c r="BB93" s="2" t="s">
        <v>79</v>
      </c>
      <c r="BC93" s="2" t="s">
        <v>1434</v>
      </c>
      <c r="BD93" s="2" t="s">
        <v>1474</v>
      </c>
      <c r="BE93" s="2" t="s">
        <v>648</v>
      </c>
      <c r="BF93" s="2"/>
      <c r="BG93" s="2" t="s">
        <v>80</v>
      </c>
      <c r="BH93" s="2" t="s">
        <v>79</v>
      </c>
      <c r="BI93" s="2"/>
      <c r="BJ93" s="2"/>
      <c r="BK93" s="2" t="s">
        <v>80</v>
      </c>
      <c r="BL93" s="2" t="s">
        <v>172</v>
      </c>
      <c r="BM93" s="2">
        <v>2014</v>
      </c>
    </row>
    <row r="94" spans="1:65" ht="409.5" x14ac:dyDescent="0.25">
      <c r="A94" s="2" t="s">
        <v>1543</v>
      </c>
      <c r="B94" s="2" t="s">
        <v>92</v>
      </c>
      <c r="C94" s="2" t="s">
        <v>1546</v>
      </c>
      <c r="D94" s="2" t="s">
        <v>79</v>
      </c>
      <c r="E94" s="2"/>
      <c r="F94" s="2" t="s">
        <v>1547</v>
      </c>
      <c r="G94" s="2" t="s">
        <v>89</v>
      </c>
      <c r="H94" s="2" t="s">
        <v>106</v>
      </c>
      <c r="I94" s="2" t="s">
        <v>116</v>
      </c>
      <c r="J94" s="2" t="s">
        <v>111</v>
      </c>
      <c r="K94" s="2" t="s">
        <v>79</v>
      </c>
      <c r="L94" s="2"/>
      <c r="M94" s="2" t="s">
        <v>1548</v>
      </c>
      <c r="N94" s="2"/>
      <c r="O94" s="2" t="s">
        <v>155</v>
      </c>
      <c r="P94" s="2" t="s">
        <v>79</v>
      </c>
      <c r="Q94" s="2" t="s">
        <v>1549</v>
      </c>
      <c r="R94" s="2" t="s">
        <v>92</v>
      </c>
      <c r="S94" s="2" t="s">
        <v>1544</v>
      </c>
      <c r="T94" s="2" t="s">
        <v>465</v>
      </c>
      <c r="U94" s="2" t="s">
        <v>1550</v>
      </c>
      <c r="V94" s="2" t="s">
        <v>95</v>
      </c>
      <c r="W94" s="2" t="s">
        <v>1551</v>
      </c>
      <c r="X94" s="2" t="s">
        <v>1552</v>
      </c>
      <c r="Y94" s="2" t="s">
        <v>80</v>
      </c>
      <c r="Z94" s="2"/>
      <c r="AA94" s="2"/>
      <c r="AB94" s="2" t="s">
        <v>1553</v>
      </c>
      <c r="AC94" s="2" t="s">
        <v>79</v>
      </c>
      <c r="AD94" s="2" t="s">
        <v>1554</v>
      </c>
      <c r="AE94" s="2" t="s">
        <v>1545</v>
      </c>
      <c r="AF94" s="2" t="s">
        <v>82</v>
      </c>
      <c r="AG94" s="2">
        <v>9</v>
      </c>
      <c r="AH94" s="2" t="s">
        <v>84</v>
      </c>
      <c r="AI94" s="2" t="s">
        <v>84</v>
      </c>
      <c r="AJ94" s="2" t="s">
        <v>84</v>
      </c>
      <c r="AK94" s="2" t="s">
        <v>84</v>
      </c>
      <c r="AL94" s="2" t="s">
        <v>84</v>
      </c>
      <c r="AM94" s="2" t="s">
        <v>84</v>
      </c>
      <c r="AN94" s="2" t="s">
        <v>84</v>
      </c>
      <c r="AO94" s="2" t="s">
        <v>86</v>
      </c>
      <c r="AP94" s="2" t="s">
        <v>84</v>
      </c>
      <c r="AQ94" s="2" t="s">
        <v>84</v>
      </c>
      <c r="AR94" s="2" t="s">
        <v>106</v>
      </c>
      <c r="AS94" s="2" t="s">
        <v>80</v>
      </c>
      <c r="AT94" s="2"/>
      <c r="AU94" s="2" t="s">
        <v>106</v>
      </c>
      <c r="AV94" s="2" t="s">
        <v>79</v>
      </c>
      <c r="AW94" s="2"/>
      <c r="AX94" s="2" t="s">
        <v>1555</v>
      </c>
      <c r="AY94" s="2" t="s">
        <v>100</v>
      </c>
      <c r="AZ94" s="2" t="s">
        <v>1556</v>
      </c>
      <c r="BA94" s="2" t="s">
        <v>1557</v>
      </c>
      <c r="BB94" s="2" t="s">
        <v>79</v>
      </c>
      <c r="BC94" s="2"/>
      <c r="BD94" s="2" t="s">
        <v>1558</v>
      </c>
      <c r="BE94" s="2" t="s">
        <v>153</v>
      </c>
      <c r="BF94" s="2" t="s">
        <v>1559</v>
      </c>
      <c r="BG94" s="2" t="s">
        <v>92</v>
      </c>
      <c r="BH94" s="2" t="s">
        <v>79</v>
      </c>
      <c r="BI94" s="2" t="s">
        <v>107</v>
      </c>
      <c r="BJ94" s="2" t="s">
        <v>1560</v>
      </c>
      <c r="BK94" s="2" t="s">
        <v>79</v>
      </c>
      <c r="BL94" s="2" t="s">
        <v>109</v>
      </c>
      <c r="BM94" s="2">
        <v>2020</v>
      </c>
    </row>
    <row r="95" spans="1:65" ht="409.5" x14ac:dyDescent="0.25">
      <c r="A95" s="2" t="s">
        <v>1501</v>
      </c>
      <c r="B95" s="2" t="s">
        <v>80</v>
      </c>
      <c r="C95" s="2" t="s">
        <v>1503</v>
      </c>
      <c r="D95" s="2" t="s">
        <v>79</v>
      </c>
      <c r="E95" s="2"/>
      <c r="F95" s="2" t="s">
        <v>1504</v>
      </c>
      <c r="G95" s="2"/>
      <c r="H95" s="2" t="s">
        <v>106</v>
      </c>
      <c r="I95" s="2"/>
      <c r="J95" s="2" t="s">
        <v>111</v>
      </c>
      <c r="K95" s="2" t="s">
        <v>79</v>
      </c>
      <c r="L95" s="2"/>
      <c r="M95" s="2" t="s">
        <v>1505</v>
      </c>
      <c r="N95" s="2"/>
      <c r="O95" s="2" t="s">
        <v>155</v>
      </c>
      <c r="P95" s="2" t="s">
        <v>80</v>
      </c>
      <c r="Q95" s="2"/>
      <c r="R95" s="2" t="s">
        <v>92</v>
      </c>
      <c r="S95" s="2" t="s">
        <v>1488</v>
      </c>
      <c r="T95" s="2"/>
      <c r="U95" s="2" t="s">
        <v>1506</v>
      </c>
      <c r="V95" s="2" t="s">
        <v>95</v>
      </c>
      <c r="W95" s="2" t="s">
        <v>1507</v>
      </c>
      <c r="X95" s="2" t="s">
        <v>1508</v>
      </c>
      <c r="Y95" s="2" t="s">
        <v>80</v>
      </c>
      <c r="Z95" s="2"/>
      <c r="AA95" s="2"/>
      <c r="AB95" s="2"/>
      <c r="AC95" s="2" t="s">
        <v>79</v>
      </c>
      <c r="AD95" s="2" t="s">
        <v>1509</v>
      </c>
      <c r="AE95" s="2" t="s">
        <v>1502</v>
      </c>
      <c r="AF95" s="2" t="s">
        <v>82</v>
      </c>
      <c r="AG95" s="2">
        <v>9</v>
      </c>
      <c r="AH95" s="2" t="s">
        <v>84</v>
      </c>
      <c r="AI95" s="2" t="s">
        <v>84</v>
      </c>
      <c r="AJ95" s="2" t="s">
        <v>84</v>
      </c>
      <c r="AK95" s="2" t="s">
        <v>84</v>
      </c>
      <c r="AL95" s="2" t="s">
        <v>84</v>
      </c>
      <c r="AM95" s="2" t="s">
        <v>84</v>
      </c>
      <c r="AN95" s="2" t="s">
        <v>84</v>
      </c>
      <c r="AO95" s="2" t="s">
        <v>84</v>
      </c>
      <c r="AP95" s="2" t="s">
        <v>86</v>
      </c>
      <c r="AQ95" s="2" t="s">
        <v>84</v>
      </c>
      <c r="AR95" s="2" t="s">
        <v>106</v>
      </c>
      <c r="AS95" s="2" t="s">
        <v>80</v>
      </c>
      <c r="AT95" s="2"/>
      <c r="AU95" s="2" t="s">
        <v>106</v>
      </c>
      <c r="AV95" s="2" t="s">
        <v>79</v>
      </c>
      <c r="AW95" s="2"/>
      <c r="AX95" s="2" t="s">
        <v>1510</v>
      </c>
      <c r="AY95" s="2" t="s">
        <v>303</v>
      </c>
      <c r="AZ95" s="2" t="s">
        <v>1511</v>
      </c>
      <c r="BA95" s="2" t="s">
        <v>514</v>
      </c>
      <c r="BB95" s="2" t="s">
        <v>79</v>
      </c>
      <c r="BC95" s="2"/>
      <c r="BD95" s="2" t="s">
        <v>1512</v>
      </c>
      <c r="BE95" s="2"/>
      <c r="BF95" s="2"/>
      <c r="BG95" s="2" t="s">
        <v>80</v>
      </c>
      <c r="BH95" s="2" t="s">
        <v>79</v>
      </c>
      <c r="BI95" s="2" t="s">
        <v>155</v>
      </c>
      <c r="BJ95" s="2"/>
      <c r="BK95" s="2" t="s">
        <v>80</v>
      </c>
      <c r="BL95" s="2" t="s">
        <v>172</v>
      </c>
      <c r="BM95" s="2">
        <v>2020</v>
      </c>
    </row>
    <row r="96" spans="1:65" ht="409.5" x14ac:dyDescent="0.25">
      <c r="A96" s="2" t="s">
        <v>1561</v>
      </c>
      <c r="B96" s="2" t="s">
        <v>80</v>
      </c>
      <c r="C96" s="2" t="s">
        <v>1563</v>
      </c>
      <c r="D96" s="2" t="s">
        <v>79</v>
      </c>
      <c r="E96" s="2"/>
      <c r="F96" s="2" t="s">
        <v>1564</v>
      </c>
      <c r="G96" s="2" t="s">
        <v>143</v>
      </c>
      <c r="H96" s="2" t="s">
        <v>106</v>
      </c>
      <c r="I96" s="2" t="s">
        <v>90</v>
      </c>
      <c r="J96" s="2" t="s">
        <v>111</v>
      </c>
      <c r="K96" s="2" t="s">
        <v>79</v>
      </c>
      <c r="L96" s="2"/>
      <c r="M96" s="2" t="s">
        <v>1565</v>
      </c>
      <c r="N96" s="2"/>
      <c r="O96" s="2" t="s">
        <v>155</v>
      </c>
      <c r="P96" s="2" t="s">
        <v>80</v>
      </c>
      <c r="Q96" s="2"/>
      <c r="R96" s="2" t="s">
        <v>92</v>
      </c>
      <c r="S96" s="2" t="s">
        <v>1527</v>
      </c>
      <c r="T96" s="2"/>
      <c r="U96" s="2" t="s">
        <v>1566</v>
      </c>
      <c r="V96" s="2" t="s">
        <v>95</v>
      </c>
      <c r="W96" s="2" t="s">
        <v>1567</v>
      </c>
      <c r="X96" s="2" t="s">
        <v>1568</v>
      </c>
      <c r="Y96" s="2" t="s">
        <v>80</v>
      </c>
      <c r="Z96" s="2"/>
      <c r="AA96" s="2"/>
      <c r="AB96" s="2" t="s">
        <v>1569</v>
      </c>
      <c r="AC96" s="2" t="s">
        <v>79</v>
      </c>
      <c r="AD96" s="2" t="s">
        <v>1570</v>
      </c>
      <c r="AE96" s="2" t="s">
        <v>1562</v>
      </c>
      <c r="AF96" s="2" t="s">
        <v>82</v>
      </c>
      <c r="AG96" s="2">
        <v>8</v>
      </c>
      <c r="AH96" s="2" t="s">
        <v>84</v>
      </c>
      <c r="AI96" s="2" t="s">
        <v>84</v>
      </c>
      <c r="AJ96" s="2" t="s">
        <v>84</v>
      </c>
      <c r="AK96" s="2" t="s">
        <v>84</v>
      </c>
      <c r="AL96" s="2" t="s">
        <v>84</v>
      </c>
      <c r="AM96" s="2" t="s">
        <v>84</v>
      </c>
      <c r="AN96" s="2" t="s">
        <v>84</v>
      </c>
      <c r="AO96" s="2" t="s">
        <v>86</v>
      </c>
      <c r="AP96" s="2" t="s">
        <v>86</v>
      </c>
      <c r="AQ96" s="2" t="s">
        <v>84</v>
      </c>
      <c r="AR96" s="2" t="s">
        <v>106</v>
      </c>
      <c r="AS96" s="2" t="s">
        <v>80</v>
      </c>
      <c r="AT96" s="2"/>
      <c r="AU96" s="2" t="s">
        <v>106</v>
      </c>
      <c r="AV96" s="2" t="s">
        <v>79</v>
      </c>
      <c r="AW96" s="2"/>
      <c r="AX96" s="2" t="s">
        <v>1571</v>
      </c>
      <c r="AY96" s="2" t="s">
        <v>100</v>
      </c>
      <c r="AZ96" s="2" t="s">
        <v>1572</v>
      </c>
      <c r="BA96" s="2" t="s">
        <v>286</v>
      </c>
      <c r="BB96" s="2" t="s">
        <v>79</v>
      </c>
      <c r="BC96" s="2"/>
      <c r="BD96" s="2" t="s">
        <v>1573</v>
      </c>
      <c r="BE96" s="2" t="s">
        <v>153</v>
      </c>
      <c r="BF96" s="2" t="s">
        <v>1574</v>
      </c>
      <c r="BG96" s="2" t="s">
        <v>79</v>
      </c>
      <c r="BH96" s="2" t="s">
        <v>79</v>
      </c>
      <c r="BI96" s="2" t="s">
        <v>155</v>
      </c>
      <c r="BJ96" s="2"/>
      <c r="BK96" s="2" t="s">
        <v>80</v>
      </c>
      <c r="BL96" s="2" t="s">
        <v>268</v>
      </c>
      <c r="BM96" s="2">
        <v>2020</v>
      </c>
    </row>
    <row r="97" spans="1:65" ht="409.5" x14ac:dyDescent="0.25">
      <c r="A97" s="2" t="s">
        <v>1513</v>
      </c>
      <c r="B97" s="2" t="s">
        <v>80</v>
      </c>
      <c r="C97" s="2" t="s">
        <v>1515</v>
      </c>
      <c r="D97" s="2" t="s">
        <v>79</v>
      </c>
      <c r="E97" s="2"/>
      <c r="F97" s="2" t="s">
        <v>1516</v>
      </c>
      <c r="G97" s="2"/>
      <c r="H97" s="2" t="s">
        <v>80</v>
      </c>
      <c r="I97" s="2"/>
      <c r="J97" s="2" t="s">
        <v>111</v>
      </c>
      <c r="K97" s="2" t="s">
        <v>79</v>
      </c>
      <c r="L97" s="2"/>
      <c r="M97" s="2" t="s">
        <v>1517</v>
      </c>
      <c r="N97" s="2"/>
      <c r="O97" s="2" t="s">
        <v>155</v>
      </c>
      <c r="P97" s="2" t="s">
        <v>80</v>
      </c>
      <c r="Q97" s="2"/>
      <c r="R97" s="2"/>
      <c r="S97" s="2" t="s">
        <v>1488</v>
      </c>
      <c r="T97" s="2"/>
      <c r="U97" s="2" t="s">
        <v>1518</v>
      </c>
      <c r="V97" s="2" t="s">
        <v>95</v>
      </c>
      <c r="W97" s="2" t="s">
        <v>1519</v>
      </c>
      <c r="X97" s="2" t="s">
        <v>1520</v>
      </c>
      <c r="Y97" s="2" t="s">
        <v>80</v>
      </c>
      <c r="Z97" s="2"/>
      <c r="AA97" s="2"/>
      <c r="AB97" s="2" t="s">
        <v>1521</v>
      </c>
      <c r="AC97" s="2" t="s">
        <v>80</v>
      </c>
      <c r="AD97" s="2" t="s">
        <v>1522</v>
      </c>
      <c r="AE97" s="2" t="s">
        <v>1514</v>
      </c>
      <c r="AF97" s="2" t="s">
        <v>82</v>
      </c>
      <c r="AG97" s="2">
        <v>8</v>
      </c>
      <c r="AH97" s="2" t="s">
        <v>84</v>
      </c>
      <c r="AI97" s="2" t="s">
        <v>84</v>
      </c>
      <c r="AJ97" s="2" t="s">
        <v>84</v>
      </c>
      <c r="AK97" s="2" t="s">
        <v>86</v>
      </c>
      <c r="AL97" s="2" t="s">
        <v>84</v>
      </c>
      <c r="AM97" s="2" t="s">
        <v>84</v>
      </c>
      <c r="AN97" s="2" t="s">
        <v>84</v>
      </c>
      <c r="AO97" s="2" t="s">
        <v>84</v>
      </c>
      <c r="AP97" s="2" t="s">
        <v>86</v>
      </c>
      <c r="AQ97" s="2" t="s">
        <v>84</v>
      </c>
      <c r="AR97" s="2" t="s">
        <v>106</v>
      </c>
      <c r="AS97" s="2" t="s">
        <v>80</v>
      </c>
      <c r="AT97" s="2"/>
      <c r="AU97" s="2" t="s">
        <v>106</v>
      </c>
      <c r="AV97" s="2" t="s">
        <v>79</v>
      </c>
      <c r="AW97" s="2"/>
      <c r="AX97" s="2" t="s">
        <v>1523</v>
      </c>
      <c r="AY97" s="2" t="s">
        <v>1143</v>
      </c>
      <c r="AZ97" s="2" t="s">
        <v>1524</v>
      </c>
      <c r="BA97" s="2" t="s">
        <v>514</v>
      </c>
      <c r="BB97" s="2" t="s">
        <v>79</v>
      </c>
      <c r="BC97" s="2"/>
      <c r="BD97" s="2" t="s">
        <v>1525</v>
      </c>
      <c r="BE97" s="2"/>
      <c r="BF97" s="2"/>
      <c r="BG97" s="2" t="s">
        <v>80</v>
      </c>
      <c r="BH97" s="2" t="s">
        <v>79</v>
      </c>
      <c r="BI97" s="2" t="s">
        <v>155</v>
      </c>
      <c r="BJ97" s="2"/>
      <c r="BK97" s="2" t="s">
        <v>80</v>
      </c>
      <c r="BL97" s="2" t="s">
        <v>109</v>
      </c>
      <c r="BM97" s="2">
        <v>2020</v>
      </c>
    </row>
    <row r="98" spans="1:65" ht="409.5" x14ac:dyDescent="0.25">
      <c r="A98" s="2" t="s">
        <v>1630</v>
      </c>
      <c r="B98" s="2" t="s">
        <v>92</v>
      </c>
      <c r="C98" s="2" t="s">
        <v>1632</v>
      </c>
      <c r="D98" s="2" t="s">
        <v>79</v>
      </c>
      <c r="E98" s="2" t="s">
        <v>79</v>
      </c>
      <c r="F98" s="2"/>
      <c r="G98" s="2" t="s">
        <v>89</v>
      </c>
      <c r="H98" s="2" t="s">
        <v>79</v>
      </c>
      <c r="I98" s="2" t="s">
        <v>116</v>
      </c>
      <c r="J98" s="2" t="s">
        <v>111</v>
      </c>
      <c r="K98" s="2" t="s">
        <v>79</v>
      </c>
      <c r="L98" s="2" t="s">
        <v>92</v>
      </c>
      <c r="M98" s="2"/>
      <c r="N98" s="2"/>
      <c r="O98" s="2" t="s">
        <v>155</v>
      </c>
      <c r="P98" s="2" t="s">
        <v>80</v>
      </c>
      <c r="Q98" s="2"/>
      <c r="R98" s="2" t="s">
        <v>92</v>
      </c>
      <c r="S98" s="2" t="s">
        <v>112</v>
      </c>
      <c r="T98" s="2" t="s">
        <v>213</v>
      </c>
      <c r="U98" s="2" t="s">
        <v>1633</v>
      </c>
      <c r="V98" s="2" t="s">
        <v>95</v>
      </c>
      <c r="W98" s="2" t="s">
        <v>1634</v>
      </c>
      <c r="X98" s="2" t="s">
        <v>1635</v>
      </c>
      <c r="Y98" s="2" t="s">
        <v>80</v>
      </c>
      <c r="Z98" s="2"/>
      <c r="AA98" s="2"/>
      <c r="AB98" s="2"/>
      <c r="AC98" s="2" t="s">
        <v>79</v>
      </c>
      <c r="AD98" s="2" t="s">
        <v>1636</v>
      </c>
      <c r="AE98" s="2" t="s">
        <v>1631</v>
      </c>
      <c r="AF98" s="2" t="s">
        <v>82</v>
      </c>
      <c r="AG98" s="2">
        <v>8</v>
      </c>
      <c r="AH98" s="2" t="s">
        <v>84</v>
      </c>
      <c r="AI98" s="2" t="s">
        <v>84</v>
      </c>
      <c r="AJ98" s="2" t="s">
        <v>84</v>
      </c>
      <c r="AK98" s="2" t="s">
        <v>84</v>
      </c>
      <c r="AL98" s="2" t="s">
        <v>84</v>
      </c>
      <c r="AM98" s="2" t="s">
        <v>84</v>
      </c>
      <c r="AN98" s="2" t="s">
        <v>85</v>
      </c>
      <c r="AO98" s="2" t="s">
        <v>86</v>
      </c>
      <c r="AP98" s="2" t="s">
        <v>84</v>
      </c>
      <c r="AQ98" s="2" t="s">
        <v>85</v>
      </c>
      <c r="AR98" s="2" t="s">
        <v>80</v>
      </c>
      <c r="AS98" s="2" t="s">
        <v>80</v>
      </c>
      <c r="AT98" s="2"/>
      <c r="AU98" s="2" t="s">
        <v>80</v>
      </c>
      <c r="AV98" s="2" t="s">
        <v>79</v>
      </c>
      <c r="AW98" s="2" t="s">
        <v>92</v>
      </c>
      <c r="AX98" s="2"/>
      <c r="AY98" s="2" t="s">
        <v>100</v>
      </c>
      <c r="AZ98" s="2" t="s">
        <v>1637</v>
      </c>
      <c r="BA98" s="2" t="s">
        <v>1638</v>
      </c>
      <c r="BB98" s="2" t="s">
        <v>79</v>
      </c>
      <c r="BC98" s="2" t="s">
        <v>444</v>
      </c>
      <c r="BD98" s="2" t="s">
        <v>1639</v>
      </c>
      <c r="BE98" s="2" t="s">
        <v>153</v>
      </c>
      <c r="BF98" s="2" t="s">
        <v>1640</v>
      </c>
      <c r="BG98" s="2" t="s">
        <v>92</v>
      </c>
      <c r="BH98" s="2" t="s">
        <v>79</v>
      </c>
      <c r="BI98" s="2" t="s">
        <v>107</v>
      </c>
      <c r="BJ98" s="2" t="s">
        <v>1641</v>
      </c>
      <c r="BK98" s="2" t="s">
        <v>79</v>
      </c>
      <c r="BL98" s="2" t="s">
        <v>109</v>
      </c>
      <c r="BM98" s="2">
        <v>2020</v>
      </c>
    </row>
    <row r="99" spans="1:65" ht="409.5" x14ac:dyDescent="0.25">
      <c r="A99" s="2" t="s">
        <v>1642</v>
      </c>
      <c r="B99" s="2" t="s">
        <v>80</v>
      </c>
      <c r="C99" s="2" t="s">
        <v>1644</v>
      </c>
      <c r="D99" s="2" t="s">
        <v>79</v>
      </c>
      <c r="E99" s="2" t="s">
        <v>92</v>
      </c>
      <c r="F99" s="2"/>
      <c r="G99" s="2" t="s">
        <v>143</v>
      </c>
      <c r="H99" s="2" t="s">
        <v>106</v>
      </c>
      <c r="I99" s="2" t="s">
        <v>90</v>
      </c>
      <c r="J99" s="2" t="s">
        <v>111</v>
      </c>
      <c r="K99" s="2" t="s">
        <v>79</v>
      </c>
      <c r="L99" s="2" t="s">
        <v>92</v>
      </c>
      <c r="M99" s="2"/>
      <c r="N99" s="2"/>
      <c r="O99" s="2" t="s">
        <v>155</v>
      </c>
      <c r="P99" s="2" t="s">
        <v>80</v>
      </c>
      <c r="Q99" s="2"/>
      <c r="R99" s="2" t="s">
        <v>92</v>
      </c>
      <c r="S99" s="2" t="s">
        <v>143</v>
      </c>
      <c r="T99" s="2" t="s">
        <v>93</v>
      </c>
      <c r="U99" s="2" t="s">
        <v>1645</v>
      </c>
      <c r="V99" s="2" t="s">
        <v>95</v>
      </c>
      <c r="W99" s="2" t="s">
        <v>1646</v>
      </c>
      <c r="X99" s="2" t="s">
        <v>1647</v>
      </c>
      <c r="Y99" s="2" t="s">
        <v>80</v>
      </c>
      <c r="Z99" s="2"/>
      <c r="AA99" s="2"/>
      <c r="AB99" s="2"/>
      <c r="AC99" s="2" t="s">
        <v>79</v>
      </c>
      <c r="AD99" s="2" t="s">
        <v>1648</v>
      </c>
      <c r="AE99" s="2" t="s">
        <v>1643</v>
      </c>
      <c r="AF99" s="2" t="s">
        <v>82</v>
      </c>
      <c r="AG99" s="2">
        <v>8.5</v>
      </c>
      <c r="AH99" s="2" t="s">
        <v>84</v>
      </c>
      <c r="AI99" s="2" t="s">
        <v>84</v>
      </c>
      <c r="AJ99" s="2" t="s">
        <v>84</v>
      </c>
      <c r="AK99" s="2" t="s">
        <v>84</v>
      </c>
      <c r="AL99" s="2" t="s">
        <v>84</v>
      </c>
      <c r="AM99" s="2" t="s">
        <v>84</v>
      </c>
      <c r="AN99" s="2" t="s">
        <v>85</v>
      </c>
      <c r="AO99" s="2" t="s">
        <v>84</v>
      </c>
      <c r="AP99" s="2" t="s">
        <v>85</v>
      </c>
      <c r="AQ99" s="2" t="s">
        <v>85</v>
      </c>
      <c r="AR99" s="2" t="s">
        <v>80</v>
      </c>
      <c r="AS99" s="2" t="s">
        <v>80</v>
      </c>
      <c r="AT99" s="2"/>
      <c r="AU99" s="2" t="s">
        <v>80</v>
      </c>
      <c r="AV99" s="2" t="s">
        <v>79</v>
      </c>
      <c r="AW99" s="2" t="s">
        <v>79</v>
      </c>
      <c r="AX99" s="2"/>
      <c r="AY99" s="2" t="s">
        <v>303</v>
      </c>
      <c r="AZ99" s="2" t="s">
        <v>1649</v>
      </c>
      <c r="BA99" s="2" t="s">
        <v>514</v>
      </c>
      <c r="BB99" s="2" t="s">
        <v>79</v>
      </c>
      <c r="BC99" s="2" t="s">
        <v>1485</v>
      </c>
      <c r="BD99" s="2" t="s">
        <v>1650</v>
      </c>
      <c r="BE99" s="2" t="s">
        <v>732</v>
      </c>
      <c r="BF99" s="2"/>
      <c r="BG99" s="2" t="s">
        <v>80</v>
      </c>
      <c r="BH99" s="2" t="s">
        <v>106</v>
      </c>
      <c r="BI99" s="2" t="s">
        <v>155</v>
      </c>
      <c r="BJ99" s="2" t="s">
        <v>1651</v>
      </c>
      <c r="BK99" s="2" t="s">
        <v>80</v>
      </c>
      <c r="BL99" s="2" t="s">
        <v>172</v>
      </c>
      <c r="BM99" s="2">
        <v>2008</v>
      </c>
    </row>
    <row r="100" spans="1:65" ht="409.5" x14ac:dyDescent="0.25">
      <c r="A100" s="2" t="s">
        <v>1606</v>
      </c>
      <c r="B100" s="2" t="s">
        <v>80</v>
      </c>
      <c r="C100" s="2" t="s">
        <v>1608</v>
      </c>
      <c r="D100" s="2" t="s">
        <v>79</v>
      </c>
      <c r="E100" s="2"/>
      <c r="F100" s="2" t="s">
        <v>1609</v>
      </c>
      <c r="G100" s="2" t="s">
        <v>478</v>
      </c>
      <c r="H100" s="2" t="s">
        <v>79</v>
      </c>
      <c r="I100" s="2" t="s">
        <v>116</v>
      </c>
      <c r="J100" s="2" t="s">
        <v>111</v>
      </c>
      <c r="K100" s="2" t="s">
        <v>80</v>
      </c>
      <c r="L100" s="2"/>
      <c r="M100" s="2"/>
      <c r="N100" s="2"/>
      <c r="O100" s="2"/>
      <c r="P100" s="2" t="s">
        <v>80</v>
      </c>
      <c r="Q100" s="2"/>
      <c r="R100" s="2" t="s">
        <v>92</v>
      </c>
      <c r="S100" s="2" t="s">
        <v>112</v>
      </c>
      <c r="T100" s="2" t="s">
        <v>453</v>
      </c>
      <c r="U100" s="2" t="s">
        <v>1610</v>
      </c>
      <c r="V100" s="2" t="s">
        <v>95</v>
      </c>
      <c r="W100" s="2" t="s">
        <v>1611</v>
      </c>
      <c r="X100" s="2" t="s">
        <v>1612</v>
      </c>
      <c r="Y100" s="2" t="s">
        <v>80</v>
      </c>
      <c r="Z100" s="2"/>
      <c r="AA100" s="2"/>
      <c r="AB100" s="2"/>
      <c r="AC100" s="2" t="s">
        <v>79</v>
      </c>
      <c r="AD100" s="2" t="s">
        <v>1613</v>
      </c>
      <c r="AE100" s="2" t="s">
        <v>1607</v>
      </c>
      <c r="AF100" s="2" t="s">
        <v>82</v>
      </c>
      <c r="AG100" s="2">
        <v>7.5</v>
      </c>
      <c r="AH100" s="2" t="s">
        <v>84</v>
      </c>
      <c r="AI100" s="2" t="s">
        <v>86</v>
      </c>
      <c r="AJ100" s="2" t="s">
        <v>84</v>
      </c>
      <c r="AK100" s="2" t="s">
        <v>84</v>
      </c>
      <c r="AL100" s="2" t="s">
        <v>84</v>
      </c>
      <c r="AM100" s="2" t="s">
        <v>84</v>
      </c>
      <c r="AN100" s="2" t="s">
        <v>85</v>
      </c>
      <c r="AO100" s="2" t="s">
        <v>86</v>
      </c>
      <c r="AP100" s="2" t="s">
        <v>84</v>
      </c>
      <c r="AQ100" s="2" t="s">
        <v>84</v>
      </c>
      <c r="AR100" s="2"/>
      <c r="AS100" s="2" t="s">
        <v>80</v>
      </c>
      <c r="AT100" s="2"/>
      <c r="AU100" s="2"/>
      <c r="AV100" s="2" t="s">
        <v>80</v>
      </c>
      <c r="AW100" s="2"/>
      <c r="AX100" s="2"/>
      <c r="AY100" s="2" t="s">
        <v>100</v>
      </c>
      <c r="AZ100" s="2" t="s">
        <v>1614</v>
      </c>
      <c r="BA100" s="2" t="s">
        <v>102</v>
      </c>
      <c r="BB100" s="2" t="s">
        <v>79</v>
      </c>
      <c r="BC100" s="2"/>
      <c r="BD100" s="2" t="s">
        <v>1615</v>
      </c>
      <c r="BE100" s="2" t="s">
        <v>153</v>
      </c>
      <c r="BF100" s="2" t="s">
        <v>1616</v>
      </c>
      <c r="BG100" s="2" t="s">
        <v>92</v>
      </c>
      <c r="BH100" s="2" t="s">
        <v>106</v>
      </c>
      <c r="BI100" s="2" t="s">
        <v>107</v>
      </c>
      <c r="BJ100" s="2" t="s">
        <v>1617</v>
      </c>
      <c r="BK100" s="2" t="s">
        <v>79</v>
      </c>
      <c r="BL100" s="2" t="s">
        <v>109</v>
      </c>
      <c r="BM100" s="2">
        <v>2022</v>
      </c>
    </row>
    <row r="101" spans="1:65" ht="409.5" x14ac:dyDescent="0.25">
      <c r="A101" s="2" t="s">
        <v>1663</v>
      </c>
      <c r="B101" s="2" t="s">
        <v>80</v>
      </c>
      <c r="C101" s="2" t="s">
        <v>1665</v>
      </c>
      <c r="D101" s="2" t="s">
        <v>79</v>
      </c>
      <c r="E101" s="2" t="s">
        <v>79</v>
      </c>
      <c r="F101" s="2"/>
      <c r="G101" s="2" t="s">
        <v>842</v>
      </c>
      <c r="H101" s="2" t="s">
        <v>106</v>
      </c>
      <c r="I101" s="2" t="s">
        <v>194</v>
      </c>
      <c r="J101" s="2" t="s">
        <v>111</v>
      </c>
      <c r="K101" s="2" t="s">
        <v>79</v>
      </c>
      <c r="L101" s="2" t="s">
        <v>92</v>
      </c>
      <c r="M101" s="2"/>
      <c r="N101" s="2"/>
      <c r="O101" s="2" t="s">
        <v>155</v>
      </c>
      <c r="P101" s="2" t="s">
        <v>80</v>
      </c>
      <c r="Q101" s="2"/>
      <c r="R101" s="2" t="s">
        <v>92</v>
      </c>
      <c r="S101" s="2" t="s">
        <v>143</v>
      </c>
      <c r="T101" s="2" t="s">
        <v>1666</v>
      </c>
      <c r="U101" s="2" t="s">
        <v>1667</v>
      </c>
      <c r="V101" s="2" t="s">
        <v>95</v>
      </c>
      <c r="W101" s="2" t="s">
        <v>1668</v>
      </c>
      <c r="X101" s="2" t="s">
        <v>1669</v>
      </c>
      <c r="Y101" s="2" t="s">
        <v>80</v>
      </c>
      <c r="Z101" s="2"/>
      <c r="AA101" s="2"/>
      <c r="AB101" s="2"/>
      <c r="AC101" s="2" t="s">
        <v>79</v>
      </c>
      <c r="AD101" s="2" t="s">
        <v>1670</v>
      </c>
      <c r="AE101" s="2" t="s">
        <v>1664</v>
      </c>
      <c r="AF101" s="2" t="s">
        <v>82</v>
      </c>
      <c r="AG101" s="2">
        <v>9</v>
      </c>
      <c r="AH101" s="2" t="s">
        <v>84</v>
      </c>
      <c r="AI101" s="2" t="s">
        <v>84</v>
      </c>
      <c r="AJ101" s="2" t="s">
        <v>84</v>
      </c>
      <c r="AK101" s="2" t="s">
        <v>84</v>
      </c>
      <c r="AL101" s="2" t="s">
        <v>84</v>
      </c>
      <c r="AM101" s="2" t="s">
        <v>84</v>
      </c>
      <c r="AN101" s="2" t="s">
        <v>85</v>
      </c>
      <c r="AO101" s="2" t="s">
        <v>84</v>
      </c>
      <c r="AP101" s="2" t="s">
        <v>84</v>
      </c>
      <c r="AQ101" s="2" t="s">
        <v>85</v>
      </c>
      <c r="AR101" s="2" t="s">
        <v>80</v>
      </c>
      <c r="AS101" s="2" t="s">
        <v>80</v>
      </c>
      <c r="AT101" s="2"/>
      <c r="AU101" s="2" t="s">
        <v>80</v>
      </c>
      <c r="AV101" s="2" t="s">
        <v>79</v>
      </c>
      <c r="AW101" s="2" t="s">
        <v>79</v>
      </c>
      <c r="AX101" s="2"/>
      <c r="AY101" s="2" t="s">
        <v>100</v>
      </c>
      <c r="AZ101" s="2" t="s">
        <v>1671</v>
      </c>
      <c r="BA101" s="2" t="s">
        <v>1557</v>
      </c>
      <c r="BB101" s="2" t="s">
        <v>79</v>
      </c>
      <c r="BC101" s="2" t="s">
        <v>1672</v>
      </c>
      <c r="BD101" s="2" t="s">
        <v>1673</v>
      </c>
      <c r="BE101" s="2" t="s">
        <v>856</v>
      </c>
      <c r="BF101" s="2"/>
      <c r="BG101" s="2" t="s">
        <v>80</v>
      </c>
      <c r="BH101" s="2" t="s">
        <v>106</v>
      </c>
      <c r="BI101" s="2" t="s">
        <v>206</v>
      </c>
      <c r="BJ101" s="2" t="s">
        <v>1674</v>
      </c>
      <c r="BK101" s="2" t="s">
        <v>79</v>
      </c>
      <c r="BL101" s="2" t="s">
        <v>109</v>
      </c>
      <c r="BM101" s="2">
        <v>2018</v>
      </c>
    </row>
    <row r="102" spans="1:65" ht="409.5" x14ac:dyDescent="0.25">
      <c r="A102" s="2" t="s">
        <v>1575</v>
      </c>
      <c r="B102" s="2" t="s">
        <v>80</v>
      </c>
      <c r="C102" s="2" t="s">
        <v>1578</v>
      </c>
      <c r="D102" s="2" t="s">
        <v>79</v>
      </c>
      <c r="E102" s="2"/>
      <c r="F102" s="2" t="s">
        <v>1579</v>
      </c>
      <c r="G102" s="2" t="s">
        <v>478</v>
      </c>
      <c r="H102" s="2" t="s">
        <v>80</v>
      </c>
      <c r="I102" s="2" t="s">
        <v>116</v>
      </c>
      <c r="J102" s="2" t="s">
        <v>111</v>
      </c>
      <c r="K102" s="2" t="s">
        <v>79</v>
      </c>
      <c r="L102" s="2"/>
      <c r="M102" s="2" t="s">
        <v>1580</v>
      </c>
      <c r="N102" s="2"/>
      <c r="O102" s="2" t="s">
        <v>155</v>
      </c>
      <c r="P102" s="2" t="s">
        <v>80</v>
      </c>
      <c r="Q102" s="2"/>
      <c r="R102" s="2" t="s">
        <v>92</v>
      </c>
      <c r="S102" s="2" t="s">
        <v>1576</v>
      </c>
      <c r="T102" s="2" t="s">
        <v>465</v>
      </c>
      <c r="U102" s="2" t="s">
        <v>1581</v>
      </c>
      <c r="V102" s="2" t="s">
        <v>95</v>
      </c>
      <c r="W102" s="2" t="s">
        <v>1582</v>
      </c>
      <c r="X102" s="2" t="s">
        <v>1583</v>
      </c>
      <c r="Y102" s="2" t="s">
        <v>80</v>
      </c>
      <c r="Z102" s="2"/>
      <c r="AA102" s="2"/>
      <c r="AB102" s="2" t="s">
        <v>1584</v>
      </c>
      <c r="AC102" s="2" t="s">
        <v>79</v>
      </c>
      <c r="AD102" s="2" t="s">
        <v>1585</v>
      </c>
      <c r="AE102" s="2" t="s">
        <v>1577</v>
      </c>
      <c r="AF102" s="2" t="s">
        <v>82</v>
      </c>
      <c r="AG102" s="2">
        <v>9</v>
      </c>
      <c r="AH102" s="2" t="s">
        <v>84</v>
      </c>
      <c r="AI102" s="2" t="s">
        <v>84</v>
      </c>
      <c r="AJ102" s="2" t="s">
        <v>84</v>
      </c>
      <c r="AK102" s="2" t="s">
        <v>84</v>
      </c>
      <c r="AL102" s="2" t="s">
        <v>84</v>
      </c>
      <c r="AM102" s="2" t="s">
        <v>84</v>
      </c>
      <c r="AN102" s="2" t="s">
        <v>84</v>
      </c>
      <c r="AO102" s="2" t="s">
        <v>86</v>
      </c>
      <c r="AP102" s="2" t="s">
        <v>84</v>
      </c>
      <c r="AQ102" s="2" t="s">
        <v>84</v>
      </c>
      <c r="AR102" s="2" t="s">
        <v>106</v>
      </c>
      <c r="AS102" s="2" t="s">
        <v>80</v>
      </c>
      <c r="AT102" s="2"/>
      <c r="AU102" s="2" t="s">
        <v>106</v>
      </c>
      <c r="AV102" s="2" t="s">
        <v>79</v>
      </c>
      <c r="AW102" s="2"/>
      <c r="AX102" s="2" t="s">
        <v>1586</v>
      </c>
      <c r="AY102" s="2" t="s">
        <v>100</v>
      </c>
      <c r="AZ102" s="2" t="s">
        <v>1587</v>
      </c>
      <c r="BA102" s="2" t="s">
        <v>286</v>
      </c>
      <c r="BB102" s="2" t="s">
        <v>79</v>
      </c>
      <c r="BC102" s="2"/>
      <c r="BD102" s="2" t="s">
        <v>1588</v>
      </c>
      <c r="BE102" s="2" t="s">
        <v>153</v>
      </c>
      <c r="BF102" s="2" t="s">
        <v>1589</v>
      </c>
      <c r="BG102" s="2" t="s">
        <v>92</v>
      </c>
      <c r="BH102" s="2" t="s">
        <v>79</v>
      </c>
      <c r="BI102" s="2" t="s">
        <v>107</v>
      </c>
      <c r="BJ102" s="2" t="s">
        <v>1590</v>
      </c>
      <c r="BK102" s="2" t="s">
        <v>79</v>
      </c>
      <c r="BL102" s="2" t="s">
        <v>109</v>
      </c>
      <c r="BM102" s="2">
        <v>2024</v>
      </c>
    </row>
    <row r="103" spans="1:65" ht="409.5" x14ac:dyDescent="0.25">
      <c r="A103" s="2" t="s">
        <v>1591</v>
      </c>
      <c r="B103" s="2" t="s">
        <v>92</v>
      </c>
      <c r="C103" s="2" t="s">
        <v>1593</v>
      </c>
      <c r="D103" s="2" t="s">
        <v>79</v>
      </c>
      <c r="E103" s="2"/>
      <c r="F103" s="2" t="s">
        <v>1594</v>
      </c>
      <c r="G103" s="2" t="s">
        <v>89</v>
      </c>
      <c r="H103" s="2" t="s">
        <v>79</v>
      </c>
      <c r="I103" s="2" t="s">
        <v>116</v>
      </c>
      <c r="J103" s="2" t="s">
        <v>111</v>
      </c>
      <c r="K103" s="2" t="s">
        <v>79</v>
      </c>
      <c r="L103" s="2"/>
      <c r="M103" s="2" t="s">
        <v>1595</v>
      </c>
      <c r="N103" s="2"/>
      <c r="O103" s="2" t="s">
        <v>155</v>
      </c>
      <c r="P103" s="2" t="s">
        <v>80</v>
      </c>
      <c r="Q103" s="2"/>
      <c r="R103" s="2" t="s">
        <v>92</v>
      </c>
      <c r="S103" s="2" t="s">
        <v>1576</v>
      </c>
      <c r="T103" s="2" t="s">
        <v>864</v>
      </c>
      <c r="U103" s="2" t="s">
        <v>1596</v>
      </c>
      <c r="V103" s="2" t="s">
        <v>95</v>
      </c>
      <c r="W103" s="2" t="s">
        <v>1597</v>
      </c>
      <c r="X103" s="2" t="s">
        <v>1598</v>
      </c>
      <c r="Y103" s="2" t="s">
        <v>80</v>
      </c>
      <c r="Z103" s="2"/>
      <c r="AA103" s="2"/>
      <c r="AB103" s="2" t="s">
        <v>1599</v>
      </c>
      <c r="AC103" s="2" t="s">
        <v>79</v>
      </c>
      <c r="AD103" s="2" t="s">
        <v>1600</v>
      </c>
      <c r="AE103" s="2" t="s">
        <v>1592</v>
      </c>
      <c r="AF103" s="2" t="s">
        <v>82</v>
      </c>
      <c r="AG103" s="2">
        <v>9</v>
      </c>
      <c r="AH103" s="2" t="s">
        <v>84</v>
      </c>
      <c r="AI103" s="2" t="s">
        <v>84</v>
      </c>
      <c r="AJ103" s="2" t="s">
        <v>84</v>
      </c>
      <c r="AK103" s="2" t="s">
        <v>84</v>
      </c>
      <c r="AL103" s="2" t="s">
        <v>84</v>
      </c>
      <c r="AM103" s="2" t="s">
        <v>84</v>
      </c>
      <c r="AN103" s="2" t="s">
        <v>84</v>
      </c>
      <c r="AO103" s="2" t="s">
        <v>86</v>
      </c>
      <c r="AP103" s="2" t="s">
        <v>84</v>
      </c>
      <c r="AQ103" s="2" t="s">
        <v>84</v>
      </c>
      <c r="AR103" s="2" t="s">
        <v>106</v>
      </c>
      <c r="AS103" s="2" t="s">
        <v>80</v>
      </c>
      <c r="AT103" s="2"/>
      <c r="AU103" s="2" t="s">
        <v>106</v>
      </c>
      <c r="AV103" s="2" t="s">
        <v>79</v>
      </c>
      <c r="AW103" s="2"/>
      <c r="AX103" s="2" t="s">
        <v>1601</v>
      </c>
      <c r="AY103" s="2" t="s">
        <v>100</v>
      </c>
      <c r="AZ103" s="2" t="s">
        <v>1602</v>
      </c>
      <c r="BA103" s="2" t="s">
        <v>1557</v>
      </c>
      <c r="BB103" s="2" t="s">
        <v>79</v>
      </c>
      <c r="BC103" s="2"/>
      <c r="BD103" s="2" t="s">
        <v>1603</v>
      </c>
      <c r="BE103" s="2" t="s">
        <v>104</v>
      </c>
      <c r="BF103" s="2" t="s">
        <v>1604</v>
      </c>
      <c r="BG103" s="2" t="s">
        <v>92</v>
      </c>
      <c r="BH103" s="2" t="s">
        <v>79</v>
      </c>
      <c r="BI103" s="2" t="s">
        <v>107</v>
      </c>
      <c r="BJ103" s="2" t="s">
        <v>1605</v>
      </c>
      <c r="BK103" s="2" t="s">
        <v>79</v>
      </c>
      <c r="BL103" s="2" t="s">
        <v>109</v>
      </c>
      <c r="BM103" s="2">
        <v>2023</v>
      </c>
    </row>
    <row r="104" spans="1:65" ht="409.5" x14ac:dyDescent="0.25">
      <c r="A104" s="2" t="s">
        <v>1652</v>
      </c>
      <c r="B104" s="2" t="s">
        <v>92</v>
      </c>
      <c r="C104" s="2" t="s">
        <v>1654</v>
      </c>
      <c r="D104" s="2" t="s">
        <v>79</v>
      </c>
      <c r="E104" s="2" t="s">
        <v>79</v>
      </c>
      <c r="F104" s="2"/>
      <c r="G104" s="2" t="s">
        <v>842</v>
      </c>
      <c r="H104" s="2" t="s">
        <v>79</v>
      </c>
      <c r="I104" s="2" t="s">
        <v>116</v>
      </c>
      <c r="J104" s="2" t="s">
        <v>111</v>
      </c>
      <c r="K104" s="2" t="s">
        <v>79</v>
      </c>
      <c r="L104" s="2" t="s">
        <v>92</v>
      </c>
      <c r="M104" s="2"/>
      <c r="N104" s="2"/>
      <c r="O104" s="2" t="s">
        <v>155</v>
      </c>
      <c r="P104" s="2" t="s">
        <v>80</v>
      </c>
      <c r="Q104" s="2"/>
      <c r="R104" s="2" t="s">
        <v>92</v>
      </c>
      <c r="S104" s="2" t="s">
        <v>112</v>
      </c>
      <c r="T104" s="2" t="s">
        <v>656</v>
      </c>
      <c r="U104" s="2" t="s">
        <v>1655</v>
      </c>
      <c r="V104" s="2" t="s">
        <v>95</v>
      </c>
      <c r="W104" s="2" t="s">
        <v>1656</v>
      </c>
      <c r="X104" s="2" t="s">
        <v>1657</v>
      </c>
      <c r="Y104" s="2" t="s">
        <v>80</v>
      </c>
      <c r="Z104" s="2"/>
      <c r="AA104" s="2"/>
      <c r="AB104" s="2"/>
      <c r="AC104" s="2" t="s">
        <v>79</v>
      </c>
      <c r="AD104" s="2" t="s">
        <v>1658</v>
      </c>
      <c r="AE104" s="2" t="s">
        <v>1653</v>
      </c>
      <c r="AF104" s="2" t="s">
        <v>82</v>
      </c>
      <c r="AG104" s="2">
        <v>8.5</v>
      </c>
      <c r="AH104" s="2" t="s">
        <v>84</v>
      </c>
      <c r="AI104" s="2" t="s">
        <v>84</v>
      </c>
      <c r="AJ104" s="2" t="s">
        <v>84</v>
      </c>
      <c r="AK104" s="2" t="s">
        <v>84</v>
      </c>
      <c r="AL104" s="2" t="s">
        <v>84</v>
      </c>
      <c r="AM104" s="2" t="s">
        <v>84</v>
      </c>
      <c r="AN104" s="2" t="s">
        <v>84</v>
      </c>
      <c r="AO104" s="2" t="s">
        <v>86</v>
      </c>
      <c r="AP104" s="2" t="s">
        <v>84</v>
      </c>
      <c r="AQ104" s="2" t="s">
        <v>85</v>
      </c>
      <c r="AR104" s="2" t="s">
        <v>80</v>
      </c>
      <c r="AS104" s="2" t="s">
        <v>80</v>
      </c>
      <c r="AT104" s="2"/>
      <c r="AU104" s="2" t="s">
        <v>80</v>
      </c>
      <c r="AV104" s="2" t="s">
        <v>79</v>
      </c>
      <c r="AW104" s="2" t="s">
        <v>92</v>
      </c>
      <c r="AX104" s="2"/>
      <c r="AY104" s="2" t="s">
        <v>100</v>
      </c>
      <c r="AZ104" s="2" t="s">
        <v>1659</v>
      </c>
      <c r="BA104" s="2" t="s">
        <v>1557</v>
      </c>
      <c r="BB104" s="2" t="s">
        <v>79</v>
      </c>
      <c r="BC104" s="2" t="s">
        <v>444</v>
      </c>
      <c r="BD104" s="2" t="s">
        <v>1660</v>
      </c>
      <c r="BE104" s="2" t="s">
        <v>153</v>
      </c>
      <c r="BF104" s="2" t="s">
        <v>1661</v>
      </c>
      <c r="BG104" s="2" t="s">
        <v>92</v>
      </c>
      <c r="BH104" s="2" t="s">
        <v>79</v>
      </c>
      <c r="BI104" s="2" t="s">
        <v>429</v>
      </c>
      <c r="BJ104" s="2" t="s">
        <v>1662</v>
      </c>
      <c r="BK104" s="2" t="s">
        <v>79</v>
      </c>
      <c r="BL104" s="2" t="s">
        <v>172</v>
      </c>
      <c r="BM104" s="2">
        <v>2025</v>
      </c>
    </row>
    <row r="105" spans="1:65" ht="409.5" x14ac:dyDescent="0.25">
      <c r="A105" s="2" t="s">
        <v>1675</v>
      </c>
      <c r="B105" s="2" t="s">
        <v>80</v>
      </c>
      <c r="C105" s="2" t="s">
        <v>1678</v>
      </c>
      <c r="D105" s="2" t="s">
        <v>79</v>
      </c>
      <c r="E105" s="2" t="s">
        <v>79</v>
      </c>
      <c r="F105" s="2"/>
      <c r="G105" s="2" t="s">
        <v>193</v>
      </c>
      <c r="H105" s="2" t="s">
        <v>79</v>
      </c>
      <c r="I105" s="2" t="s">
        <v>194</v>
      </c>
      <c r="J105" s="2" t="s">
        <v>111</v>
      </c>
      <c r="K105" s="2" t="s">
        <v>79</v>
      </c>
      <c r="L105" s="2" t="s">
        <v>92</v>
      </c>
      <c r="M105" s="2"/>
      <c r="N105" s="2"/>
      <c r="O105" s="2" t="s">
        <v>155</v>
      </c>
      <c r="P105" s="2" t="s">
        <v>80</v>
      </c>
      <c r="Q105" s="2"/>
      <c r="R105" s="2" t="s">
        <v>92</v>
      </c>
      <c r="S105" s="2" t="s">
        <v>1676</v>
      </c>
      <c r="T105" s="2" t="s">
        <v>465</v>
      </c>
      <c r="U105" s="2" t="s">
        <v>1679</v>
      </c>
      <c r="V105" s="2" t="s">
        <v>95</v>
      </c>
      <c r="W105" s="2" t="s">
        <v>1680</v>
      </c>
      <c r="X105" s="2" t="s">
        <v>1681</v>
      </c>
      <c r="Y105" s="2" t="s">
        <v>80</v>
      </c>
      <c r="Z105" s="2"/>
      <c r="AA105" s="2"/>
      <c r="AB105" s="2"/>
      <c r="AC105" s="2" t="s">
        <v>79</v>
      </c>
      <c r="AD105" s="2" t="s">
        <v>1682</v>
      </c>
      <c r="AE105" s="2" t="s">
        <v>1677</v>
      </c>
      <c r="AF105" s="2" t="s">
        <v>82</v>
      </c>
      <c r="AG105" s="2">
        <v>8.5</v>
      </c>
      <c r="AH105" s="2" t="s">
        <v>84</v>
      </c>
      <c r="AI105" s="2" t="s">
        <v>84</v>
      </c>
      <c r="AJ105" s="2" t="s">
        <v>84</v>
      </c>
      <c r="AK105" s="2" t="s">
        <v>84</v>
      </c>
      <c r="AL105" s="2" t="s">
        <v>84</v>
      </c>
      <c r="AM105" s="2" t="s">
        <v>84</v>
      </c>
      <c r="AN105" s="2" t="s">
        <v>84</v>
      </c>
      <c r="AO105" s="2" t="s">
        <v>86</v>
      </c>
      <c r="AP105" s="2" t="s">
        <v>84</v>
      </c>
      <c r="AQ105" s="2" t="s">
        <v>85</v>
      </c>
      <c r="AR105" s="2" t="s">
        <v>80</v>
      </c>
      <c r="AS105" s="2" t="s">
        <v>80</v>
      </c>
      <c r="AT105" s="2"/>
      <c r="AU105" s="2" t="s">
        <v>80</v>
      </c>
      <c r="AV105" s="2" t="s">
        <v>79</v>
      </c>
      <c r="AW105" s="2" t="s">
        <v>92</v>
      </c>
      <c r="AX105" s="2"/>
      <c r="AY105" s="2" t="s">
        <v>100</v>
      </c>
      <c r="AZ105" s="2" t="s">
        <v>1683</v>
      </c>
      <c r="BA105" s="2" t="s">
        <v>1557</v>
      </c>
      <c r="BB105" s="2" t="s">
        <v>79</v>
      </c>
      <c r="BC105" s="2" t="s">
        <v>1684</v>
      </c>
      <c r="BD105" s="2" t="s">
        <v>1685</v>
      </c>
      <c r="BE105" s="2" t="s">
        <v>1686</v>
      </c>
      <c r="BF105" s="2"/>
      <c r="BG105" s="2" t="s">
        <v>80</v>
      </c>
      <c r="BH105" s="2" t="s">
        <v>79</v>
      </c>
      <c r="BI105" s="2" t="s">
        <v>107</v>
      </c>
      <c r="BJ105" s="2" t="s">
        <v>1687</v>
      </c>
      <c r="BK105" s="2" t="s">
        <v>79</v>
      </c>
      <c r="BL105" s="2" t="s">
        <v>109</v>
      </c>
      <c r="BM105" s="2">
        <v>2019</v>
      </c>
    </row>
    <row r="106" spans="1:65" ht="409.5" x14ac:dyDescent="0.25">
      <c r="A106" s="2" t="s">
        <v>1618</v>
      </c>
      <c r="B106" s="2" t="s">
        <v>80</v>
      </c>
      <c r="C106" s="2" t="s">
        <v>1620</v>
      </c>
      <c r="D106" s="2" t="s">
        <v>79</v>
      </c>
      <c r="E106" s="2" t="s">
        <v>92</v>
      </c>
      <c r="F106" s="2"/>
      <c r="G106" s="2" t="s">
        <v>143</v>
      </c>
      <c r="H106" s="2" t="s">
        <v>80</v>
      </c>
      <c r="I106" s="2" t="s">
        <v>90</v>
      </c>
      <c r="J106" s="2" t="s">
        <v>111</v>
      </c>
      <c r="K106" s="2" t="s">
        <v>79</v>
      </c>
      <c r="L106" s="2" t="s">
        <v>92</v>
      </c>
      <c r="M106" s="2"/>
      <c r="N106" s="2"/>
      <c r="O106" s="2" t="s">
        <v>155</v>
      </c>
      <c r="P106" s="2" t="s">
        <v>80</v>
      </c>
      <c r="Q106" s="2"/>
      <c r="R106" s="2"/>
      <c r="S106" s="2" t="s">
        <v>143</v>
      </c>
      <c r="T106" s="2" t="s">
        <v>639</v>
      </c>
      <c r="U106" s="2" t="s">
        <v>1621</v>
      </c>
      <c r="V106" s="2" t="s">
        <v>95</v>
      </c>
      <c r="W106" s="2" t="s">
        <v>1622</v>
      </c>
      <c r="X106" s="2" t="s">
        <v>1623</v>
      </c>
      <c r="Y106" s="2" t="s">
        <v>80</v>
      </c>
      <c r="Z106" s="2"/>
      <c r="AA106" s="2"/>
      <c r="AB106" s="2"/>
      <c r="AC106" s="2" t="s">
        <v>80</v>
      </c>
      <c r="AD106" s="2" t="s">
        <v>1624</v>
      </c>
      <c r="AE106" s="2" t="s">
        <v>1619</v>
      </c>
      <c r="AF106" s="2" t="s">
        <v>82</v>
      </c>
      <c r="AG106" s="2">
        <v>8</v>
      </c>
      <c r="AH106" s="2" t="s">
        <v>84</v>
      </c>
      <c r="AI106" s="2" t="s">
        <v>84</v>
      </c>
      <c r="AJ106" s="2" t="s">
        <v>84</v>
      </c>
      <c r="AK106" s="2" t="s">
        <v>86</v>
      </c>
      <c r="AL106" s="2" t="s">
        <v>84</v>
      </c>
      <c r="AM106" s="2" t="s">
        <v>84</v>
      </c>
      <c r="AN106" s="2" t="s">
        <v>84</v>
      </c>
      <c r="AO106" s="2" t="s">
        <v>84</v>
      </c>
      <c r="AP106" s="2" t="s">
        <v>85</v>
      </c>
      <c r="AQ106" s="2" t="s">
        <v>85</v>
      </c>
      <c r="AR106" s="2" t="s">
        <v>106</v>
      </c>
      <c r="AS106" s="2" t="s">
        <v>80</v>
      </c>
      <c r="AT106" s="2"/>
      <c r="AU106" s="2" t="s">
        <v>106</v>
      </c>
      <c r="AV106" s="2" t="s">
        <v>79</v>
      </c>
      <c r="AW106" s="2" t="s">
        <v>79</v>
      </c>
      <c r="AX106" s="2"/>
      <c r="AY106" s="2" t="s">
        <v>303</v>
      </c>
      <c r="AZ106" s="2" t="s">
        <v>1625</v>
      </c>
      <c r="BA106" s="2" t="s">
        <v>1626</v>
      </c>
      <c r="BB106" s="2" t="s">
        <v>79</v>
      </c>
      <c r="BC106" s="2" t="s">
        <v>1627</v>
      </c>
      <c r="BD106" s="2" t="s">
        <v>1628</v>
      </c>
      <c r="BE106" s="2" t="s">
        <v>732</v>
      </c>
      <c r="BF106" s="2"/>
      <c r="BG106" s="2" t="s">
        <v>80</v>
      </c>
      <c r="BH106" s="2" t="s">
        <v>79</v>
      </c>
      <c r="BI106" s="2" t="s">
        <v>155</v>
      </c>
      <c r="BJ106" s="2" t="s">
        <v>1629</v>
      </c>
      <c r="BK106" s="2" t="s">
        <v>80</v>
      </c>
      <c r="BL106" s="2" t="s">
        <v>109</v>
      </c>
      <c r="BM106" s="2">
        <v>2022</v>
      </c>
    </row>
    <row r="107" spans="1:65" ht="409.5" x14ac:dyDescent="0.25">
      <c r="A107" s="2" t="s">
        <v>1688</v>
      </c>
      <c r="B107" s="2" t="s">
        <v>92</v>
      </c>
      <c r="C107" s="2" t="s">
        <v>1690</v>
      </c>
      <c r="D107" s="2" t="s">
        <v>79</v>
      </c>
      <c r="E107" s="2"/>
      <c r="F107" s="2" t="s">
        <v>1691</v>
      </c>
      <c r="G107" s="2" t="s">
        <v>89</v>
      </c>
      <c r="H107" s="2" t="s">
        <v>80</v>
      </c>
      <c r="I107" s="2"/>
      <c r="J107" s="2" t="s">
        <v>270</v>
      </c>
      <c r="K107" s="2" t="s">
        <v>79</v>
      </c>
      <c r="L107" s="2"/>
      <c r="M107" s="2" t="s">
        <v>1692</v>
      </c>
      <c r="N107" s="2"/>
      <c r="O107" s="2" t="s">
        <v>155</v>
      </c>
      <c r="P107" s="2" t="s">
        <v>80</v>
      </c>
      <c r="Q107" s="2"/>
      <c r="R107" s="2" t="s">
        <v>92</v>
      </c>
      <c r="S107" s="2" t="s">
        <v>1000</v>
      </c>
      <c r="T107" s="2"/>
      <c r="U107" s="2" t="s">
        <v>1693</v>
      </c>
      <c r="V107" s="2" t="s">
        <v>95</v>
      </c>
      <c r="W107" s="2" t="s">
        <v>1694</v>
      </c>
      <c r="X107" s="2" t="s">
        <v>1695</v>
      </c>
      <c r="Y107" s="2" t="s">
        <v>80</v>
      </c>
      <c r="Z107" s="2"/>
      <c r="AA107" s="2"/>
      <c r="AB107" s="2"/>
      <c r="AC107" s="2" t="s">
        <v>79</v>
      </c>
      <c r="AD107" s="2" t="s">
        <v>1696</v>
      </c>
      <c r="AE107" s="2" t="s">
        <v>1689</v>
      </c>
      <c r="AF107" s="2" t="s">
        <v>82</v>
      </c>
      <c r="AG107" s="2">
        <v>8.5</v>
      </c>
      <c r="AH107" s="2" t="s">
        <v>84</v>
      </c>
      <c r="AI107" s="2" t="s">
        <v>84</v>
      </c>
      <c r="AJ107" s="2" t="s">
        <v>84</v>
      </c>
      <c r="AK107" s="2" t="s">
        <v>84</v>
      </c>
      <c r="AL107" s="2" t="s">
        <v>84</v>
      </c>
      <c r="AM107" s="2" t="s">
        <v>84</v>
      </c>
      <c r="AN107" s="2" t="s">
        <v>84</v>
      </c>
      <c r="AO107" s="2" t="s">
        <v>86</v>
      </c>
      <c r="AP107" s="2" t="s">
        <v>84</v>
      </c>
      <c r="AQ107" s="2" t="s">
        <v>85</v>
      </c>
      <c r="AR107" s="2" t="s">
        <v>106</v>
      </c>
      <c r="AS107" s="2" t="s">
        <v>80</v>
      </c>
      <c r="AT107" s="2"/>
      <c r="AU107" s="2" t="s">
        <v>106</v>
      </c>
      <c r="AV107" s="2" t="s">
        <v>79</v>
      </c>
      <c r="AW107" s="2"/>
      <c r="AX107" s="2" t="s">
        <v>1697</v>
      </c>
      <c r="AY107" s="2" t="s">
        <v>100</v>
      </c>
      <c r="AZ107" s="2" t="s">
        <v>1698</v>
      </c>
      <c r="BA107" s="2" t="s">
        <v>202</v>
      </c>
      <c r="BB107" s="2" t="s">
        <v>79</v>
      </c>
      <c r="BC107" s="2" t="s">
        <v>1699</v>
      </c>
      <c r="BD107" s="2" t="s">
        <v>1700</v>
      </c>
      <c r="BE107" s="2" t="s">
        <v>153</v>
      </c>
      <c r="BF107" s="2"/>
      <c r="BG107" s="2" t="s">
        <v>80</v>
      </c>
      <c r="BH107" s="2" t="s">
        <v>79</v>
      </c>
      <c r="BI107" s="2" t="s">
        <v>429</v>
      </c>
      <c r="BJ107" s="2" t="s">
        <v>1701</v>
      </c>
      <c r="BK107" s="2" t="s">
        <v>79</v>
      </c>
      <c r="BL107" s="2" t="s">
        <v>109</v>
      </c>
      <c r="BM107" s="2">
        <v>2017</v>
      </c>
    </row>
    <row r="108" spans="1:65" ht="409.5" x14ac:dyDescent="0.25">
      <c r="A108" s="2" t="s">
        <v>1714</v>
      </c>
      <c r="B108" s="2" t="s">
        <v>80</v>
      </c>
      <c r="C108" s="2" t="s">
        <v>1716</v>
      </c>
      <c r="D108" s="2" t="s">
        <v>79</v>
      </c>
      <c r="E108" s="2"/>
      <c r="F108" s="2" t="s">
        <v>1717</v>
      </c>
      <c r="G108" s="2" t="s">
        <v>89</v>
      </c>
      <c r="H108" s="2" t="s">
        <v>80</v>
      </c>
      <c r="I108" s="2"/>
      <c r="J108" s="2" t="s">
        <v>270</v>
      </c>
      <c r="K108" s="2" t="s">
        <v>79</v>
      </c>
      <c r="L108" s="2"/>
      <c r="M108" s="2" t="s">
        <v>1718</v>
      </c>
      <c r="N108" s="2"/>
      <c r="O108" s="2" t="s">
        <v>155</v>
      </c>
      <c r="P108" s="2" t="s">
        <v>80</v>
      </c>
      <c r="Q108" s="2"/>
      <c r="R108" s="2" t="s">
        <v>92</v>
      </c>
      <c r="S108" s="2" t="s">
        <v>1000</v>
      </c>
      <c r="T108" s="2"/>
      <c r="U108" s="2" t="s">
        <v>1719</v>
      </c>
      <c r="V108" s="2" t="s">
        <v>95</v>
      </c>
      <c r="W108" s="2" t="s">
        <v>1720</v>
      </c>
      <c r="X108" s="2" t="s">
        <v>1721</v>
      </c>
      <c r="Y108" s="2" t="s">
        <v>80</v>
      </c>
      <c r="Z108" s="2"/>
      <c r="AA108" s="2"/>
      <c r="AB108" s="2"/>
      <c r="AC108" s="2" t="s">
        <v>79</v>
      </c>
      <c r="AD108" s="2" t="s">
        <v>1722</v>
      </c>
      <c r="AE108" s="2" t="s">
        <v>1715</v>
      </c>
      <c r="AF108" s="2" t="s">
        <v>82</v>
      </c>
      <c r="AG108" s="2">
        <v>9</v>
      </c>
      <c r="AH108" s="2" t="s">
        <v>84</v>
      </c>
      <c r="AI108" s="2" t="s">
        <v>84</v>
      </c>
      <c r="AJ108" s="2" t="s">
        <v>84</v>
      </c>
      <c r="AK108" s="2" t="s">
        <v>84</v>
      </c>
      <c r="AL108" s="2" t="s">
        <v>84</v>
      </c>
      <c r="AM108" s="2" t="s">
        <v>84</v>
      </c>
      <c r="AN108" s="2" t="s">
        <v>84</v>
      </c>
      <c r="AO108" s="2" t="s">
        <v>86</v>
      </c>
      <c r="AP108" s="2" t="s">
        <v>84</v>
      </c>
      <c r="AQ108" s="2" t="s">
        <v>84</v>
      </c>
      <c r="AR108" s="2" t="s">
        <v>106</v>
      </c>
      <c r="AS108" s="2" t="s">
        <v>80</v>
      </c>
      <c r="AT108" s="2"/>
      <c r="AU108" s="2" t="s">
        <v>106</v>
      </c>
      <c r="AV108" s="2" t="s">
        <v>79</v>
      </c>
      <c r="AW108" s="2"/>
      <c r="AX108" s="2" t="s">
        <v>1723</v>
      </c>
      <c r="AY108" s="2" t="s">
        <v>100</v>
      </c>
      <c r="AZ108" s="2" t="s">
        <v>1724</v>
      </c>
      <c r="BA108" s="2" t="s">
        <v>102</v>
      </c>
      <c r="BB108" s="2" t="s">
        <v>79</v>
      </c>
      <c r="BC108" s="2" t="s">
        <v>1725</v>
      </c>
      <c r="BD108" s="2" t="s">
        <v>1726</v>
      </c>
      <c r="BE108" s="2" t="s">
        <v>153</v>
      </c>
      <c r="BF108" s="2"/>
      <c r="BG108" s="2" t="s">
        <v>80</v>
      </c>
      <c r="BH108" s="2" t="s">
        <v>79</v>
      </c>
      <c r="BI108" s="2" t="s">
        <v>107</v>
      </c>
      <c r="BJ108" s="2" t="s">
        <v>1727</v>
      </c>
      <c r="BK108" s="2" t="s">
        <v>79</v>
      </c>
      <c r="BL108" s="2" t="s">
        <v>109</v>
      </c>
      <c r="BM108" s="2">
        <v>2017</v>
      </c>
    </row>
    <row r="109" spans="1:65" ht="409.5" x14ac:dyDescent="0.25">
      <c r="A109" s="2" t="s">
        <v>1702</v>
      </c>
      <c r="B109" s="2" t="s">
        <v>80</v>
      </c>
      <c r="C109" s="2" t="s">
        <v>1704</v>
      </c>
      <c r="D109" s="2" t="s">
        <v>79</v>
      </c>
      <c r="E109" s="2"/>
      <c r="F109" s="2" t="s">
        <v>1705</v>
      </c>
      <c r="G109" s="2" t="s">
        <v>89</v>
      </c>
      <c r="H109" s="2" t="s">
        <v>80</v>
      </c>
      <c r="I109" s="2"/>
      <c r="J109" s="2" t="s">
        <v>111</v>
      </c>
      <c r="K109" s="2" t="s">
        <v>79</v>
      </c>
      <c r="L109" s="2"/>
      <c r="M109" s="2" t="s">
        <v>1706</v>
      </c>
      <c r="N109" s="2"/>
      <c r="O109" s="2" t="s">
        <v>155</v>
      </c>
      <c r="P109" s="2" t="s">
        <v>80</v>
      </c>
      <c r="Q109" s="2"/>
      <c r="R109" s="2" t="s">
        <v>92</v>
      </c>
      <c r="S109" s="2" t="s">
        <v>613</v>
      </c>
      <c r="T109" s="2"/>
      <c r="U109" s="2" t="s">
        <v>1707</v>
      </c>
      <c r="V109" s="2" t="s">
        <v>95</v>
      </c>
      <c r="W109" s="2" t="s">
        <v>1708</v>
      </c>
      <c r="X109" s="2" t="s">
        <v>1709</v>
      </c>
      <c r="Y109" s="2" t="s">
        <v>80</v>
      </c>
      <c r="Z109" s="2"/>
      <c r="AA109" s="2"/>
      <c r="AB109" s="2"/>
      <c r="AC109" s="2" t="s">
        <v>79</v>
      </c>
      <c r="AD109" s="2" t="s">
        <v>1710</v>
      </c>
      <c r="AE109" s="2" t="s">
        <v>1703</v>
      </c>
      <c r="AF109" s="2" t="s">
        <v>82</v>
      </c>
      <c r="AG109" s="2">
        <v>7.5</v>
      </c>
      <c r="AH109" s="2" t="s">
        <v>84</v>
      </c>
      <c r="AI109" s="2" t="s">
        <v>84</v>
      </c>
      <c r="AJ109" s="2" t="s">
        <v>84</v>
      </c>
      <c r="AK109" s="2" t="s">
        <v>84</v>
      </c>
      <c r="AL109" s="2" t="s">
        <v>84</v>
      </c>
      <c r="AM109" s="2" t="s">
        <v>84</v>
      </c>
      <c r="AN109" s="2" t="s">
        <v>84</v>
      </c>
      <c r="AO109" s="2" t="s">
        <v>86</v>
      </c>
      <c r="AP109" s="2" t="s">
        <v>86</v>
      </c>
      <c r="AQ109" s="2" t="s">
        <v>85</v>
      </c>
      <c r="AR109" s="2" t="s">
        <v>106</v>
      </c>
      <c r="AS109" s="2" t="s">
        <v>80</v>
      </c>
      <c r="AT109" s="2"/>
      <c r="AU109" s="2" t="s">
        <v>106</v>
      </c>
      <c r="AV109" s="2" t="s">
        <v>79</v>
      </c>
      <c r="AW109" s="2"/>
      <c r="AX109" s="2" t="s">
        <v>1711</v>
      </c>
      <c r="AY109" s="2" t="s">
        <v>100</v>
      </c>
      <c r="AZ109" s="2" t="s">
        <v>1712</v>
      </c>
      <c r="BA109" s="2" t="s">
        <v>102</v>
      </c>
      <c r="BB109" s="2" t="s">
        <v>79</v>
      </c>
      <c r="BC109" s="2" t="s">
        <v>1699</v>
      </c>
      <c r="BD109" s="2" t="s">
        <v>1713</v>
      </c>
      <c r="BE109" s="2" t="s">
        <v>153</v>
      </c>
      <c r="BF109" s="2"/>
      <c r="BG109" s="2" t="s">
        <v>80</v>
      </c>
      <c r="BH109" s="2" t="s">
        <v>79</v>
      </c>
      <c r="BI109" s="2" t="s">
        <v>155</v>
      </c>
      <c r="BJ109" s="2"/>
      <c r="BK109" s="2" t="s">
        <v>80</v>
      </c>
      <c r="BL109" s="2" t="s">
        <v>109</v>
      </c>
      <c r="BM109" s="2">
        <v>2017</v>
      </c>
    </row>
    <row r="110" spans="1:65" ht="409.5" x14ac:dyDescent="0.25">
      <c r="A110" s="2" t="s">
        <v>1728</v>
      </c>
      <c r="B110" s="2" t="s">
        <v>80</v>
      </c>
      <c r="C110" s="2" t="s">
        <v>1730</v>
      </c>
      <c r="D110" s="2" t="s">
        <v>79</v>
      </c>
      <c r="E110" s="2"/>
      <c r="F110" s="2" t="s">
        <v>1731</v>
      </c>
      <c r="G110" s="2" t="s">
        <v>89</v>
      </c>
      <c r="H110" s="2" t="s">
        <v>79</v>
      </c>
      <c r="I110" s="2" t="s">
        <v>116</v>
      </c>
      <c r="J110" s="2" t="s">
        <v>143</v>
      </c>
      <c r="K110" s="2" t="s">
        <v>79</v>
      </c>
      <c r="L110" s="2"/>
      <c r="M110" s="2" t="s">
        <v>1732</v>
      </c>
      <c r="N110" s="2"/>
      <c r="O110" s="2"/>
      <c r="P110" s="2" t="s">
        <v>80</v>
      </c>
      <c r="Q110" s="2"/>
      <c r="R110" s="2" t="s">
        <v>92</v>
      </c>
      <c r="S110" s="2" t="s">
        <v>1036</v>
      </c>
      <c r="T110" s="2" t="s">
        <v>465</v>
      </c>
      <c r="U110" s="2" t="s">
        <v>1733</v>
      </c>
      <c r="V110" s="2" t="s">
        <v>95</v>
      </c>
      <c r="W110" s="2" t="s">
        <v>1734</v>
      </c>
      <c r="X110" s="2" t="s">
        <v>1735</v>
      </c>
      <c r="Y110" s="2" t="s">
        <v>79</v>
      </c>
      <c r="Z110" s="2" t="s">
        <v>1736</v>
      </c>
      <c r="AA110" s="2" t="s">
        <v>1737</v>
      </c>
      <c r="AB110" s="2"/>
      <c r="AC110" s="2" t="s">
        <v>79</v>
      </c>
      <c r="AD110" s="2" t="s">
        <v>1738</v>
      </c>
      <c r="AE110" s="2" t="s">
        <v>1729</v>
      </c>
      <c r="AF110" s="2" t="s">
        <v>82</v>
      </c>
      <c r="AG110" s="2">
        <v>7.5</v>
      </c>
      <c r="AH110" s="2" t="s">
        <v>84</v>
      </c>
      <c r="AI110" s="2" t="s">
        <v>86</v>
      </c>
      <c r="AJ110" s="2" t="s">
        <v>84</v>
      </c>
      <c r="AK110" s="2" t="s">
        <v>84</v>
      </c>
      <c r="AL110" s="2" t="s">
        <v>84</v>
      </c>
      <c r="AM110" s="2" t="s">
        <v>84</v>
      </c>
      <c r="AN110" s="2" t="s">
        <v>84</v>
      </c>
      <c r="AO110" s="2" t="s">
        <v>86</v>
      </c>
      <c r="AP110" s="2" t="s">
        <v>84</v>
      </c>
      <c r="AQ110" s="2" t="s">
        <v>85</v>
      </c>
      <c r="AR110" s="2"/>
      <c r="AS110" s="2" t="s">
        <v>80</v>
      </c>
      <c r="AT110" s="2"/>
      <c r="AU110" s="2"/>
      <c r="AV110" s="2" t="s">
        <v>79</v>
      </c>
      <c r="AW110" s="2"/>
      <c r="AX110" s="2" t="s">
        <v>1739</v>
      </c>
      <c r="AY110" s="2" t="s">
        <v>100</v>
      </c>
      <c r="AZ110" s="2" t="s">
        <v>1740</v>
      </c>
      <c r="BA110" s="2"/>
      <c r="BB110" s="2" t="s">
        <v>79</v>
      </c>
      <c r="BC110" s="2"/>
      <c r="BD110" s="2" t="s">
        <v>1741</v>
      </c>
      <c r="BE110" s="2" t="s">
        <v>153</v>
      </c>
      <c r="BF110" s="2" t="s">
        <v>1742</v>
      </c>
      <c r="BG110" s="2" t="s">
        <v>92</v>
      </c>
      <c r="BH110" s="2" t="s">
        <v>79</v>
      </c>
      <c r="BI110" s="2" t="s">
        <v>429</v>
      </c>
      <c r="BJ110" s="2" t="s">
        <v>1743</v>
      </c>
      <c r="BK110" s="2" t="s">
        <v>79</v>
      </c>
      <c r="BL110" s="2" t="s">
        <v>109</v>
      </c>
      <c r="BM110" s="2">
        <v>2025</v>
      </c>
    </row>
    <row r="111" spans="1:65" ht="409.5" x14ac:dyDescent="0.25">
      <c r="A111" s="2" t="s">
        <v>1487</v>
      </c>
      <c r="B111" s="2" t="s">
        <v>80</v>
      </c>
      <c r="C111" s="2" t="s">
        <v>1490</v>
      </c>
      <c r="D111" s="2" t="s">
        <v>79</v>
      </c>
      <c r="E111" s="2"/>
      <c r="F111" s="2" t="s">
        <v>1491</v>
      </c>
      <c r="G111" s="2"/>
      <c r="H111" s="2" t="s">
        <v>106</v>
      </c>
      <c r="I111" s="2"/>
      <c r="J111" s="2" t="s">
        <v>111</v>
      </c>
      <c r="K111" s="2" t="s">
        <v>79</v>
      </c>
      <c r="L111" s="2"/>
      <c r="M111" s="2" t="s">
        <v>1492</v>
      </c>
      <c r="N111" s="2"/>
      <c r="O111" s="2"/>
      <c r="P111" s="2" t="s">
        <v>80</v>
      </c>
      <c r="Q111" s="2"/>
      <c r="R111" s="2" t="s">
        <v>92</v>
      </c>
      <c r="S111" s="2" t="s">
        <v>1488</v>
      </c>
      <c r="T111" s="2" t="s">
        <v>93</v>
      </c>
      <c r="U111" s="2" t="s">
        <v>1493</v>
      </c>
      <c r="V111" s="2" t="s">
        <v>95</v>
      </c>
      <c r="W111" s="2" t="s">
        <v>1494</v>
      </c>
      <c r="X111" s="2" t="s">
        <v>1495</v>
      </c>
      <c r="Y111" s="2" t="s">
        <v>80</v>
      </c>
      <c r="Z111" s="2"/>
      <c r="AA111" s="2"/>
      <c r="AB111" s="2" t="s">
        <v>1496</v>
      </c>
      <c r="AC111" s="2" t="s">
        <v>79</v>
      </c>
      <c r="AD111" s="2" t="s">
        <v>1497</v>
      </c>
      <c r="AE111" s="2" t="s">
        <v>1489</v>
      </c>
      <c r="AF111" s="2" t="s">
        <v>82</v>
      </c>
      <c r="AG111" s="2">
        <v>8</v>
      </c>
      <c r="AH111" s="2" t="s">
        <v>84</v>
      </c>
      <c r="AI111" s="2" t="s">
        <v>84</v>
      </c>
      <c r="AJ111" s="2" t="s">
        <v>84</v>
      </c>
      <c r="AK111" s="2" t="s">
        <v>86</v>
      </c>
      <c r="AL111" s="2" t="s">
        <v>84</v>
      </c>
      <c r="AM111" s="2" t="s">
        <v>84</v>
      </c>
      <c r="AN111" s="2" t="s">
        <v>84</v>
      </c>
      <c r="AO111" s="2" t="s">
        <v>84</v>
      </c>
      <c r="AP111" s="2" t="s">
        <v>86</v>
      </c>
      <c r="AQ111" s="2" t="s">
        <v>84</v>
      </c>
      <c r="AR111" s="2"/>
      <c r="AS111" s="2" t="s">
        <v>80</v>
      </c>
      <c r="AT111" s="2"/>
      <c r="AU111" s="2"/>
      <c r="AV111" s="2" t="s">
        <v>79</v>
      </c>
      <c r="AW111" s="2"/>
      <c r="AX111" s="2" t="s">
        <v>1498</v>
      </c>
      <c r="AY111" s="2" t="s">
        <v>303</v>
      </c>
      <c r="AZ111" s="2" t="s">
        <v>1499</v>
      </c>
      <c r="BA111" s="2" t="s">
        <v>514</v>
      </c>
      <c r="BB111" s="2" t="s">
        <v>79</v>
      </c>
      <c r="BC111" s="2"/>
      <c r="BD111" s="2" t="s">
        <v>1500</v>
      </c>
      <c r="BE111" s="2"/>
      <c r="BF111" s="2"/>
      <c r="BG111" s="2" t="s">
        <v>80</v>
      </c>
      <c r="BH111" s="2" t="s">
        <v>79</v>
      </c>
      <c r="BI111" s="2" t="s">
        <v>155</v>
      </c>
      <c r="BJ111" s="2"/>
      <c r="BK111" s="2" t="s">
        <v>80</v>
      </c>
      <c r="BL111" s="2" t="s">
        <v>172</v>
      </c>
      <c r="BM111" s="2">
        <v>2020</v>
      </c>
    </row>
  </sheetData>
  <autoFilter ref="A1:BM11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M108"/>
  <sheetViews>
    <sheetView showGridLines="0" workbookViewId="0">
      <pane ySplit="1" topLeftCell="A6" activePane="bottomLeft" state="frozen"/>
      <selection pane="bottomLeft"/>
    </sheetView>
  </sheetViews>
  <sheetFormatPr defaultRowHeight="15" x14ac:dyDescent="0.25"/>
  <cols>
    <col min="1" max="3" width="12.7109375" customWidth="1"/>
    <col min="4" max="6" width="13.7109375" customWidth="1"/>
    <col min="7" max="9" width="26.7109375" customWidth="1"/>
    <col min="10" max="10" width="15.7109375" customWidth="1"/>
    <col min="11" max="11" width="28.7109375" customWidth="1"/>
    <col min="12" max="12" width="12.7109375" customWidth="1"/>
    <col min="13" max="13" width="13.7109375" customWidth="1"/>
    <col min="14" max="14" width="12.7109375" customWidth="1"/>
    <col min="15" max="15" width="30.7109375" customWidth="1"/>
    <col min="16" max="16" width="19.7109375" customWidth="1"/>
    <col min="17" max="17" width="13.7109375" customWidth="1"/>
    <col min="18" max="18" width="22.7109375" customWidth="1"/>
    <col min="19" max="19" width="20.7109375" customWidth="1"/>
    <col min="20" max="22" width="21.7109375" customWidth="1"/>
    <col min="23" max="23" width="18.7109375" customWidth="1"/>
    <col min="24" max="24" width="26.7109375" customWidth="1"/>
    <col min="25" max="25" width="21.7109375" customWidth="1"/>
    <col min="26" max="26" width="23.7109375" customWidth="1"/>
    <col min="27" max="27" width="14.7109375" customWidth="1"/>
    <col min="28" max="30" width="20.7109375" customWidth="1"/>
    <col min="31" max="31" width="12.7109375" customWidth="1"/>
    <col min="32" max="32" width="28.7109375" customWidth="1"/>
    <col min="33" max="33" width="26.7109375" customWidth="1"/>
    <col min="34" max="36" width="12.7109375" customWidth="1"/>
    <col min="37" max="42" width="30.7109375" customWidth="1"/>
    <col min="43" max="43" width="26.7109375" customWidth="1"/>
    <col min="44" max="46" width="30.7109375" customWidth="1"/>
    <col min="47" max="47" width="28.7109375" customWidth="1"/>
    <col min="48" max="49" width="18.7109375" customWidth="1"/>
    <col min="50" max="50" width="26.7109375" customWidth="1"/>
    <col min="51" max="51" width="13.7109375" customWidth="1"/>
    <col min="52" max="52" width="30.7109375" customWidth="1"/>
    <col min="53" max="53" width="14.7109375" customWidth="1"/>
    <col min="54" max="54" width="22.7109375" customWidth="1"/>
    <col min="55" max="55" width="23.7109375" customWidth="1"/>
    <col min="56" max="56" width="24.7109375" customWidth="1"/>
    <col min="57" max="57" width="12.7109375" customWidth="1"/>
    <col min="58" max="58" width="13.7109375" customWidth="1"/>
    <col min="59" max="59" width="17.7109375" customWidth="1"/>
    <col min="60" max="60" width="19.7109375" customWidth="1"/>
    <col min="61" max="61" width="20.7109375" customWidth="1"/>
    <col min="62" max="62" width="19.7109375" customWidth="1"/>
    <col min="63" max="63" width="20.7109375" customWidth="1"/>
    <col min="64" max="64" width="28.7109375" customWidth="1"/>
    <col min="65" max="65" width="12.7109375" customWidth="1"/>
  </cols>
  <sheetData>
    <row r="1" spans="1:65" ht="45" x14ac:dyDescent="0.25">
      <c r="A1" s="3" t="s">
        <v>12</v>
      </c>
      <c r="B1" s="3" t="s">
        <v>13</v>
      </c>
      <c r="C1" s="3" t="s">
        <v>14</v>
      </c>
      <c r="D1" s="3" t="s">
        <v>15</v>
      </c>
      <c r="E1" s="3" t="s">
        <v>16</v>
      </c>
      <c r="F1" s="3" t="s">
        <v>17</v>
      </c>
      <c r="G1" s="3" t="s">
        <v>45</v>
      </c>
      <c r="H1" s="3" t="s">
        <v>40</v>
      </c>
      <c r="I1" s="3" t="s">
        <v>63</v>
      </c>
      <c r="J1" s="3" t="s">
        <v>25</v>
      </c>
      <c r="K1" s="3" t="s">
        <v>24</v>
      </c>
      <c r="L1" s="3" t="s">
        <v>39</v>
      </c>
      <c r="M1" s="3" t="s">
        <v>41</v>
      </c>
      <c r="N1" s="3" t="s">
        <v>42</v>
      </c>
      <c r="O1" s="3" t="s">
        <v>43</v>
      </c>
      <c r="P1" s="3" t="s">
        <v>44</v>
      </c>
      <c r="Q1" s="3" t="s">
        <v>46</v>
      </c>
      <c r="R1" s="3" t="s">
        <v>47</v>
      </c>
      <c r="S1" s="3" t="s">
        <v>48</v>
      </c>
      <c r="T1" s="3" t="s">
        <v>18</v>
      </c>
      <c r="U1" s="3" t="s">
        <v>49</v>
      </c>
      <c r="V1" s="3" t="s">
        <v>50</v>
      </c>
      <c r="W1" s="3" t="s">
        <v>51</v>
      </c>
      <c r="X1" s="3" t="s">
        <v>52</v>
      </c>
      <c r="Y1" s="3" t="s">
        <v>53</v>
      </c>
      <c r="Z1" s="3" t="s">
        <v>54</v>
      </c>
      <c r="AA1" s="3" t="s">
        <v>55</v>
      </c>
      <c r="AB1" s="3" t="s">
        <v>21</v>
      </c>
      <c r="AC1" s="3" t="s">
        <v>56</v>
      </c>
      <c r="AD1" s="3" t="s">
        <v>57</v>
      </c>
      <c r="AE1" s="3" t="s">
        <v>58</v>
      </c>
      <c r="AF1" s="3" t="s">
        <v>20</v>
      </c>
      <c r="AG1" s="3" t="s">
        <v>59</v>
      </c>
      <c r="AH1" s="3" t="s">
        <v>28</v>
      </c>
      <c r="AI1" s="3" t="s">
        <v>27</v>
      </c>
      <c r="AJ1" s="3" t="s">
        <v>26</v>
      </c>
      <c r="AK1" s="3" t="s">
        <v>29</v>
      </c>
      <c r="AL1" s="3" t="s">
        <v>38</v>
      </c>
      <c r="AM1" s="3" t="s">
        <v>30</v>
      </c>
      <c r="AN1" s="3" t="s">
        <v>31</v>
      </c>
      <c r="AO1" s="3" t="s">
        <v>32</v>
      </c>
      <c r="AP1" s="3" t="s">
        <v>33</v>
      </c>
      <c r="AQ1" s="3" t="s">
        <v>34</v>
      </c>
      <c r="AR1" s="3" t="s">
        <v>35</v>
      </c>
      <c r="AS1" s="3" t="s">
        <v>36</v>
      </c>
      <c r="AT1" s="3" t="s">
        <v>37</v>
      </c>
      <c r="AU1" s="3" t="s">
        <v>60</v>
      </c>
      <c r="AV1" s="3" t="s">
        <v>22</v>
      </c>
      <c r="AW1" s="3" t="s">
        <v>61</v>
      </c>
      <c r="AX1" s="3" t="s">
        <v>62</v>
      </c>
      <c r="AY1" s="3" t="s">
        <v>64</v>
      </c>
      <c r="AZ1" s="3" t="s">
        <v>65</v>
      </c>
      <c r="BA1" s="3" t="s">
        <v>66</v>
      </c>
      <c r="BB1" s="3" t="s">
        <v>67</v>
      </c>
      <c r="BC1" s="3" t="s">
        <v>19</v>
      </c>
      <c r="BD1" s="3" t="s">
        <v>68</v>
      </c>
      <c r="BE1" s="3" t="s">
        <v>69</v>
      </c>
      <c r="BF1" s="3" t="s">
        <v>70</v>
      </c>
      <c r="BG1" s="3" t="s">
        <v>71</v>
      </c>
      <c r="BH1" s="3" t="s">
        <v>23</v>
      </c>
      <c r="BI1" s="3" t="s">
        <v>72</v>
      </c>
      <c r="BJ1" s="3" t="s">
        <v>73</v>
      </c>
      <c r="BK1" s="3" t="s">
        <v>74</v>
      </c>
      <c r="BL1" s="3" t="s">
        <v>75</v>
      </c>
      <c r="BM1" s="3" t="s">
        <v>76</v>
      </c>
    </row>
    <row r="2" spans="1:65" ht="409.5" x14ac:dyDescent="0.25">
      <c r="A2" s="2" t="s">
        <v>77</v>
      </c>
      <c r="B2" s="2">
        <v>2008</v>
      </c>
      <c r="C2" s="2" t="s">
        <v>78</v>
      </c>
      <c r="D2" s="2" t="s">
        <v>79</v>
      </c>
      <c r="E2" s="2" t="s">
        <v>79</v>
      </c>
      <c r="F2" s="2" t="s">
        <v>79</v>
      </c>
      <c r="G2" s="2"/>
      <c r="H2" s="2"/>
      <c r="I2" s="2"/>
      <c r="J2" s="2" t="s">
        <v>81</v>
      </c>
      <c r="K2" s="2" t="s">
        <v>79</v>
      </c>
      <c r="L2" s="2" t="s">
        <v>87</v>
      </c>
      <c r="M2" s="2" t="s">
        <v>88</v>
      </c>
      <c r="N2" s="2" t="s">
        <v>89</v>
      </c>
      <c r="O2" s="2" t="s">
        <v>79</v>
      </c>
      <c r="P2" s="2" t="s">
        <v>90</v>
      </c>
      <c r="Q2" s="2" t="s">
        <v>91</v>
      </c>
      <c r="R2" s="2"/>
      <c r="S2" s="2"/>
      <c r="T2" s="2" t="s">
        <v>80</v>
      </c>
      <c r="U2" s="2"/>
      <c r="V2" s="2" t="s">
        <v>92</v>
      </c>
      <c r="W2" s="2" t="s">
        <v>93</v>
      </c>
      <c r="X2" s="2" t="s">
        <v>94</v>
      </c>
      <c r="Y2" s="2" t="s">
        <v>95</v>
      </c>
      <c r="Z2" s="2" t="s">
        <v>96</v>
      </c>
      <c r="AA2" s="2" t="s">
        <v>97</v>
      </c>
      <c r="AB2" s="2" t="s">
        <v>80</v>
      </c>
      <c r="AC2" s="2"/>
      <c r="AD2" s="2"/>
      <c r="AE2" s="2"/>
      <c r="AF2" s="2" t="s">
        <v>79</v>
      </c>
      <c r="AG2" s="2" t="s">
        <v>98</v>
      </c>
      <c r="AH2" s="2" t="s">
        <v>83</v>
      </c>
      <c r="AI2" s="2" t="s">
        <v>82</v>
      </c>
      <c r="AJ2" s="2">
        <v>7</v>
      </c>
      <c r="AK2" s="2" t="s">
        <v>84</v>
      </c>
      <c r="AL2" s="2" t="s">
        <v>86</v>
      </c>
      <c r="AM2" s="2" t="s">
        <v>84</v>
      </c>
      <c r="AN2" s="2" t="s">
        <v>84</v>
      </c>
      <c r="AO2" s="2" t="s">
        <v>84</v>
      </c>
      <c r="AP2" s="2" t="s">
        <v>84</v>
      </c>
      <c r="AQ2" s="2" t="s">
        <v>85</v>
      </c>
      <c r="AR2" s="2" t="s">
        <v>86</v>
      </c>
      <c r="AS2" s="2" t="s">
        <v>84</v>
      </c>
      <c r="AT2" s="2" t="s">
        <v>85</v>
      </c>
      <c r="AU2" s="2"/>
      <c r="AV2" s="2" t="s">
        <v>80</v>
      </c>
      <c r="AW2" s="2"/>
      <c r="AX2" s="2"/>
      <c r="AY2" s="2" t="s">
        <v>99</v>
      </c>
      <c r="AZ2" s="2" t="s">
        <v>100</v>
      </c>
      <c r="BA2" s="2" t="s">
        <v>101</v>
      </c>
      <c r="BB2" s="2" t="s">
        <v>102</v>
      </c>
      <c r="BC2" s="2" t="s">
        <v>79</v>
      </c>
      <c r="BD2" s="2"/>
      <c r="BE2" s="2" t="s">
        <v>103</v>
      </c>
      <c r="BF2" s="2" t="s">
        <v>104</v>
      </c>
      <c r="BG2" s="2" t="s">
        <v>105</v>
      </c>
      <c r="BH2" s="2" t="s">
        <v>79</v>
      </c>
      <c r="BI2" s="2" t="s">
        <v>106</v>
      </c>
      <c r="BJ2" s="2" t="s">
        <v>107</v>
      </c>
      <c r="BK2" s="2" t="s">
        <v>108</v>
      </c>
      <c r="BL2" s="2" t="s">
        <v>79</v>
      </c>
      <c r="BM2" s="2" t="s">
        <v>109</v>
      </c>
    </row>
    <row r="3" spans="1:65" ht="409.5" x14ac:dyDescent="0.25">
      <c r="A3" s="2" t="s">
        <v>110</v>
      </c>
      <c r="B3" s="2">
        <v>2008</v>
      </c>
      <c r="C3" s="2" t="s">
        <v>111</v>
      </c>
      <c r="D3" s="2" t="s">
        <v>79</v>
      </c>
      <c r="E3" s="2" t="s">
        <v>79</v>
      </c>
      <c r="F3" s="2" t="s">
        <v>79</v>
      </c>
      <c r="G3" s="2"/>
      <c r="H3" s="2"/>
      <c r="I3" s="2"/>
      <c r="J3" s="2" t="s">
        <v>112</v>
      </c>
      <c r="K3" s="2" t="s">
        <v>80</v>
      </c>
      <c r="L3" s="2" t="s">
        <v>114</v>
      </c>
      <c r="M3" s="2" t="s">
        <v>115</v>
      </c>
      <c r="N3" s="2" t="s">
        <v>89</v>
      </c>
      <c r="O3" s="2" t="s">
        <v>106</v>
      </c>
      <c r="P3" s="2" t="s">
        <v>116</v>
      </c>
      <c r="Q3" s="2" t="s">
        <v>117</v>
      </c>
      <c r="R3" s="2"/>
      <c r="S3" s="2"/>
      <c r="T3" s="2" t="s">
        <v>80</v>
      </c>
      <c r="U3" s="2"/>
      <c r="V3" s="2" t="s">
        <v>92</v>
      </c>
      <c r="W3" s="2" t="s">
        <v>118</v>
      </c>
      <c r="X3" s="2" t="s">
        <v>119</v>
      </c>
      <c r="Y3" s="2" t="s">
        <v>95</v>
      </c>
      <c r="Z3" s="2" t="s">
        <v>120</v>
      </c>
      <c r="AA3" s="2" t="s">
        <v>121</v>
      </c>
      <c r="AB3" s="2" t="s">
        <v>80</v>
      </c>
      <c r="AC3" s="2"/>
      <c r="AD3" s="2"/>
      <c r="AE3" s="2"/>
      <c r="AF3" s="2" t="s">
        <v>79</v>
      </c>
      <c r="AG3" s="2" t="s">
        <v>122</v>
      </c>
      <c r="AH3" s="2" t="s">
        <v>113</v>
      </c>
      <c r="AI3" s="2" t="s">
        <v>82</v>
      </c>
      <c r="AJ3" s="2">
        <v>7.5</v>
      </c>
      <c r="AK3" s="2" t="s">
        <v>84</v>
      </c>
      <c r="AL3" s="2" t="s">
        <v>86</v>
      </c>
      <c r="AM3" s="2" t="s">
        <v>85</v>
      </c>
      <c r="AN3" s="2" t="s">
        <v>84</v>
      </c>
      <c r="AO3" s="2" t="s">
        <v>84</v>
      </c>
      <c r="AP3" s="2" t="s">
        <v>84</v>
      </c>
      <c r="AQ3" s="2" t="s">
        <v>84</v>
      </c>
      <c r="AR3" s="2" t="s">
        <v>84</v>
      </c>
      <c r="AS3" s="2" t="s">
        <v>84</v>
      </c>
      <c r="AT3" s="2" t="s">
        <v>86</v>
      </c>
      <c r="AU3" s="2"/>
      <c r="AV3" s="2" t="s">
        <v>80</v>
      </c>
      <c r="AW3" s="2"/>
      <c r="AX3" s="2"/>
      <c r="AY3" s="2" t="s">
        <v>123</v>
      </c>
      <c r="AZ3" s="2" t="s">
        <v>100</v>
      </c>
      <c r="BA3" s="2" t="s">
        <v>124</v>
      </c>
      <c r="BB3" s="2" t="s">
        <v>102</v>
      </c>
      <c r="BC3" s="2" t="s">
        <v>79</v>
      </c>
      <c r="BD3" s="2"/>
      <c r="BE3" s="2" t="s">
        <v>125</v>
      </c>
      <c r="BF3" s="2" t="s">
        <v>104</v>
      </c>
      <c r="BG3" s="2" t="s">
        <v>126</v>
      </c>
      <c r="BH3" s="2" t="s">
        <v>106</v>
      </c>
      <c r="BI3" s="2" t="s">
        <v>79</v>
      </c>
      <c r="BJ3" s="2" t="s">
        <v>107</v>
      </c>
      <c r="BK3" s="2" t="s">
        <v>127</v>
      </c>
      <c r="BL3" s="2" t="s">
        <v>79</v>
      </c>
      <c r="BM3" s="2" t="s">
        <v>109</v>
      </c>
    </row>
    <row r="4" spans="1:65" ht="409.5" x14ac:dyDescent="0.25">
      <c r="A4" s="2" t="s">
        <v>128</v>
      </c>
      <c r="B4" s="2">
        <v>2008</v>
      </c>
      <c r="C4" s="2" t="s">
        <v>111</v>
      </c>
      <c r="D4" s="2" t="s">
        <v>79</v>
      </c>
      <c r="E4" s="2" t="s">
        <v>79</v>
      </c>
      <c r="F4" s="2" t="s">
        <v>79</v>
      </c>
      <c r="G4" s="2"/>
      <c r="H4" s="2"/>
      <c r="I4" s="2"/>
      <c r="J4" s="2" t="s">
        <v>112</v>
      </c>
      <c r="K4" s="2" t="s">
        <v>80</v>
      </c>
      <c r="L4" s="2" t="s">
        <v>130</v>
      </c>
      <c r="M4" s="2" t="s">
        <v>115</v>
      </c>
      <c r="N4" s="2" t="s">
        <v>89</v>
      </c>
      <c r="O4" s="2" t="s">
        <v>106</v>
      </c>
      <c r="P4" s="2" t="s">
        <v>116</v>
      </c>
      <c r="Q4" s="2" t="s">
        <v>117</v>
      </c>
      <c r="R4" s="2"/>
      <c r="S4" s="2"/>
      <c r="T4" s="2" t="s">
        <v>80</v>
      </c>
      <c r="U4" s="2"/>
      <c r="V4" s="2" t="s">
        <v>92</v>
      </c>
      <c r="W4" s="2" t="s">
        <v>118</v>
      </c>
      <c r="X4" s="2" t="s">
        <v>119</v>
      </c>
      <c r="Y4" s="2" t="s">
        <v>95</v>
      </c>
      <c r="Z4" s="2" t="s">
        <v>131</v>
      </c>
      <c r="AA4" s="2" t="s">
        <v>132</v>
      </c>
      <c r="AB4" s="2" t="s">
        <v>80</v>
      </c>
      <c r="AC4" s="2"/>
      <c r="AD4" s="2"/>
      <c r="AE4" s="2" t="s">
        <v>133</v>
      </c>
      <c r="AF4" s="2" t="s">
        <v>79</v>
      </c>
      <c r="AG4" s="2" t="s">
        <v>134</v>
      </c>
      <c r="AH4" s="2" t="s">
        <v>129</v>
      </c>
      <c r="AI4" s="2" t="s">
        <v>82</v>
      </c>
      <c r="AJ4" s="2">
        <v>7.5</v>
      </c>
      <c r="AK4" s="2" t="s">
        <v>84</v>
      </c>
      <c r="AL4" s="2" t="s">
        <v>86</v>
      </c>
      <c r="AM4" s="2" t="s">
        <v>85</v>
      </c>
      <c r="AN4" s="2" t="s">
        <v>84</v>
      </c>
      <c r="AO4" s="2" t="s">
        <v>84</v>
      </c>
      <c r="AP4" s="2" t="s">
        <v>84</v>
      </c>
      <c r="AQ4" s="2" t="s">
        <v>84</v>
      </c>
      <c r="AR4" s="2" t="s">
        <v>84</v>
      </c>
      <c r="AS4" s="2" t="s">
        <v>84</v>
      </c>
      <c r="AT4" s="2" t="s">
        <v>86</v>
      </c>
      <c r="AU4" s="2"/>
      <c r="AV4" s="2" t="s">
        <v>80</v>
      </c>
      <c r="AW4" s="2"/>
      <c r="AX4" s="2"/>
      <c r="AY4" s="2" t="s">
        <v>135</v>
      </c>
      <c r="AZ4" s="2" t="s">
        <v>100</v>
      </c>
      <c r="BA4" s="2" t="s">
        <v>136</v>
      </c>
      <c r="BB4" s="2" t="s">
        <v>102</v>
      </c>
      <c r="BC4" s="2" t="s">
        <v>79</v>
      </c>
      <c r="BD4" s="2"/>
      <c r="BE4" s="2" t="s">
        <v>137</v>
      </c>
      <c r="BF4" s="2" t="s">
        <v>104</v>
      </c>
      <c r="BG4" s="2" t="s">
        <v>138</v>
      </c>
      <c r="BH4" s="2" t="s">
        <v>106</v>
      </c>
      <c r="BI4" s="2" t="s">
        <v>79</v>
      </c>
      <c r="BJ4" s="2" t="s">
        <v>107</v>
      </c>
      <c r="BK4" s="2" t="s">
        <v>127</v>
      </c>
      <c r="BL4" s="2" t="s">
        <v>79</v>
      </c>
      <c r="BM4" s="2" t="s">
        <v>109</v>
      </c>
    </row>
    <row r="5" spans="1:65" ht="409.5" x14ac:dyDescent="0.25">
      <c r="A5" s="2" t="s">
        <v>139</v>
      </c>
      <c r="B5" s="2">
        <v>2012</v>
      </c>
      <c r="C5" s="2" t="s">
        <v>111</v>
      </c>
      <c r="D5" s="2" t="s">
        <v>79</v>
      </c>
      <c r="E5" s="2" t="s">
        <v>79</v>
      </c>
      <c r="F5" s="2" t="s">
        <v>79</v>
      </c>
      <c r="G5" s="2"/>
      <c r="H5" s="2"/>
      <c r="I5" s="2"/>
      <c r="J5" s="2" t="s">
        <v>112</v>
      </c>
      <c r="K5" s="2" t="s">
        <v>92</v>
      </c>
      <c r="L5" s="2" t="s">
        <v>141</v>
      </c>
      <c r="M5" s="2" t="s">
        <v>142</v>
      </c>
      <c r="N5" s="2" t="s">
        <v>143</v>
      </c>
      <c r="O5" s="2" t="s">
        <v>79</v>
      </c>
      <c r="P5" s="2" t="s">
        <v>90</v>
      </c>
      <c r="Q5" s="2" t="s">
        <v>144</v>
      </c>
      <c r="R5" s="2"/>
      <c r="S5" s="2"/>
      <c r="T5" s="2" t="s">
        <v>80</v>
      </c>
      <c r="U5" s="2"/>
      <c r="V5" s="2" t="s">
        <v>92</v>
      </c>
      <c r="W5" s="2" t="s">
        <v>145</v>
      </c>
      <c r="X5" s="2" t="s">
        <v>146</v>
      </c>
      <c r="Y5" s="2" t="s">
        <v>95</v>
      </c>
      <c r="Z5" s="2" t="s">
        <v>147</v>
      </c>
      <c r="AA5" s="2" t="s">
        <v>148</v>
      </c>
      <c r="AB5" s="2" t="s">
        <v>80</v>
      </c>
      <c r="AC5" s="2"/>
      <c r="AD5" s="2"/>
      <c r="AE5" s="2"/>
      <c r="AF5" s="2" t="s">
        <v>79</v>
      </c>
      <c r="AG5" s="2" t="s">
        <v>149</v>
      </c>
      <c r="AH5" s="2" t="s">
        <v>140</v>
      </c>
      <c r="AI5" s="2" t="s">
        <v>82</v>
      </c>
      <c r="AJ5" s="2">
        <v>9</v>
      </c>
      <c r="AK5" s="2" t="s">
        <v>84</v>
      </c>
      <c r="AL5" s="2" t="s">
        <v>84</v>
      </c>
      <c r="AM5" s="2" t="s">
        <v>84</v>
      </c>
      <c r="AN5" s="2" t="s">
        <v>84</v>
      </c>
      <c r="AO5" s="2" t="s">
        <v>84</v>
      </c>
      <c r="AP5" s="2" t="s">
        <v>84</v>
      </c>
      <c r="AQ5" s="2" t="s">
        <v>84</v>
      </c>
      <c r="AR5" s="2" t="s">
        <v>84</v>
      </c>
      <c r="AS5" s="2" t="s">
        <v>85</v>
      </c>
      <c r="AT5" s="2" t="s">
        <v>85</v>
      </c>
      <c r="AU5" s="2"/>
      <c r="AV5" s="2" t="s">
        <v>80</v>
      </c>
      <c r="AW5" s="2"/>
      <c r="AX5" s="2"/>
      <c r="AY5" s="2" t="s">
        <v>150</v>
      </c>
      <c r="AZ5" s="2" t="s">
        <v>100</v>
      </c>
      <c r="BA5" s="2" t="s">
        <v>151</v>
      </c>
      <c r="BB5" s="2" t="s">
        <v>102</v>
      </c>
      <c r="BC5" s="2" t="s">
        <v>79</v>
      </c>
      <c r="BD5" s="2"/>
      <c r="BE5" s="2" t="s">
        <v>152</v>
      </c>
      <c r="BF5" s="2" t="s">
        <v>153</v>
      </c>
      <c r="BG5" s="2" t="s">
        <v>154</v>
      </c>
      <c r="BH5" s="2" t="s">
        <v>106</v>
      </c>
      <c r="BI5" s="2" t="s">
        <v>79</v>
      </c>
      <c r="BJ5" s="2" t="s">
        <v>155</v>
      </c>
      <c r="BK5" s="2"/>
      <c r="BL5" s="2" t="s">
        <v>80</v>
      </c>
      <c r="BM5" s="2" t="s">
        <v>109</v>
      </c>
    </row>
    <row r="6" spans="1:65" ht="409.5" x14ac:dyDescent="0.25">
      <c r="A6" s="2" t="s">
        <v>156</v>
      </c>
      <c r="B6" s="2">
        <v>2012</v>
      </c>
      <c r="C6" s="2" t="s">
        <v>111</v>
      </c>
      <c r="D6" s="2" t="s">
        <v>79</v>
      </c>
      <c r="E6" s="2" t="s">
        <v>79</v>
      </c>
      <c r="F6" s="2" t="s">
        <v>79</v>
      </c>
      <c r="G6" s="2" t="s">
        <v>92</v>
      </c>
      <c r="H6" s="2" t="s">
        <v>79</v>
      </c>
      <c r="I6" s="2" t="s">
        <v>92</v>
      </c>
      <c r="J6" s="2" t="s">
        <v>112</v>
      </c>
      <c r="K6" s="2" t="s">
        <v>92</v>
      </c>
      <c r="L6" s="2" t="s">
        <v>158</v>
      </c>
      <c r="M6" s="2" t="s">
        <v>159</v>
      </c>
      <c r="N6" s="2" t="s">
        <v>89</v>
      </c>
      <c r="O6" s="2" t="s">
        <v>106</v>
      </c>
      <c r="P6" s="2" t="s">
        <v>116</v>
      </c>
      <c r="Q6" s="2" t="s">
        <v>160</v>
      </c>
      <c r="R6" s="2"/>
      <c r="S6" s="2"/>
      <c r="T6" s="2" t="s">
        <v>80</v>
      </c>
      <c r="U6" s="2"/>
      <c r="V6" s="2" t="s">
        <v>92</v>
      </c>
      <c r="W6" s="2" t="s">
        <v>161</v>
      </c>
      <c r="X6" s="2" t="s">
        <v>162</v>
      </c>
      <c r="Y6" s="2" t="s">
        <v>95</v>
      </c>
      <c r="Z6" s="2" t="s">
        <v>163</v>
      </c>
      <c r="AA6" s="2" t="s">
        <v>164</v>
      </c>
      <c r="AB6" s="2" t="s">
        <v>80</v>
      </c>
      <c r="AC6" s="2"/>
      <c r="AD6" s="2"/>
      <c r="AE6" s="2"/>
      <c r="AF6" s="2" t="s">
        <v>79</v>
      </c>
      <c r="AG6" s="2" t="s">
        <v>165</v>
      </c>
      <c r="AH6" s="2" t="s">
        <v>157</v>
      </c>
      <c r="AI6" s="2" t="s">
        <v>82</v>
      </c>
      <c r="AJ6" s="2">
        <v>9.5</v>
      </c>
      <c r="AK6" s="2" t="s">
        <v>84</v>
      </c>
      <c r="AL6" s="2" t="s">
        <v>84</v>
      </c>
      <c r="AM6" s="2" t="s">
        <v>84</v>
      </c>
      <c r="AN6" s="2" t="s">
        <v>84</v>
      </c>
      <c r="AO6" s="2" t="s">
        <v>84</v>
      </c>
      <c r="AP6" s="2" t="s">
        <v>84</v>
      </c>
      <c r="AQ6" s="2" t="s">
        <v>84</v>
      </c>
      <c r="AR6" s="2" t="s">
        <v>84</v>
      </c>
      <c r="AS6" s="2" t="s">
        <v>84</v>
      </c>
      <c r="AT6" s="2" t="s">
        <v>85</v>
      </c>
      <c r="AU6" s="2" t="s">
        <v>80</v>
      </c>
      <c r="AV6" s="2" t="s">
        <v>80</v>
      </c>
      <c r="AW6" s="2"/>
      <c r="AX6" s="2" t="s">
        <v>80</v>
      </c>
      <c r="AY6" s="2" t="s">
        <v>166</v>
      </c>
      <c r="AZ6" s="2" t="s">
        <v>100</v>
      </c>
      <c r="BA6" s="2" t="s">
        <v>167</v>
      </c>
      <c r="BB6" s="2" t="s">
        <v>102</v>
      </c>
      <c r="BC6" s="2" t="s">
        <v>79</v>
      </c>
      <c r="BD6" s="2" t="s">
        <v>168</v>
      </c>
      <c r="BE6" s="2" t="s">
        <v>169</v>
      </c>
      <c r="BF6" s="2" t="s">
        <v>153</v>
      </c>
      <c r="BG6" s="2" t="s">
        <v>170</v>
      </c>
      <c r="BH6" s="2" t="s">
        <v>80</v>
      </c>
      <c r="BI6" s="2" t="s">
        <v>79</v>
      </c>
      <c r="BJ6" s="2" t="s">
        <v>107</v>
      </c>
      <c r="BK6" s="2" t="s">
        <v>171</v>
      </c>
      <c r="BL6" s="2" t="s">
        <v>79</v>
      </c>
      <c r="BM6" s="2" t="s">
        <v>172</v>
      </c>
    </row>
    <row r="7" spans="1:65" ht="409.5" x14ac:dyDescent="0.25">
      <c r="A7" s="2" t="s">
        <v>173</v>
      </c>
      <c r="B7" s="2">
        <v>2012</v>
      </c>
      <c r="C7" s="2" t="s">
        <v>111</v>
      </c>
      <c r="D7" s="2" t="s">
        <v>79</v>
      </c>
      <c r="E7" s="2" t="s">
        <v>79</v>
      </c>
      <c r="F7" s="2" t="s">
        <v>79</v>
      </c>
      <c r="G7" s="2" t="s">
        <v>92</v>
      </c>
      <c r="H7" s="2" t="s">
        <v>79</v>
      </c>
      <c r="I7" s="2" t="s">
        <v>92</v>
      </c>
      <c r="J7" s="2" t="s">
        <v>112</v>
      </c>
      <c r="K7" s="2" t="s">
        <v>80</v>
      </c>
      <c r="L7" s="2" t="s">
        <v>175</v>
      </c>
      <c r="M7" s="2" t="s">
        <v>176</v>
      </c>
      <c r="N7" s="2" t="s">
        <v>89</v>
      </c>
      <c r="O7" s="2" t="s">
        <v>106</v>
      </c>
      <c r="P7" s="2" t="s">
        <v>116</v>
      </c>
      <c r="Q7" s="2" t="s">
        <v>177</v>
      </c>
      <c r="R7" s="2"/>
      <c r="S7" s="2"/>
      <c r="T7" s="2" t="s">
        <v>80</v>
      </c>
      <c r="U7" s="2"/>
      <c r="V7" s="2" t="s">
        <v>92</v>
      </c>
      <c r="W7" s="2" t="s">
        <v>178</v>
      </c>
      <c r="X7" s="2" t="s">
        <v>179</v>
      </c>
      <c r="Y7" s="2" t="s">
        <v>95</v>
      </c>
      <c r="Z7" s="2" t="s">
        <v>180</v>
      </c>
      <c r="AA7" s="2" t="s">
        <v>181</v>
      </c>
      <c r="AB7" s="2" t="s">
        <v>80</v>
      </c>
      <c r="AC7" s="2"/>
      <c r="AD7" s="2"/>
      <c r="AE7" s="2"/>
      <c r="AF7" s="2" t="s">
        <v>79</v>
      </c>
      <c r="AG7" s="2" t="s">
        <v>182</v>
      </c>
      <c r="AH7" s="2" t="s">
        <v>174</v>
      </c>
      <c r="AI7" s="2" t="s">
        <v>82</v>
      </c>
      <c r="AJ7" s="2">
        <v>9.5</v>
      </c>
      <c r="AK7" s="2" t="s">
        <v>84</v>
      </c>
      <c r="AL7" s="2" t="s">
        <v>84</v>
      </c>
      <c r="AM7" s="2" t="s">
        <v>84</v>
      </c>
      <c r="AN7" s="2" t="s">
        <v>84</v>
      </c>
      <c r="AO7" s="2" t="s">
        <v>84</v>
      </c>
      <c r="AP7" s="2" t="s">
        <v>84</v>
      </c>
      <c r="AQ7" s="2" t="s">
        <v>84</v>
      </c>
      <c r="AR7" s="2" t="s">
        <v>84</v>
      </c>
      <c r="AS7" s="2" t="s">
        <v>84</v>
      </c>
      <c r="AT7" s="2" t="s">
        <v>85</v>
      </c>
      <c r="AU7" s="2" t="s">
        <v>80</v>
      </c>
      <c r="AV7" s="2" t="s">
        <v>80</v>
      </c>
      <c r="AW7" s="2"/>
      <c r="AX7" s="2" t="s">
        <v>80</v>
      </c>
      <c r="AY7" s="2" t="s">
        <v>183</v>
      </c>
      <c r="AZ7" s="2" t="s">
        <v>100</v>
      </c>
      <c r="BA7" s="2" t="s">
        <v>184</v>
      </c>
      <c r="BB7" s="2" t="s">
        <v>102</v>
      </c>
      <c r="BC7" s="2" t="s">
        <v>79</v>
      </c>
      <c r="BD7" s="2" t="s">
        <v>168</v>
      </c>
      <c r="BE7" s="2" t="s">
        <v>185</v>
      </c>
      <c r="BF7" s="2" t="s">
        <v>153</v>
      </c>
      <c r="BG7" s="2" t="s">
        <v>186</v>
      </c>
      <c r="BH7" s="2" t="s">
        <v>92</v>
      </c>
      <c r="BI7" s="2" t="s">
        <v>79</v>
      </c>
      <c r="BJ7" s="2" t="s">
        <v>107</v>
      </c>
      <c r="BK7" s="2" t="s">
        <v>187</v>
      </c>
      <c r="BL7" s="2" t="s">
        <v>79</v>
      </c>
      <c r="BM7" s="2" t="s">
        <v>109</v>
      </c>
    </row>
    <row r="8" spans="1:65" ht="409.5" x14ac:dyDescent="0.25">
      <c r="A8" s="2" t="s">
        <v>188</v>
      </c>
      <c r="B8" s="2">
        <v>2013</v>
      </c>
      <c r="C8" s="2" t="s">
        <v>189</v>
      </c>
      <c r="D8" s="2" t="s">
        <v>79</v>
      </c>
      <c r="E8" s="2" t="s">
        <v>79</v>
      </c>
      <c r="F8" s="2" t="s">
        <v>79</v>
      </c>
      <c r="G8" s="2" t="s">
        <v>79</v>
      </c>
      <c r="H8" s="2" t="s">
        <v>92</v>
      </c>
      <c r="I8" s="2" t="s">
        <v>92</v>
      </c>
      <c r="J8" s="2" t="s">
        <v>81</v>
      </c>
      <c r="K8" s="2" t="s">
        <v>79</v>
      </c>
      <c r="L8" s="2" t="s">
        <v>191</v>
      </c>
      <c r="M8" s="2" t="s">
        <v>192</v>
      </c>
      <c r="N8" s="2" t="s">
        <v>193</v>
      </c>
      <c r="O8" s="2" t="s">
        <v>79</v>
      </c>
      <c r="P8" s="2" t="s">
        <v>194</v>
      </c>
      <c r="Q8" s="2" t="s">
        <v>195</v>
      </c>
      <c r="R8" s="2"/>
      <c r="S8" s="2"/>
      <c r="T8" s="2" t="s">
        <v>80</v>
      </c>
      <c r="U8" s="2"/>
      <c r="V8" s="2" t="s">
        <v>92</v>
      </c>
      <c r="W8" s="2" t="s">
        <v>178</v>
      </c>
      <c r="X8" s="2" t="s">
        <v>196</v>
      </c>
      <c r="Y8" s="2" t="s">
        <v>95</v>
      </c>
      <c r="Z8" s="2" t="s">
        <v>197</v>
      </c>
      <c r="AA8" s="2" t="s">
        <v>198</v>
      </c>
      <c r="AB8" s="2" t="s">
        <v>80</v>
      </c>
      <c r="AC8" s="2"/>
      <c r="AD8" s="2"/>
      <c r="AE8" s="2"/>
      <c r="AF8" s="2" t="s">
        <v>79</v>
      </c>
      <c r="AG8" s="2" t="s">
        <v>199</v>
      </c>
      <c r="AH8" s="2" t="s">
        <v>190</v>
      </c>
      <c r="AI8" s="2" t="s">
        <v>82</v>
      </c>
      <c r="AJ8" s="2">
        <v>9</v>
      </c>
      <c r="AK8" s="2" t="s">
        <v>84</v>
      </c>
      <c r="AL8" s="2" t="s">
        <v>84</v>
      </c>
      <c r="AM8" s="2" t="s">
        <v>84</v>
      </c>
      <c r="AN8" s="2" t="s">
        <v>84</v>
      </c>
      <c r="AO8" s="2" t="s">
        <v>84</v>
      </c>
      <c r="AP8" s="2" t="s">
        <v>84</v>
      </c>
      <c r="AQ8" s="2" t="s">
        <v>85</v>
      </c>
      <c r="AR8" s="2" t="s">
        <v>84</v>
      </c>
      <c r="AS8" s="2" t="s">
        <v>84</v>
      </c>
      <c r="AT8" s="2" t="s">
        <v>85</v>
      </c>
      <c r="AU8" s="2" t="s">
        <v>80</v>
      </c>
      <c r="AV8" s="2" t="s">
        <v>80</v>
      </c>
      <c r="AW8" s="2"/>
      <c r="AX8" s="2" t="s">
        <v>80</v>
      </c>
      <c r="AY8" s="2" t="s">
        <v>200</v>
      </c>
      <c r="AZ8" s="2" t="s">
        <v>100</v>
      </c>
      <c r="BA8" s="2" t="s">
        <v>201</v>
      </c>
      <c r="BB8" s="2" t="s">
        <v>202</v>
      </c>
      <c r="BC8" s="2" t="s">
        <v>79</v>
      </c>
      <c r="BD8" s="2" t="s">
        <v>203</v>
      </c>
      <c r="BE8" s="2" t="s">
        <v>204</v>
      </c>
      <c r="BF8" s="2" t="s">
        <v>104</v>
      </c>
      <c r="BG8" s="2" t="s">
        <v>205</v>
      </c>
      <c r="BH8" s="2" t="s">
        <v>79</v>
      </c>
      <c r="BI8" s="2" t="s">
        <v>106</v>
      </c>
      <c r="BJ8" s="2" t="s">
        <v>206</v>
      </c>
      <c r="BK8" s="2" t="s">
        <v>207</v>
      </c>
      <c r="BL8" s="2" t="s">
        <v>79</v>
      </c>
      <c r="BM8" s="2" t="s">
        <v>109</v>
      </c>
    </row>
    <row r="9" spans="1:65" ht="409.5" x14ac:dyDescent="0.25">
      <c r="A9" s="2" t="s">
        <v>208</v>
      </c>
      <c r="B9" s="2">
        <v>2013</v>
      </c>
      <c r="C9" s="2" t="s">
        <v>111</v>
      </c>
      <c r="D9" s="2" t="s">
        <v>79</v>
      </c>
      <c r="E9" s="2" t="s">
        <v>79</v>
      </c>
      <c r="F9" s="2" t="s">
        <v>79</v>
      </c>
      <c r="G9" s="2" t="s">
        <v>92</v>
      </c>
      <c r="H9" s="2" t="s">
        <v>79</v>
      </c>
      <c r="I9" s="2" t="s">
        <v>92</v>
      </c>
      <c r="J9" s="2" t="s">
        <v>112</v>
      </c>
      <c r="K9" s="2" t="s">
        <v>80</v>
      </c>
      <c r="L9" s="2" t="s">
        <v>210</v>
      </c>
      <c r="M9" s="2" t="s">
        <v>211</v>
      </c>
      <c r="N9" s="2" t="s">
        <v>89</v>
      </c>
      <c r="O9" s="2" t="s">
        <v>106</v>
      </c>
      <c r="P9" s="2" t="s">
        <v>116</v>
      </c>
      <c r="Q9" s="2" t="s">
        <v>212</v>
      </c>
      <c r="R9" s="2"/>
      <c r="S9" s="2"/>
      <c r="T9" s="2" t="s">
        <v>80</v>
      </c>
      <c r="U9" s="2"/>
      <c r="V9" s="2" t="s">
        <v>92</v>
      </c>
      <c r="W9" s="2" t="s">
        <v>213</v>
      </c>
      <c r="X9" s="2" t="s">
        <v>214</v>
      </c>
      <c r="Y9" s="2" t="s">
        <v>95</v>
      </c>
      <c r="Z9" s="2" t="s">
        <v>215</v>
      </c>
      <c r="AA9" s="2" t="s">
        <v>216</v>
      </c>
      <c r="AB9" s="2" t="s">
        <v>80</v>
      </c>
      <c r="AC9" s="2"/>
      <c r="AD9" s="2"/>
      <c r="AE9" s="2"/>
      <c r="AF9" s="2" t="s">
        <v>79</v>
      </c>
      <c r="AG9" s="2" t="s">
        <v>217</v>
      </c>
      <c r="AH9" s="2" t="s">
        <v>209</v>
      </c>
      <c r="AI9" s="2" t="s">
        <v>82</v>
      </c>
      <c r="AJ9" s="2">
        <v>9.5</v>
      </c>
      <c r="AK9" s="2" t="s">
        <v>84</v>
      </c>
      <c r="AL9" s="2" t="s">
        <v>84</v>
      </c>
      <c r="AM9" s="2" t="s">
        <v>84</v>
      </c>
      <c r="AN9" s="2" t="s">
        <v>84</v>
      </c>
      <c r="AO9" s="2" t="s">
        <v>84</v>
      </c>
      <c r="AP9" s="2" t="s">
        <v>84</v>
      </c>
      <c r="AQ9" s="2" t="s">
        <v>84</v>
      </c>
      <c r="AR9" s="2" t="s">
        <v>84</v>
      </c>
      <c r="AS9" s="2" t="s">
        <v>84</v>
      </c>
      <c r="AT9" s="2" t="s">
        <v>85</v>
      </c>
      <c r="AU9" s="2" t="s">
        <v>80</v>
      </c>
      <c r="AV9" s="2" t="s">
        <v>80</v>
      </c>
      <c r="AW9" s="2"/>
      <c r="AX9" s="2" t="s">
        <v>80</v>
      </c>
      <c r="AY9" s="2" t="s">
        <v>218</v>
      </c>
      <c r="AZ9" s="2" t="s">
        <v>100</v>
      </c>
      <c r="BA9" s="2" t="s">
        <v>219</v>
      </c>
      <c r="BB9" s="2" t="s">
        <v>102</v>
      </c>
      <c r="BC9" s="2" t="s">
        <v>79</v>
      </c>
      <c r="BD9" s="2" t="s">
        <v>168</v>
      </c>
      <c r="BE9" s="2" t="s">
        <v>220</v>
      </c>
      <c r="BF9" s="2" t="s">
        <v>153</v>
      </c>
      <c r="BG9" s="2" t="s">
        <v>221</v>
      </c>
      <c r="BH9" s="2" t="s">
        <v>80</v>
      </c>
      <c r="BI9" s="2" t="s">
        <v>79</v>
      </c>
      <c r="BJ9" s="2" t="s">
        <v>107</v>
      </c>
      <c r="BK9" s="2" t="s">
        <v>222</v>
      </c>
      <c r="BL9" s="2" t="s">
        <v>79</v>
      </c>
      <c r="BM9" s="2" t="s">
        <v>109</v>
      </c>
    </row>
    <row r="10" spans="1:65" ht="409.5" x14ac:dyDescent="0.25">
      <c r="A10" s="2" t="s">
        <v>223</v>
      </c>
      <c r="B10" s="2">
        <v>2015</v>
      </c>
      <c r="C10" s="2" t="s">
        <v>189</v>
      </c>
      <c r="D10" s="2" t="s">
        <v>79</v>
      </c>
      <c r="E10" s="2" t="s">
        <v>79</v>
      </c>
      <c r="F10" s="2" t="s">
        <v>79</v>
      </c>
      <c r="G10" s="2" t="s">
        <v>79</v>
      </c>
      <c r="H10" s="2" t="s">
        <v>79</v>
      </c>
      <c r="I10" s="2" t="s">
        <v>92</v>
      </c>
      <c r="J10" s="2" t="s">
        <v>224</v>
      </c>
      <c r="K10" s="2" t="s">
        <v>79</v>
      </c>
      <c r="L10" s="2" t="s">
        <v>226</v>
      </c>
      <c r="M10" s="2" t="s">
        <v>227</v>
      </c>
      <c r="N10" s="2" t="s">
        <v>89</v>
      </c>
      <c r="O10" s="2" t="s">
        <v>79</v>
      </c>
      <c r="P10" s="2" t="s">
        <v>116</v>
      </c>
      <c r="Q10" s="2" t="s">
        <v>228</v>
      </c>
      <c r="R10" s="2"/>
      <c r="S10" s="2"/>
      <c r="T10" s="2" t="s">
        <v>80</v>
      </c>
      <c r="U10" s="2"/>
      <c r="V10" s="2" t="s">
        <v>92</v>
      </c>
      <c r="W10" s="2" t="s">
        <v>161</v>
      </c>
      <c r="X10" s="2" t="s">
        <v>229</v>
      </c>
      <c r="Y10" s="2" t="s">
        <v>95</v>
      </c>
      <c r="Z10" s="2" t="s">
        <v>230</v>
      </c>
      <c r="AA10" s="2" t="s">
        <v>231</v>
      </c>
      <c r="AB10" s="2" t="s">
        <v>80</v>
      </c>
      <c r="AC10" s="2"/>
      <c r="AD10" s="2"/>
      <c r="AE10" s="2"/>
      <c r="AF10" s="2" t="s">
        <v>79</v>
      </c>
      <c r="AG10" s="2" t="s">
        <v>232</v>
      </c>
      <c r="AH10" s="2" t="s">
        <v>225</v>
      </c>
      <c r="AI10" s="2" t="s">
        <v>82</v>
      </c>
      <c r="AJ10" s="2">
        <v>9.5</v>
      </c>
      <c r="AK10" s="2" t="s">
        <v>84</v>
      </c>
      <c r="AL10" s="2" t="s">
        <v>84</v>
      </c>
      <c r="AM10" s="2" t="s">
        <v>84</v>
      </c>
      <c r="AN10" s="2" t="s">
        <v>84</v>
      </c>
      <c r="AO10" s="2" t="s">
        <v>84</v>
      </c>
      <c r="AP10" s="2" t="s">
        <v>84</v>
      </c>
      <c r="AQ10" s="2" t="s">
        <v>84</v>
      </c>
      <c r="AR10" s="2" t="s">
        <v>84</v>
      </c>
      <c r="AS10" s="2" t="s">
        <v>84</v>
      </c>
      <c r="AT10" s="2" t="s">
        <v>85</v>
      </c>
      <c r="AU10" s="2" t="s">
        <v>80</v>
      </c>
      <c r="AV10" s="2" t="s">
        <v>80</v>
      </c>
      <c r="AW10" s="2"/>
      <c r="AX10" s="2" t="s">
        <v>80</v>
      </c>
      <c r="AY10" s="2" t="s">
        <v>233</v>
      </c>
      <c r="AZ10" s="2" t="s">
        <v>100</v>
      </c>
      <c r="BA10" s="2" t="s">
        <v>234</v>
      </c>
      <c r="BB10" s="2" t="s">
        <v>202</v>
      </c>
      <c r="BC10" s="2" t="s">
        <v>79</v>
      </c>
      <c r="BD10" s="2" t="s">
        <v>203</v>
      </c>
      <c r="BE10" s="2" t="s">
        <v>235</v>
      </c>
      <c r="BF10" s="2" t="s">
        <v>104</v>
      </c>
      <c r="BG10" s="2" t="s">
        <v>236</v>
      </c>
      <c r="BH10" s="2" t="s">
        <v>79</v>
      </c>
      <c r="BI10" s="2" t="s">
        <v>79</v>
      </c>
      <c r="BJ10" s="2" t="s">
        <v>107</v>
      </c>
      <c r="BK10" s="2" t="s">
        <v>237</v>
      </c>
      <c r="BL10" s="2" t="s">
        <v>79</v>
      </c>
      <c r="BM10" s="2" t="s">
        <v>109</v>
      </c>
    </row>
    <row r="11" spans="1:65" ht="409.5" x14ac:dyDescent="0.25">
      <c r="A11" s="2" t="s">
        <v>238</v>
      </c>
      <c r="B11" s="2">
        <v>2016</v>
      </c>
      <c r="C11" s="2" t="s">
        <v>78</v>
      </c>
      <c r="D11" s="2" t="s">
        <v>79</v>
      </c>
      <c r="E11" s="2" t="s">
        <v>79</v>
      </c>
      <c r="F11" s="2" t="s">
        <v>79</v>
      </c>
      <c r="G11" s="2" t="s">
        <v>92</v>
      </c>
      <c r="H11" s="2" t="s">
        <v>79</v>
      </c>
      <c r="I11" s="2" t="s">
        <v>92</v>
      </c>
      <c r="J11" s="2" t="s">
        <v>224</v>
      </c>
      <c r="K11" s="2" t="s">
        <v>79</v>
      </c>
      <c r="L11" s="2" t="s">
        <v>240</v>
      </c>
      <c r="M11" s="2" t="s">
        <v>241</v>
      </c>
      <c r="N11" s="2" t="s">
        <v>89</v>
      </c>
      <c r="O11" s="2" t="s">
        <v>79</v>
      </c>
      <c r="P11" s="2" t="s">
        <v>116</v>
      </c>
      <c r="Q11" s="2" t="s">
        <v>242</v>
      </c>
      <c r="R11" s="2"/>
      <c r="S11" s="2"/>
      <c r="T11" s="2" t="s">
        <v>80</v>
      </c>
      <c r="U11" s="2"/>
      <c r="V11" s="2" t="s">
        <v>92</v>
      </c>
      <c r="W11" s="2" t="s">
        <v>243</v>
      </c>
      <c r="X11" s="2" t="s">
        <v>244</v>
      </c>
      <c r="Y11" s="2" t="s">
        <v>95</v>
      </c>
      <c r="Z11" s="2" t="s">
        <v>245</v>
      </c>
      <c r="AA11" s="2" t="s">
        <v>246</v>
      </c>
      <c r="AB11" s="2" t="s">
        <v>80</v>
      </c>
      <c r="AC11" s="2"/>
      <c r="AD11" s="2"/>
      <c r="AE11" s="2"/>
      <c r="AF11" s="2" t="s">
        <v>79</v>
      </c>
      <c r="AG11" s="2" t="s">
        <v>247</v>
      </c>
      <c r="AH11" s="2" t="s">
        <v>239</v>
      </c>
      <c r="AI11" s="2" t="s">
        <v>82</v>
      </c>
      <c r="AJ11" s="2">
        <v>10</v>
      </c>
      <c r="AK11" s="2" t="s">
        <v>84</v>
      </c>
      <c r="AL11" s="2" t="s">
        <v>84</v>
      </c>
      <c r="AM11" s="2" t="s">
        <v>84</v>
      </c>
      <c r="AN11" s="2" t="s">
        <v>84</v>
      </c>
      <c r="AO11" s="2" t="s">
        <v>84</v>
      </c>
      <c r="AP11" s="2" t="s">
        <v>84</v>
      </c>
      <c r="AQ11" s="2" t="s">
        <v>84</v>
      </c>
      <c r="AR11" s="2" t="s">
        <v>84</v>
      </c>
      <c r="AS11" s="2" t="s">
        <v>84</v>
      </c>
      <c r="AT11" s="2" t="s">
        <v>84</v>
      </c>
      <c r="AU11" s="2" t="s">
        <v>80</v>
      </c>
      <c r="AV11" s="2" t="s">
        <v>80</v>
      </c>
      <c r="AW11" s="2"/>
      <c r="AX11" s="2" t="s">
        <v>80</v>
      </c>
      <c r="AY11" s="2" t="s">
        <v>248</v>
      </c>
      <c r="AZ11" s="2" t="s">
        <v>100</v>
      </c>
      <c r="BA11" s="2" t="s">
        <v>249</v>
      </c>
      <c r="BB11" s="2" t="s">
        <v>102</v>
      </c>
      <c r="BC11" s="2" t="s">
        <v>79</v>
      </c>
      <c r="BD11" s="2" t="s">
        <v>203</v>
      </c>
      <c r="BE11" s="2" t="s">
        <v>250</v>
      </c>
      <c r="BF11" s="2" t="s">
        <v>153</v>
      </c>
      <c r="BG11" s="2" t="s">
        <v>251</v>
      </c>
      <c r="BH11" s="2" t="s">
        <v>92</v>
      </c>
      <c r="BI11" s="2" t="s">
        <v>79</v>
      </c>
      <c r="BJ11" s="2"/>
      <c r="BK11" s="2" t="s">
        <v>252</v>
      </c>
      <c r="BL11" s="2" t="s">
        <v>79</v>
      </c>
      <c r="BM11" s="2" t="s">
        <v>109</v>
      </c>
    </row>
    <row r="12" spans="1:65" ht="409.5" x14ac:dyDescent="0.25">
      <c r="A12" s="2" t="s">
        <v>253</v>
      </c>
      <c r="B12" s="2">
        <v>2016</v>
      </c>
      <c r="C12" s="2" t="s">
        <v>78</v>
      </c>
      <c r="D12" s="2" t="s">
        <v>79</v>
      </c>
      <c r="E12" s="2" t="s">
        <v>79</v>
      </c>
      <c r="F12" s="2" t="s">
        <v>79</v>
      </c>
      <c r="G12" s="2" t="s">
        <v>79</v>
      </c>
      <c r="H12" s="2" t="s">
        <v>79</v>
      </c>
      <c r="I12" s="2" t="s">
        <v>92</v>
      </c>
      <c r="J12" s="2" t="s">
        <v>224</v>
      </c>
      <c r="K12" s="2" t="s">
        <v>79</v>
      </c>
      <c r="L12" s="2" t="s">
        <v>255</v>
      </c>
      <c r="M12" s="2" t="s">
        <v>256</v>
      </c>
      <c r="N12" s="2" t="s">
        <v>89</v>
      </c>
      <c r="O12" s="2" t="s">
        <v>79</v>
      </c>
      <c r="P12" s="2" t="s">
        <v>116</v>
      </c>
      <c r="Q12" s="2" t="s">
        <v>257</v>
      </c>
      <c r="R12" s="2"/>
      <c r="S12" s="2"/>
      <c r="T12" s="2" t="s">
        <v>80</v>
      </c>
      <c r="U12" s="2"/>
      <c r="V12" s="2" t="s">
        <v>92</v>
      </c>
      <c r="W12" s="2" t="s">
        <v>93</v>
      </c>
      <c r="X12" s="2" t="s">
        <v>258</v>
      </c>
      <c r="Y12" s="2" t="s">
        <v>95</v>
      </c>
      <c r="Z12" s="2" t="s">
        <v>259</v>
      </c>
      <c r="AA12" s="2" t="s">
        <v>260</v>
      </c>
      <c r="AB12" s="2" t="s">
        <v>80</v>
      </c>
      <c r="AC12" s="2"/>
      <c r="AD12" s="2"/>
      <c r="AE12" s="2"/>
      <c r="AF12" s="2" t="s">
        <v>79</v>
      </c>
      <c r="AG12" s="2" t="s">
        <v>261</v>
      </c>
      <c r="AH12" s="2" t="s">
        <v>254</v>
      </c>
      <c r="AI12" s="2" t="s">
        <v>82</v>
      </c>
      <c r="AJ12" s="2">
        <v>9.5</v>
      </c>
      <c r="AK12" s="2" t="s">
        <v>84</v>
      </c>
      <c r="AL12" s="2" t="s">
        <v>84</v>
      </c>
      <c r="AM12" s="2" t="s">
        <v>84</v>
      </c>
      <c r="AN12" s="2" t="s">
        <v>84</v>
      </c>
      <c r="AO12" s="2" t="s">
        <v>84</v>
      </c>
      <c r="AP12" s="2" t="s">
        <v>84</v>
      </c>
      <c r="AQ12" s="2" t="s">
        <v>84</v>
      </c>
      <c r="AR12" s="2" t="s">
        <v>84</v>
      </c>
      <c r="AS12" s="2" t="s">
        <v>84</v>
      </c>
      <c r="AT12" s="2" t="s">
        <v>85</v>
      </c>
      <c r="AU12" s="2" t="s">
        <v>80</v>
      </c>
      <c r="AV12" s="2" t="s">
        <v>80</v>
      </c>
      <c r="AW12" s="2"/>
      <c r="AX12" s="2" t="s">
        <v>80</v>
      </c>
      <c r="AY12" s="2" t="s">
        <v>262</v>
      </c>
      <c r="AZ12" s="2" t="s">
        <v>100</v>
      </c>
      <c r="BA12" s="2" t="s">
        <v>263</v>
      </c>
      <c r="BB12" s="2" t="s">
        <v>102</v>
      </c>
      <c r="BC12" s="2" t="s">
        <v>79</v>
      </c>
      <c r="BD12" s="2" t="s">
        <v>203</v>
      </c>
      <c r="BE12" s="2" t="s">
        <v>264</v>
      </c>
      <c r="BF12" s="2" t="s">
        <v>104</v>
      </c>
      <c r="BG12" s="2" t="s">
        <v>265</v>
      </c>
      <c r="BH12" s="2" t="s">
        <v>79</v>
      </c>
      <c r="BI12" s="2" t="s">
        <v>79</v>
      </c>
      <c r="BJ12" s="2" t="s">
        <v>266</v>
      </c>
      <c r="BK12" s="2" t="s">
        <v>267</v>
      </c>
      <c r="BL12" s="2" t="s">
        <v>79</v>
      </c>
      <c r="BM12" s="2" t="s">
        <v>268</v>
      </c>
    </row>
    <row r="13" spans="1:65" ht="409.5" x14ac:dyDescent="0.25">
      <c r="A13" s="2" t="s">
        <v>269</v>
      </c>
      <c r="B13" s="2">
        <v>2016</v>
      </c>
      <c r="C13" s="2" t="s">
        <v>270</v>
      </c>
      <c r="D13" s="2" t="s">
        <v>79</v>
      </c>
      <c r="E13" s="2" t="s">
        <v>79</v>
      </c>
      <c r="F13" s="2" t="s">
        <v>79</v>
      </c>
      <c r="G13" s="2" t="s">
        <v>92</v>
      </c>
      <c r="H13" s="2" t="s">
        <v>79</v>
      </c>
      <c r="I13" s="2" t="s">
        <v>92</v>
      </c>
      <c r="J13" s="2" t="s">
        <v>271</v>
      </c>
      <c r="K13" s="2" t="s">
        <v>80</v>
      </c>
      <c r="L13" s="2" t="s">
        <v>273</v>
      </c>
      <c r="M13" s="2" t="s">
        <v>274</v>
      </c>
      <c r="N13" s="2" t="s">
        <v>89</v>
      </c>
      <c r="O13" s="2" t="s">
        <v>80</v>
      </c>
      <c r="P13" s="2" t="s">
        <v>116</v>
      </c>
      <c r="Q13" s="2" t="s">
        <v>275</v>
      </c>
      <c r="R13" s="2" t="s">
        <v>276</v>
      </c>
      <c r="S13" s="2" t="s">
        <v>277</v>
      </c>
      <c r="T13" s="2" t="s">
        <v>79</v>
      </c>
      <c r="U13" s="2" t="s">
        <v>278</v>
      </c>
      <c r="V13" s="2" t="s">
        <v>92</v>
      </c>
      <c r="W13" s="2" t="s">
        <v>279</v>
      </c>
      <c r="X13" s="2" t="s">
        <v>280</v>
      </c>
      <c r="Y13" s="2" t="s">
        <v>95</v>
      </c>
      <c r="Z13" s="2" t="s">
        <v>281</v>
      </c>
      <c r="AA13" s="2" t="s">
        <v>282</v>
      </c>
      <c r="AB13" s="2" t="s">
        <v>80</v>
      </c>
      <c r="AC13" s="2"/>
      <c r="AD13" s="2"/>
      <c r="AE13" s="2"/>
      <c r="AF13" s="2" t="s">
        <v>79</v>
      </c>
      <c r="AG13" s="2" t="s">
        <v>283</v>
      </c>
      <c r="AH13" s="2" t="s">
        <v>272</v>
      </c>
      <c r="AI13" s="2" t="s">
        <v>82</v>
      </c>
      <c r="AJ13" s="2">
        <v>9.5</v>
      </c>
      <c r="AK13" s="2" t="s">
        <v>84</v>
      </c>
      <c r="AL13" s="2" t="s">
        <v>84</v>
      </c>
      <c r="AM13" s="2" t="s">
        <v>84</v>
      </c>
      <c r="AN13" s="2" t="s">
        <v>84</v>
      </c>
      <c r="AO13" s="2" t="s">
        <v>84</v>
      </c>
      <c r="AP13" s="2" t="s">
        <v>84</v>
      </c>
      <c r="AQ13" s="2" t="s">
        <v>84</v>
      </c>
      <c r="AR13" s="2" t="s">
        <v>84</v>
      </c>
      <c r="AS13" s="2" t="s">
        <v>84</v>
      </c>
      <c r="AT13" s="2" t="s">
        <v>85</v>
      </c>
      <c r="AU13" s="2" t="s">
        <v>80</v>
      </c>
      <c r="AV13" s="2" t="s">
        <v>80</v>
      </c>
      <c r="AW13" s="2"/>
      <c r="AX13" s="2" t="s">
        <v>80</v>
      </c>
      <c r="AY13" s="2" t="s">
        <v>284</v>
      </c>
      <c r="AZ13" s="2" t="s">
        <v>100</v>
      </c>
      <c r="BA13" s="2" t="s">
        <v>285</v>
      </c>
      <c r="BB13" s="2" t="s">
        <v>286</v>
      </c>
      <c r="BC13" s="2" t="s">
        <v>79</v>
      </c>
      <c r="BD13" s="2" t="s">
        <v>287</v>
      </c>
      <c r="BE13" s="2" t="s">
        <v>288</v>
      </c>
      <c r="BF13" s="2" t="s">
        <v>153</v>
      </c>
      <c r="BG13" s="2"/>
      <c r="BH13" s="2" t="s">
        <v>80</v>
      </c>
      <c r="BI13" s="2" t="s">
        <v>79</v>
      </c>
      <c r="BJ13" s="2" t="s">
        <v>289</v>
      </c>
      <c r="BK13" s="2" t="s">
        <v>290</v>
      </c>
      <c r="BL13" s="2" t="s">
        <v>79</v>
      </c>
      <c r="BM13" s="2" t="s">
        <v>291</v>
      </c>
    </row>
    <row r="14" spans="1:65" ht="409.5" x14ac:dyDescent="0.25">
      <c r="A14" s="2" t="s">
        <v>292</v>
      </c>
      <c r="B14" s="2">
        <v>2016</v>
      </c>
      <c r="C14" s="2" t="s">
        <v>189</v>
      </c>
      <c r="D14" s="2" t="s">
        <v>79</v>
      </c>
      <c r="E14" s="2" t="s">
        <v>79</v>
      </c>
      <c r="F14" s="2" t="s">
        <v>79</v>
      </c>
      <c r="G14" s="2" t="s">
        <v>79</v>
      </c>
      <c r="H14" s="2" t="s">
        <v>92</v>
      </c>
      <c r="I14" s="2" t="s">
        <v>92</v>
      </c>
      <c r="J14" s="2" t="s">
        <v>293</v>
      </c>
      <c r="K14" s="2" t="s">
        <v>92</v>
      </c>
      <c r="L14" s="2" t="s">
        <v>295</v>
      </c>
      <c r="M14" s="2" t="s">
        <v>296</v>
      </c>
      <c r="N14" s="2" t="s">
        <v>143</v>
      </c>
      <c r="O14" s="2" t="s">
        <v>106</v>
      </c>
      <c r="P14" s="2" t="s">
        <v>90</v>
      </c>
      <c r="Q14" s="2" t="s">
        <v>297</v>
      </c>
      <c r="R14" s="2"/>
      <c r="S14" s="2"/>
      <c r="T14" s="2" t="s">
        <v>80</v>
      </c>
      <c r="U14" s="2"/>
      <c r="V14" s="2" t="s">
        <v>92</v>
      </c>
      <c r="W14" s="2" t="s">
        <v>93</v>
      </c>
      <c r="X14" s="2" t="s">
        <v>298</v>
      </c>
      <c r="Y14" s="2" t="s">
        <v>95</v>
      </c>
      <c r="Z14" s="2" t="s">
        <v>299</v>
      </c>
      <c r="AA14" s="2" t="s">
        <v>300</v>
      </c>
      <c r="AB14" s="2" t="s">
        <v>80</v>
      </c>
      <c r="AC14" s="2"/>
      <c r="AD14" s="2"/>
      <c r="AE14" s="2"/>
      <c r="AF14" s="2" t="s">
        <v>79</v>
      </c>
      <c r="AG14" s="2" t="s">
        <v>301</v>
      </c>
      <c r="AH14" s="2" t="s">
        <v>294</v>
      </c>
      <c r="AI14" s="2" t="s">
        <v>82</v>
      </c>
      <c r="AJ14" s="2">
        <v>9</v>
      </c>
      <c r="AK14" s="2" t="s">
        <v>84</v>
      </c>
      <c r="AL14" s="2" t="s">
        <v>84</v>
      </c>
      <c r="AM14" s="2" t="s">
        <v>84</v>
      </c>
      <c r="AN14" s="2" t="s">
        <v>84</v>
      </c>
      <c r="AO14" s="2" t="s">
        <v>84</v>
      </c>
      <c r="AP14" s="2" t="s">
        <v>84</v>
      </c>
      <c r="AQ14" s="2" t="s">
        <v>84</v>
      </c>
      <c r="AR14" s="2" t="s">
        <v>84</v>
      </c>
      <c r="AS14" s="2" t="s">
        <v>85</v>
      </c>
      <c r="AT14" s="2" t="s">
        <v>85</v>
      </c>
      <c r="AU14" s="2" t="s">
        <v>80</v>
      </c>
      <c r="AV14" s="2" t="s">
        <v>80</v>
      </c>
      <c r="AW14" s="2"/>
      <c r="AX14" s="2" t="s">
        <v>80</v>
      </c>
      <c r="AY14" s="2" t="s">
        <v>302</v>
      </c>
      <c r="AZ14" s="2" t="s">
        <v>303</v>
      </c>
      <c r="BA14" s="2" t="s">
        <v>304</v>
      </c>
      <c r="BB14" s="2" t="s">
        <v>305</v>
      </c>
      <c r="BC14" s="2" t="s">
        <v>79</v>
      </c>
      <c r="BD14" s="2" t="s">
        <v>306</v>
      </c>
      <c r="BE14" s="2" t="s">
        <v>307</v>
      </c>
      <c r="BF14" s="2" t="s">
        <v>104</v>
      </c>
      <c r="BG14" s="2" t="s">
        <v>308</v>
      </c>
      <c r="BH14" s="2" t="s">
        <v>92</v>
      </c>
      <c r="BI14" s="2" t="s">
        <v>79</v>
      </c>
      <c r="BJ14" s="2" t="s">
        <v>155</v>
      </c>
      <c r="BK14" s="2"/>
      <c r="BL14" s="2" t="s">
        <v>80</v>
      </c>
      <c r="BM14" s="2" t="s">
        <v>172</v>
      </c>
    </row>
    <row r="15" spans="1:65" ht="409.5" x14ac:dyDescent="0.25">
      <c r="A15" s="2" t="s">
        <v>309</v>
      </c>
      <c r="B15" s="2">
        <v>2017</v>
      </c>
      <c r="C15" s="2" t="s">
        <v>111</v>
      </c>
      <c r="D15" s="2" t="s">
        <v>79</v>
      </c>
      <c r="E15" s="2" t="s">
        <v>79</v>
      </c>
      <c r="F15" s="2" t="s">
        <v>79</v>
      </c>
      <c r="G15" s="2" t="s">
        <v>79</v>
      </c>
      <c r="H15" s="2" t="s">
        <v>79</v>
      </c>
      <c r="I15" s="2" t="s">
        <v>92</v>
      </c>
      <c r="J15" s="2" t="s">
        <v>224</v>
      </c>
      <c r="K15" s="2" t="s">
        <v>79</v>
      </c>
      <c r="L15" s="2" t="s">
        <v>311</v>
      </c>
      <c r="M15" s="2" t="s">
        <v>312</v>
      </c>
      <c r="N15" s="2" t="s">
        <v>89</v>
      </c>
      <c r="O15" s="2" t="s">
        <v>79</v>
      </c>
      <c r="P15" s="2" t="s">
        <v>116</v>
      </c>
      <c r="Q15" s="2" t="s">
        <v>313</v>
      </c>
      <c r="R15" s="2"/>
      <c r="S15" s="2"/>
      <c r="T15" s="2" t="s">
        <v>80</v>
      </c>
      <c r="U15" s="2"/>
      <c r="V15" s="2" t="s">
        <v>92</v>
      </c>
      <c r="W15" s="2" t="s">
        <v>161</v>
      </c>
      <c r="X15" s="2" t="s">
        <v>314</v>
      </c>
      <c r="Y15" s="2" t="s">
        <v>95</v>
      </c>
      <c r="Z15" s="2" t="s">
        <v>315</v>
      </c>
      <c r="AA15" s="2" t="s">
        <v>316</v>
      </c>
      <c r="AB15" s="2" t="s">
        <v>80</v>
      </c>
      <c r="AC15" s="2"/>
      <c r="AD15" s="2"/>
      <c r="AE15" s="2"/>
      <c r="AF15" s="2" t="s">
        <v>79</v>
      </c>
      <c r="AG15" s="2" t="s">
        <v>317</v>
      </c>
      <c r="AH15" s="2" t="s">
        <v>310</v>
      </c>
      <c r="AI15" s="2" t="s">
        <v>82</v>
      </c>
      <c r="AJ15" s="2">
        <v>9.5</v>
      </c>
      <c r="AK15" s="2" t="s">
        <v>84</v>
      </c>
      <c r="AL15" s="2" t="s">
        <v>84</v>
      </c>
      <c r="AM15" s="2" t="s">
        <v>84</v>
      </c>
      <c r="AN15" s="2" t="s">
        <v>84</v>
      </c>
      <c r="AO15" s="2" t="s">
        <v>84</v>
      </c>
      <c r="AP15" s="2" t="s">
        <v>84</v>
      </c>
      <c r="AQ15" s="2" t="s">
        <v>84</v>
      </c>
      <c r="AR15" s="2" t="s">
        <v>84</v>
      </c>
      <c r="AS15" s="2" t="s">
        <v>84</v>
      </c>
      <c r="AT15" s="2" t="s">
        <v>85</v>
      </c>
      <c r="AU15" s="2" t="s">
        <v>80</v>
      </c>
      <c r="AV15" s="2" t="s">
        <v>80</v>
      </c>
      <c r="AW15" s="2"/>
      <c r="AX15" s="2" t="s">
        <v>80</v>
      </c>
      <c r="AY15" s="2" t="s">
        <v>318</v>
      </c>
      <c r="AZ15" s="2" t="s">
        <v>100</v>
      </c>
      <c r="BA15" s="2" t="s">
        <v>319</v>
      </c>
      <c r="BB15" s="2" t="s">
        <v>102</v>
      </c>
      <c r="BC15" s="2" t="s">
        <v>79</v>
      </c>
      <c r="BD15" s="2" t="s">
        <v>203</v>
      </c>
      <c r="BE15" s="2" t="s">
        <v>320</v>
      </c>
      <c r="BF15" s="2" t="s">
        <v>153</v>
      </c>
      <c r="BG15" s="2" t="s">
        <v>321</v>
      </c>
      <c r="BH15" s="2" t="s">
        <v>79</v>
      </c>
      <c r="BI15" s="2" t="s">
        <v>79</v>
      </c>
      <c r="BJ15" s="2" t="s">
        <v>107</v>
      </c>
      <c r="BK15" s="2" t="s">
        <v>322</v>
      </c>
      <c r="BL15" s="2" t="s">
        <v>79</v>
      </c>
      <c r="BM15" s="2" t="s">
        <v>109</v>
      </c>
    </row>
    <row r="16" spans="1:65" ht="409.5" x14ac:dyDescent="0.25">
      <c r="A16" s="2" t="s">
        <v>323</v>
      </c>
      <c r="B16" s="2">
        <v>2017</v>
      </c>
      <c r="C16" s="2" t="s">
        <v>270</v>
      </c>
      <c r="D16" s="2" t="s">
        <v>79</v>
      </c>
      <c r="E16" s="2" t="s">
        <v>79</v>
      </c>
      <c r="F16" s="2" t="s">
        <v>79</v>
      </c>
      <c r="G16" s="2" t="s">
        <v>79</v>
      </c>
      <c r="H16" s="2" t="s">
        <v>79</v>
      </c>
      <c r="I16" s="2" t="s">
        <v>92</v>
      </c>
      <c r="J16" s="2" t="s">
        <v>224</v>
      </c>
      <c r="K16" s="2" t="s">
        <v>79</v>
      </c>
      <c r="L16" s="2" t="s">
        <v>325</v>
      </c>
      <c r="M16" s="2" t="s">
        <v>326</v>
      </c>
      <c r="N16" s="2" t="s">
        <v>89</v>
      </c>
      <c r="O16" s="2" t="s">
        <v>79</v>
      </c>
      <c r="P16" s="2" t="s">
        <v>116</v>
      </c>
      <c r="Q16" s="2" t="s">
        <v>327</v>
      </c>
      <c r="R16" s="2"/>
      <c r="S16" s="2"/>
      <c r="T16" s="2" t="s">
        <v>80</v>
      </c>
      <c r="U16" s="2"/>
      <c r="V16" s="2" t="s">
        <v>92</v>
      </c>
      <c r="W16" s="2" t="s">
        <v>328</v>
      </c>
      <c r="X16" s="2" t="s">
        <v>329</v>
      </c>
      <c r="Y16" s="2" t="s">
        <v>95</v>
      </c>
      <c r="Z16" s="2" t="s">
        <v>330</v>
      </c>
      <c r="AA16" s="2" t="s">
        <v>331</v>
      </c>
      <c r="AB16" s="2" t="s">
        <v>80</v>
      </c>
      <c r="AC16" s="2"/>
      <c r="AD16" s="2"/>
      <c r="AE16" s="2"/>
      <c r="AF16" s="2" t="s">
        <v>79</v>
      </c>
      <c r="AG16" s="2" t="s">
        <v>332</v>
      </c>
      <c r="AH16" s="2" t="s">
        <v>324</v>
      </c>
      <c r="AI16" s="2" t="s">
        <v>82</v>
      </c>
      <c r="AJ16" s="2">
        <v>9.5</v>
      </c>
      <c r="AK16" s="2" t="s">
        <v>84</v>
      </c>
      <c r="AL16" s="2" t="s">
        <v>84</v>
      </c>
      <c r="AM16" s="2" t="s">
        <v>84</v>
      </c>
      <c r="AN16" s="2" t="s">
        <v>84</v>
      </c>
      <c r="AO16" s="2" t="s">
        <v>84</v>
      </c>
      <c r="AP16" s="2" t="s">
        <v>84</v>
      </c>
      <c r="AQ16" s="2" t="s">
        <v>84</v>
      </c>
      <c r="AR16" s="2" t="s">
        <v>84</v>
      </c>
      <c r="AS16" s="2" t="s">
        <v>84</v>
      </c>
      <c r="AT16" s="2" t="s">
        <v>85</v>
      </c>
      <c r="AU16" s="2" t="s">
        <v>80</v>
      </c>
      <c r="AV16" s="2" t="s">
        <v>80</v>
      </c>
      <c r="AW16" s="2"/>
      <c r="AX16" s="2" t="s">
        <v>80</v>
      </c>
      <c r="AY16" s="2" t="s">
        <v>333</v>
      </c>
      <c r="AZ16" s="2" t="s">
        <v>100</v>
      </c>
      <c r="BA16" s="2" t="s">
        <v>334</v>
      </c>
      <c r="BB16" s="2" t="s">
        <v>102</v>
      </c>
      <c r="BC16" s="2" t="s">
        <v>79</v>
      </c>
      <c r="BD16" s="2" t="s">
        <v>203</v>
      </c>
      <c r="BE16" s="2" t="s">
        <v>335</v>
      </c>
      <c r="BF16" s="2" t="s">
        <v>153</v>
      </c>
      <c r="BG16" s="2" t="s">
        <v>336</v>
      </c>
      <c r="BH16" s="2" t="s">
        <v>79</v>
      </c>
      <c r="BI16" s="2" t="s">
        <v>79</v>
      </c>
      <c r="BJ16" s="2" t="s">
        <v>107</v>
      </c>
      <c r="BK16" s="2" t="s">
        <v>337</v>
      </c>
      <c r="BL16" s="2" t="s">
        <v>79</v>
      </c>
      <c r="BM16" s="2" t="s">
        <v>109</v>
      </c>
    </row>
    <row r="17" spans="1:65" ht="409.5" x14ac:dyDescent="0.25">
      <c r="A17" s="2" t="s">
        <v>338</v>
      </c>
      <c r="B17" s="2">
        <v>2017</v>
      </c>
      <c r="C17" s="2" t="s">
        <v>270</v>
      </c>
      <c r="D17" s="2" t="s">
        <v>79</v>
      </c>
      <c r="E17" s="2" t="s">
        <v>79</v>
      </c>
      <c r="F17" s="2" t="s">
        <v>79</v>
      </c>
      <c r="G17" s="2" t="s">
        <v>92</v>
      </c>
      <c r="H17" s="2" t="s">
        <v>79</v>
      </c>
      <c r="I17" s="2" t="s">
        <v>92</v>
      </c>
      <c r="J17" s="2" t="s">
        <v>224</v>
      </c>
      <c r="K17" s="2" t="s">
        <v>92</v>
      </c>
      <c r="L17" s="2" t="s">
        <v>340</v>
      </c>
      <c r="M17" s="2" t="s">
        <v>341</v>
      </c>
      <c r="N17" s="2" t="s">
        <v>89</v>
      </c>
      <c r="O17" s="2" t="s">
        <v>79</v>
      </c>
      <c r="P17" s="2" t="s">
        <v>116</v>
      </c>
      <c r="Q17" s="2" t="s">
        <v>342</v>
      </c>
      <c r="R17" s="2"/>
      <c r="S17" s="2"/>
      <c r="T17" s="2" t="s">
        <v>80</v>
      </c>
      <c r="U17" s="2"/>
      <c r="V17" s="2" t="s">
        <v>92</v>
      </c>
      <c r="W17" s="2" t="s">
        <v>161</v>
      </c>
      <c r="X17" s="2" t="s">
        <v>343</v>
      </c>
      <c r="Y17" s="2" t="s">
        <v>95</v>
      </c>
      <c r="Z17" s="2" t="s">
        <v>344</v>
      </c>
      <c r="AA17" s="2" t="s">
        <v>345</v>
      </c>
      <c r="AB17" s="2" t="s">
        <v>80</v>
      </c>
      <c r="AC17" s="2"/>
      <c r="AD17" s="2"/>
      <c r="AE17" s="2"/>
      <c r="AF17" s="2" t="s">
        <v>79</v>
      </c>
      <c r="AG17" s="2" t="s">
        <v>346</v>
      </c>
      <c r="AH17" s="2" t="s">
        <v>339</v>
      </c>
      <c r="AI17" s="2" t="s">
        <v>82</v>
      </c>
      <c r="AJ17" s="2">
        <v>9.5</v>
      </c>
      <c r="AK17" s="2" t="s">
        <v>84</v>
      </c>
      <c r="AL17" s="2" t="s">
        <v>84</v>
      </c>
      <c r="AM17" s="2" t="s">
        <v>84</v>
      </c>
      <c r="AN17" s="2" t="s">
        <v>84</v>
      </c>
      <c r="AO17" s="2" t="s">
        <v>84</v>
      </c>
      <c r="AP17" s="2" t="s">
        <v>84</v>
      </c>
      <c r="AQ17" s="2" t="s">
        <v>84</v>
      </c>
      <c r="AR17" s="2" t="s">
        <v>84</v>
      </c>
      <c r="AS17" s="2" t="s">
        <v>84</v>
      </c>
      <c r="AT17" s="2" t="s">
        <v>85</v>
      </c>
      <c r="AU17" s="2" t="s">
        <v>80</v>
      </c>
      <c r="AV17" s="2" t="s">
        <v>80</v>
      </c>
      <c r="AW17" s="2"/>
      <c r="AX17" s="2" t="s">
        <v>80</v>
      </c>
      <c r="AY17" s="2" t="s">
        <v>347</v>
      </c>
      <c r="AZ17" s="2" t="s">
        <v>100</v>
      </c>
      <c r="BA17" s="2" t="s">
        <v>348</v>
      </c>
      <c r="BB17" s="2" t="s">
        <v>102</v>
      </c>
      <c r="BC17" s="2" t="s">
        <v>79</v>
      </c>
      <c r="BD17" s="2" t="s">
        <v>203</v>
      </c>
      <c r="BE17" s="2" t="s">
        <v>349</v>
      </c>
      <c r="BF17" s="2" t="s">
        <v>153</v>
      </c>
      <c r="BG17" s="2" t="s">
        <v>350</v>
      </c>
      <c r="BH17" s="2" t="s">
        <v>80</v>
      </c>
      <c r="BI17" s="2" t="s">
        <v>79</v>
      </c>
      <c r="BJ17" s="2" t="s">
        <v>107</v>
      </c>
      <c r="BK17" s="2" t="s">
        <v>351</v>
      </c>
      <c r="BL17" s="2" t="s">
        <v>79</v>
      </c>
      <c r="BM17" s="2" t="s">
        <v>109</v>
      </c>
    </row>
    <row r="18" spans="1:65" ht="409.5" x14ac:dyDescent="0.25">
      <c r="A18" s="2" t="s">
        <v>352</v>
      </c>
      <c r="B18" s="2">
        <v>2017</v>
      </c>
      <c r="C18" s="2" t="s">
        <v>270</v>
      </c>
      <c r="D18" s="2" t="s">
        <v>79</v>
      </c>
      <c r="E18" s="2" t="s">
        <v>79</v>
      </c>
      <c r="F18" s="2" t="s">
        <v>79</v>
      </c>
      <c r="G18" s="2" t="s">
        <v>92</v>
      </c>
      <c r="H18" s="2" t="s">
        <v>79</v>
      </c>
      <c r="I18" s="2" t="s">
        <v>92</v>
      </c>
      <c r="J18" s="2" t="s">
        <v>224</v>
      </c>
      <c r="K18" s="2" t="s">
        <v>92</v>
      </c>
      <c r="L18" s="2" t="s">
        <v>354</v>
      </c>
      <c r="M18" s="2" t="s">
        <v>355</v>
      </c>
      <c r="N18" s="2" t="s">
        <v>89</v>
      </c>
      <c r="O18" s="2" t="s">
        <v>79</v>
      </c>
      <c r="P18" s="2" t="s">
        <v>90</v>
      </c>
      <c r="Q18" s="2" t="s">
        <v>356</v>
      </c>
      <c r="R18" s="2"/>
      <c r="S18" s="2"/>
      <c r="T18" s="2" t="s">
        <v>80</v>
      </c>
      <c r="U18" s="2"/>
      <c r="V18" s="2" t="s">
        <v>92</v>
      </c>
      <c r="W18" s="2" t="s">
        <v>357</v>
      </c>
      <c r="X18" s="2" t="s">
        <v>358</v>
      </c>
      <c r="Y18" s="2" t="s">
        <v>95</v>
      </c>
      <c r="Z18" s="2" t="s">
        <v>359</v>
      </c>
      <c r="AA18" s="2" t="s">
        <v>360</v>
      </c>
      <c r="AB18" s="2" t="s">
        <v>80</v>
      </c>
      <c r="AC18" s="2"/>
      <c r="AD18" s="2"/>
      <c r="AE18" s="2"/>
      <c r="AF18" s="2" t="s">
        <v>79</v>
      </c>
      <c r="AG18" s="2" t="s">
        <v>361</v>
      </c>
      <c r="AH18" s="2" t="s">
        <v>353</v>
      </c>
      <c r="AI18" s="2" t="s">
        <v>82</v>
      </c>
      <c r="AJ18" s="2">
        <v>9</v>
      </c>
      <c r="AK18" s="2" t="s">
        <v>84</v>
      </c>
      <c r="AL18" s="2" t="s">
        <v>84</v>
      </c>
      <c r="AM18" s="2" t="s">
        <v>84</v>
      </c>
      <c r="AN18" s="2" t="s">
        <v>84</v>
      </c>
      <c r="AO18" s="2" t="s">
        <v>84</v>
      </c>
      <c r="AP18" s="2" t="s">
        <v>84</v>
      </c>
      <c r="AQ18" s="2" t="s">
        <v>84</v>
      </c>
      <c r="AR18" s="2" t="s">
        <v>84</v>
      </c>
      <c r="AS18" s="2" t="s">
        <v>85</v>
      </c>
      <c r="AT18" s="2" t="s">
        <v>85</v>
      </c>
      <c r="AU18" s="2" t="s">
        <v>80</v>
      </c>
      <c r="AV18" s="2" t="s">
        <v>80</v>
      </c>
      <c r="AW18" s="2"/>
      <c r="AX18" s="2" t="s">
        <v>80</v>
      </c>
      <c r="AY18" s="2" t="s">
        <v>362</v>
      </c>
      <c r="AZ18" s="2" t="s">
        <v>100</v>
      </c>
      <c r="BA18" s="2" t="s">
        <v>363</v>
      </c>
      <c r="BB18" s="2" t="s">
        <v>102</v>
      </c>
      <c r="BC18" s="2" t="s">
        <v>79</v>
      </c>
      <c r="BD18" s="2" t="s">
        <v>364</v>
      </c>
      <c r="BE18" s="2" t="s">
        <v>365</v>
      </c>
      <c r="BF18" s="2" t="s">
        <v>153</v>
      </c>
      <c r="BG18" s="2" t="s">
        <v>366</v>
      </c>
      <c r="BH18" s="2" t="s">
        <v>80</v>
      </c>
      <c r="BI18" s="2" t="s">
        <v>79</v>
      </c>
      <c r="BJ18" s="2" t="s">
        <v>367</v>
      </c>
      <c r="BK18" s="2" t="s">
        <v>368</v>
      </c>
      <c r="BL18" s="2" t="s">
        <v>79</v>
      </c>
      <c r="BM18" s="2" t="s">
        <v>268</v>
      </c>
    </row>
    <row r="19" spans="1:65" ht="409.5" x14ac:dyDescent="0.25">
      <c r="A19" s="2" t="s">
        <v>369</v>
      </c>
      <c r="B19" s="2">
        <v>2017</v>
      </c>
      <c r="C19" s="2" t="s">
        <v>270</v>
      </c>
      <c r="D19" s="2" t="s">
        <v>79</v>
      </c>
      <c r="E19" s="2" t="s">
        <v>79</v>
      </c>
      <c r="F19" s="2" t="s">
        <v>79</v>
      </c>
      <c r="G19" s="2" t="s">
        <v>92</v>
      </c>
      <c r="H19" s="2" t="s">
        <v>79</v>
      </c>
      <c r="I19" s="2" t="s">
        <v>92</v>
      </c>
      <c r="J19" s="2" t="s">
        <v>224</v>
      </c>
      <c r="K19" s="2" t="s">
        <v>92</v>
      </c>
      <c r="L19" s="2" t="s">
        <v>371</v>
      </c>
      <c r="M19" s="2" t="s">
        <v>372</v>
      </c>
      <c r="N19" s="2" t="s">
        <v>89</v>
      </c>
      <c r="O19" s="2" t="s">
        <v>79</v>
      </c>
      <c r="P19" s="2" t="s">
        <v>116</v>
      </c>
      <c r="Q19" s="2" t="s">
        <v>373</v>
      </c>
      <c r="R19" s="2"/>
      <c r="S19" s="2"/>
      <c r="T19" s="2" t="s">
        <v>80</v>
      </c>
      <c r="U19" s="2"/>
      <c r="V19" s="2" t="s">
        <v>92</v>
      </c>
      <c r="W19" s="2" t="s">
        <v>243</v>
      </c>
      <c r="X19" s="2" t="s">
        <v>374</v>
      </c>
      <c r="Y19" s="2" t="s">
        <v>95</v>
      </c>
      <c r="Z19" s="2" t="s">
        <v>375</v>
      </c>
      <c r="AA19" s="2" t="s">
        <v>376</v>
      </c>
      <c r="AB19" s="2" t="s">
        <v>80</v>
      </c>
      <c r="AC19" s="2"/>
      <c r="AD19" s="2"/>
      <c r="AE19" s="2"/>
      <c r="AF19" s="2" t="s">
        <v>79</v>
      </c>
      <c r="AG19" s="2" t="s">
        <v>377</v>
      </c>
      <c r="AH19" s="2" t="s">
        <v>370</v>
      </c>
      <c r="AI19" s="2" t="s">
        <v>82</v>
      </c>
      <c r="AJ19" s="2">
        <v>10</v>
      </c>
      <c r="AK19" s="2" t="s">
        <v>84</v>
      </c>
      <c r="AL19" s="2" t="s">
        <v>84</v>
      </c>
      <c r="AM19" s="2" t="s">
        <v>84</v>
      </c>
      <c r="AN19" s="2" t="s">
        <v>84</v>
      </c>
      <c r="AO19" s="2" t="s">
        <v>84</v>
      </c>
      <c r="AP19" s="2" t="s">
        <v>84</v>
      </c>
      <c r="AQ19" s="2" t="s">
        <v>84</v>
      </c>
      <c r="AR19" s="2" t="s">
        <v>84</v>
      </c>
      <c r="AS19" s="2" t="s">
        <v>84</v>
      </c>
      <c r="AT19" s="2" t="s">
        <v>84</v>
      </c>
      <c r="AU19" s="2" t="s">
        <v>80</v>
      </c>
      <c r="AV19" s="2" t="s">
        <v>80</v>
      </c>
      <c r="AW19" s="2"/>
      <c r="AX19" s="2" t="s">
        <v>80</v>
      </c>
      <c r="AY19" s="2" t="s">
        <v>378</v>
      </c>
      <c r="AZ19" s="2" t="s">
        <v>100</v>
      </c>
      <c r="BA19" s="2" t="s">
        <v>379</v>
      </c>
      <c r="BB19" s="2" t="s">
        <v>102</v>
      </c>
      <c r="BC19" s="2" t="s">
        <v>79</v>
      </c>
      <c r="BD19" s="2" t="s">
        <v>364</v>
      </c>
      <c r="BE19" s="2" t="s">
        <v>380</v>
      </c>
      <c r="BF19" s="2" t="s">
        <v>104</v>
      </c>
      <c r="BG19" s="2" t="s">
        <v>381</v>
      </c>
      <c r="BH19" s="2" t="s">
        <v>79</v>
      </c>
      <c r="BI19" s="2" t="s">
        <v>79</v>
      </c>
      <c r="BJ19" s="2" t="s">
        <v>107</v>
      </c>
      <c r="BK19" s="2" t="s">
        <v>382</v>
      </c>
      <c r="BL19" s="2" t="s">
        <v>79</v>
      </c>
      <c r="BM19" s="2" t="s">
        <v>109</v>
      </c>
    </row>
    <row r="20" spans="1:65" ht="409.5" x14ac:dyDescent="0.25">
      <c r="A20" s="2" t="s">
        <v>383</v>
      </c>
      <c r="B20" s="2">
        <v>2017</v>
      </c>
      <c r="C20" s="2" t="s">
        <v>111</v>
      </c>
      <c r="D20" s="2" t="s">
        <v>79</v>
      </c>
      <c r="E20" s="2" t="s">
        <v>79</v>
      </c>
      <c r="F20" s="2" t="s">
        <v>79</v>
      </c>
      <c r="G20" s="2" t="s">
        <v>92</v>
      </c>
      <c r="H20" s="2" t="s">
        <v>79</v>
      </c>
      <c r="I20" s="2" t="s">
        <v>92</v>
      </c>
      <c r="J20" s="2" t="s">
        <v>224</v>
      </c>
      <c r="K20" s="2" t="s">
        <v>79</v>
      </c>
      <c r="L20" s="2" t="s">
        <v>385</v>
      </c>
      <c r="M20" s="2" t="s">
        <v>386</v>
      </c>
      <c r="N20" s="2" t="s">
        <v>89</v>
      </c>
      <c r="O20" s="2" t="s">
        <v>79</v>
      </c>
      <c r="P20" s="2" t="s">
        <v>116</v>
      </c>
      <c r="Q20" s="2" t="s">
        <v>387</v>
      </c>
      <c r="R20" s="2"/>
      <c r="S20" s="2"/>
      <c r="T20" s="2" t="s">
        <v>80</v>
      </c>
      <c r="U20" s="2"/>
      <c r="V20" s="2" t="s">
        <v>92</v>
      </c>
      <c r="W20" s="2" t="s">
        <v>388</v>
      </c>
      <c r="X20" s="2" t="s">
        <v>389</v>
      </c>
      <c r="Y20" s="2" t="s">
        <v>95</v>
      </c>
      <c r="Z20" s="2" t="s">
        <v>390</v>
      </c>
      <c r="AA20" s="2" t="s">
        <v>391</v>
      </c>
      <c r="AB20" s="2" t="s">
        <v>80</v>
      </c>
      <c r="AC20" s="2"/>
      <c r="AD20" s="2"/>
      <c r="AE20" s="2"/>
      <c r="AF20" s="2" t="s">
        <v>79</v>
      </c>
      <c r="AG20" s="2" t="s">
        <v>392</v>
      </c>
      <c r="AH20" s="2" t="s">
        <v>384</v>
      </c>
      <c r="AI20" s="2" t="s">
        <v>82</v>
      </c>
      <c r="AJ20" s="2">
        <v>9</v>
      </c>
      <c r="AK20" s="2" t="s">
        <v>84</v>
      </c>
      <c r="AL20" s="2" t="s">
        <v>84</v>
      </c>
      <c r="AM20" s="2" t="s">
        <v>84</v>
      </c>
      <c r="AN20" s="2" t="s">
        <v>84</v>
      </c>
      <c r="AO20" s="2" t="s">
        <v>84</v>
      </c>
      <c r="AP20" s="2" t="s">
        <v>84</v>
      </c>
      <c r="AQ20" s="2" t="s">
        <v>85</v>
      </c>
      <c r="AR20" s="2" t="s">
        <v>84</v>
      </c>
      <c r="AS20" s="2" t="s">
        <v>84</v>
      </c>
      <c r="AT20" s="2" t="s">
        <v>85</v>
      </c>
      <c r="AU20" s="2" t="s">
        <v>80</v>
      </c>
      <c r="AV20" s="2" t="s">
        <v>80</v>
      </c>
      <c r="AW20" s="2"/>
      <c r="AX20" s="2" t="s">
        <v>80</v>
      </c>
      <c r="AY20" s="2" t="s">
        <v>393</v>
      </c>
      <c r="AZ20" s="2" t="s">
        <v>100</v>
      </c>
      <c r="BA20" s="2" t="s">
        <v>394</v>
      </c>
      <c r="BB20" s="2" t="s">
        <v>102</v>
      </c>
      <c r="BC20" s="2" t="s">
        <v>79</v>
      </c>
      <c r="BD20" s="2" t="s">
        <v>306</v>
      </c>
      <c r="BE20" s="2" t="s">
        <v>395</v>
      </c>
      <c r="BF20" s="2" t="s">
        <v>104</v>
      </c>
      <c r="BG20" s="2" t="s">
        <v>396</v>
      </c>
      <c r="BH20" s="2" t="s">
        <v>79</v>
      </c>
      <c r="BI20" s="2" t="s">
        <v>79</v>
      </c>
      <c r="BJ20" s="2" t="s">
        <v>107</v>
      </c>
      <c r="BK20" s="2" t="s">
        <v>397</v>
      </c>
      <c r="BL20" s="2" t="s">
        <v>79</v>
      </c>
      <c r="BM20" s="2" t="s">
        <v>109</v>
      </c>
    </row>
    <row r="21" spans="1:65" ht="409.5" x14ac:dyDescent="0.25">
      <c r="A21" s="2" t="s">
        <v>398</v>
      </c>
      <c r="B21" s="2">
        <v>2017</v>
      </c>
      <c r="C21" s="2" t="s">
        <v>78</v>
      </c>
      <c r="D21" s="2" t="s">
        <v>79</v>
      </c>
      <c r="E21" s="2" t="s">
        <v>79</v>
      </c>
      <c r="F21" s="2" t="s">
        <v>79</v>
      </c>
      <c r="G21" s="2" t="s">
        <v>92</v>
      </c>
      <c r="H21" s="2" t="s">
        <v>79</v>
      </c>
      <c r="I21" s="2" t="s">
        <v>92</v>
      </c>
      <c r="J21" s="2" t="s">
        <v>399</v>
      </c>
      <c r="K21" s="2" t="s">
        <v>92</v>
      </c>
      <c r="L21" s="2" t="s">
        <v>401</v>
      </c>
      <c r="M21" s="2" t="s">
        <v>402</v>
      </c>
      <c r="N21" s="2" t="s">
        <v>89</v>
      </c>
      <c r="O21" s="2" t="s">
        <v>79</v>
      </c>
      <c r="P21" s="2" t="s">
        <v>116</v>
      </c>
      <c r="Q21" s="2" t="s">
        <v>403</v>
      </c>
      <c r="R21" s="2"/>
      <c r="S21" s="2"/>
      <c r="T21" s="2" t="s">
        <v>80</v>
      </c>
      <c r="U21" s="2"/>
      <c r="V21" s="2" t="s">
        <v>92</v>
      </c>
      <c r="W21" s="2" t="s">
        <v>404</v>
      </c>
      <c r="X21" s="2" t="s">
        <v>405</v>
      </c>
      <c r="Y21" s="2" t="s">
        <v>95</v>
      </c>
      <c r="Z21" s="2" t="s">
        <v>406</v>
      </c>
      <c r="AA21" s="2" t="s">
        <v>407</v>
      </c>
      <c r="AB21" s="2" t="s">
        <v>80</v>
      </c>
      <c r="AC21" s="2"/>
      <c r="AD21" s="2"/>
      <c r="AE21" s="2"/>
      <c r="AF21" s="2" t="s">
        <v>79</v>
      </c>
      <c r="AG21" s="2" t="s">
        <v>408</v>
      </c>
      <c r="AH21" s="2" t="s">
        <v>400</v>
      </c>
      <c r="AI21" s="2" t="s">
        <v>82</v>
      </c>
      <c r="AJ21" s="2">
        <v>10</v>
      </c>
      <c r="AK21" s="2" t="s">
        <v>84</v>
      </c>
      <c r="AL21" s="2" t="s">
        <v>84</v>
      </c>
      <c r="AM21" s="2" t="s">
        <v>84</v>
      </c>
      <c r="AN21" s="2" t="s">
        <v>84</v>
      </c>
      <c r="AO21" s="2" t="s">
        <v>84</v>
      </c>
      <c r="AP21" s="2" t="s">
        <v>84</v>
      </c>
      <c r="AQ21" s="2" t="s">
        <v>84</v>
      </c>
      <c r="AR21" s="2" t="s">
        <v>84</v>
      </c>
      <c r="AS21" s="2" t="s">
        <v>84</v>
      </c>
      <c r="AT21" s="2" t="s">
        <v>84</v>
      </c>
      <c r="AU21" s="2" t="s">
        <v>106</v>
      </c>
      <c r="AV21" s="2" t="s">
        <v>80</v>
      </c>
      <c r="AW21" s="2" t="s">
        <v>409</v>
      </c>
      <c r="AX21" s="2" t="s">
        <v>106</v>
      </c>
      <c r="AY21" s="2" t="s">
        <v>410</v>
      </c>
      <c r="AZ21" s="2" t="s">
        <v>100</v>
      </c>
      <c r="BA21" s="2" t="s">
        <v>411</v>
      </c>
      <c r="BB21" s="2" t="s">
        <v>102</v>
      </c>
      <c r="BC21" s="2" t="s">
        <v>79</v>
      </c>
      <c r="BD21" s="2" t="s">
        <v>168</v>
      </c>
      <c r="BE21" s="2" t="s">
        <v>412</v>
      </c>
      <c r="BF21" s="2" t="s">
        <v>153</v>
      </c>
      <c r="BG21" s="2" t="s">
        <v>413</v>
      </c>
      <c r="BH21" s="2" t="s">
        <v>80</v>
      </c>
      <c r="BI21" s="2" t="s">
        <v>79</v>
      </c>
      <c r="BJ21" s="2" t="s">
        <v>107</v>
      </c>
      <c r="BK21" s="2" t="s">
        <v>414</v>
      </c>
      <c r="BL21" s="2" t="s">
        <v>79</v>
      </c>
      <c r="BM21" s="2" t="s">
        <v>109</v>
      </c>
    </row>
    <row r="22" spans="1:65" ht="409.5" x14ac:dyDescent="0.25">
      <c r="A22" s="2" t="s">
        <v>415</v>
      </c>
      <c r="B22" s="2">
        <v>2018</v>
      </c>
      <c r="C22" s="2" t="s">
        <v>270</v>
      </c>
      <c r="D22" s="2" t="s">
        <v>79</v>
      </c>
      <c r="E22" s="2" t="s">
        <v>79</v>
      </c>
      <c r="F22" s="2" t="s">
        <v>79</v>
      </c>
      <c r="G22" s="2" t="s">
        <v>92</v>
      </c>
      <c r="H22" s="2" t="s">
        <v>92</v>
      </c>
      <c r="I22" s="2" t="s">
        <v>92</v>
      </c>
      <c r="J22" s="2" t="s">
        <v>271</v>
      </c>
      <c r="K22" s="2" t="s">
        <v>80</v>
      </c>
      <c r="L22" s="2" t="s">
        <v>417</v>
      </c>
      <c r="M22" s="2" t="s">
        <v>418</v>
      </c>
      <c r="N22" s="2" t="s">
        <v>89</v>
      </c>
      <c r="O22" s="2" t="s">
        <v>79</v>
      </c>
      <c r="P22" s="2" t="s">
        <v>116</v>
      </c>
      <c r="Q22" s="2" t="s">
        <v>419</v>
      </c>
      <c r="R22" s="2"/>
      <c r="S22" s="2"/>
      <c r="T22" s="2" t="s">
        <v>80</v>
      </c>
      <c r="U22" s="2"/>
      <c r="V22" s="2" t="s">
        <v>92</v>
      </c>
      <c r="W22" s="2" t="s">
        <v>118</v>
      </c>
      <c r="X22" s="2" t="s">
        <v>420</v>
      </c>
      <c r="Y22" s="2" t="s">
        <v>95</v>
      </c>
      <c r="Z22" s="2" t="s">
        <v>421</v>
      </c>
      <c r="AA22" s="2" t="s">
        <v>422</v>
      </c>
      <c r="AB22" s="2" t="s">
        <v>80</v>
      </c>
      <c r="AC22" s="2"/>
      <c r="AD22" s="2"/>
      <c r="AE22" s="2"/>
      <c r="AF22" s="2" t="s">
        <v>79</v>
      </c>
      <c r="AG22" s="2" t="s">
        <v>423</v>
      </c>
      <c r="AH22" s="2" t="s">
        <v>416</v>
      </c>
      <c r="AI22" s="2" t="s">
        <v>82</v>
      </c>
      <c r="AJ22" s="2">
        <v>8</v>
      </c>
      <c r="AK22" s="2" t="s">
        <v>84</v>
      </c>
      <c r="AL22" s="2" t="s">
        <v>84</v>
      </c>
      <c r="AM22" s="2" t="s">
        <v>84</v>
      </c>
      <c r="AN22" s="2" t="s">
        <v>84</v>
      </c>
      <c r="AO22" s="2" t="s">
        <v>84</v>
      </c>
      <c r="AP22" s="2" t="s">
        <v>84</v>
      </c>
      <c r="AQ22" s="2" t="s">
        <v>85</v>
      </c>
      <c r="AR22" s="2" t="s">
        <v>86</v>
      </c>
      <c r="AS22" s="2" t="s">
        <v>84</v>
      </c>
      <c r="AT22" s="2" t="s">
        <v>85</v>
      </c>
      <c r="AU22" s="2" t="s">
        <v>80</v>
      </c>
      <c r="AV22" s="2" t="s">
        <v>80</v>
      </c>
      <c r="AW22" s="2"/>
      <c r="AX22" s="2" t="s">
        <v>80</v>
      </c>
      <c r="AY22" s="2" t="s">
        <v>424</v>
      </c>
      <c r="AZ22" s="2" t="s">
        <v>303</v>
      </c>
      <c r="BA22" s="2" t="s">
        <v>425</v>
      </c>
      <c r="BB22" s="2" t="s">
        <v>426</v>
      </c>
      <c r="BC22" s="2" t="s">
        <v>79</v>
      </c>
      <c r="BD22" s="2" t="s">
        <v>427</v>
      </c>
      <c r="BE22" s="2" t="s">
        <v>428</v>
      </c>
      <c r="BF22" s="2" t="s">
        <v>104</v>
      </c>
      <c r="BG22" s="2"/>
      <c r="BH22" s="2" t="s">
        <v>80</v>
      </c>
      <c r="BI22" s="2" t="s">
        <v>106</v>
      </c>
      <c r="BJ22" s="2" t="s">
        <v>429</v>
      </c>
      <c r="BK22" s="2" t="s">
        <v>430</v>
      </c>
      <c r="BL22" s="2" t="s">
        <v>79</v>
      </c>
      <c r="BM22" s="2" t="s">
        <v>109</v>
      </c>
    </row>
    <row r="23" spans="1:65" ht="409.5" x14ac:dyDescent="0.25">
      <c r="A23" s="2" t="s">
        <v>431</v>
      </c>
      <c r="B23" s="2">
        <v>2018</v>
      </c>
      <c r="C23" s="2" t="s">
        <v>270</v>
      </c>
      <c r="D23" s="2" t="s">
        <v>79</v>
      </c>
      <c r="E23" s="2" t="s">
        <v>79</v>
      </c>
      <c r="F23" s="2" t="s">
        <v>79</v>
      </c>
      <c r="G23" s="2" t="s">
        <v>92</v>
      </c>
      <c r="H23" s="2" t="s">
        <v>79</v>
      </c>
      <c r="I23" s="2" t="s">
        <v>92</v>
      </c>
      <c r="J23" s="2" t="s">
        <v>224</v>
      </c>
      <c r="K23" s="2" t="s">
        <v>92</v>
      </c>
      <c r="L23" s="2" t="s">
        <v>433</v>
      </c>
      <c r="M23" s="2" t="s">
        <v>434</v>
      </c>
      <c r="N23" s="2" t="s">
        <v>89</v>
      </c>
      <c r="O23" s="2" t="s">
        <v>79</v>
      </c>
      <c r="P23" s="2" t="s">
        <v>116</v>
      </c>
      <c r="Q23" s="2" t="s">
        <v>435</v>
      </c>
      <c r="R23" s="2" t="s">
        <v>276</v>
      </c>
      <c r="S23" s="2" t="s">
        <v>277</v>
      </c>
      <c r="T23" s="2" t="s">
        <v>79</v>
      </c>
      <c r="U23" s="2" t="s">
        <v>436</v>
      </c>
      <c r="V23" s="2" t="s">
        <v>92</v>
      </c>
      <c r="W23" s="2" t="s">
        <v>437</v>
      </c>
      <c r="X23" s="2" t="s">
        <v>438</v>
      </c>
      <c r="Y23" s="2" t="s">
        <v>95</v>
      </c>
      <c r="Z23" s="2" t="s">
        <v>439</v>
      </c>
      <c r="AA23" s="2" t="s">
        <v>440</v>
      </c>
      <c r="AB23" s="2" t="s">
        <v>80</v>
      </c>
      <c r="AC23" s="2"/>
      <c r="AD23" s="2"/>
      <c r="AE23" s="2"/>
      <c r="AF23" s="2" t="s">
        <v>79</v>
      </c>
      <c r="AG23" s="2" t="s">
        <v>441</v>
      </c>
      <c r="AH23" s="2" t="s">
        <v>432</v>
      </c>
      <c r="AI23" s="2" t="s">
        <v>82</v>
      </c>
      <c r="AJ23" s="2">
        <v>9.5</v>
      </c>
      <c r="AK23" s="2" t="s">
        <v>84</v>
      </c>
      <c r="AL23" s="2" t="s">
        <v>84</v>
      </c>
      <c r="AM23" s="2" t="s">
        <v>84</v>
      </c>
      <c r="AN23" s="2" t="s">
        <v>84</v>
      </c>
      <c r="AO23" s="2" t="s">
        <v>84</v>
      </c>
      <c r="AP23" s="2" t="s">
        <v>84</v>
      </c>
      <c r="AQ23" s="2" t="s">
        <v>84</v>
      </c>
      <c r="AR23" s="2" t="s">
        <v>84</v>
      </c>
      <c r="AS23" s="2" t="s">
        <v>84</v>
      </c>
      <c r="AT23" s="2" t="s">
        <v>85</v>
      </c>
      <c r="AU23" s="2" t="s">
        <v>80</v>
      </c>
      <c r="AV23" s="2" t="s">
        <v>80</v>
      </c>
      <c r="AW23" s="2"/>
      <c r="AX23" s="2" t="s">
        <v>80</v>
      </c>
      <c r="AY23" s="2" t="s">
        <v>442</v>
      </c>
      <c r="AZ23" s="2" t="s">
        <v>100</v>
      </c>
      <c r="BA23" s="2" t="s">
        <v>443</v>
      </c>
      <c r="BB23" s="2" t="s">
        <v>102</v>
      </c>
      <c r="BC23" s="2" t="s">
        <v>79</v>
      </c>
      <c r="BD23" s="2" t="s">
        <v>444</v>
      </c>
      <c r="BE23" s="2" t="s">
        <v>445</v>
      </c>
      <c r="BF23" s="2" t="s">
        <v>153</v>
      </c>
      <c r="BG23" s="2" t="s">
        <v>446</v>
      </c>
      <c r="BH23" s="2" t="s">
        <v>79</v>
      </c>
      <c r="BI23" s="2" t="s">
        <v>79</v>
      </c>
      <c r="BJ23" s="2" t="s">
        <v>289</v>
      </c>
      <c r="BK23" s="2" t="s">
        <v>447</v>
      </c>
      <c r="BL23" s="2" t="s">
        <v>79</v>
      </c>
      <c r="BM23" s="2" t="s">
        <v>109</v>
      </c>
    </row>
    <row r="24" spans="1:65" ht="409.5" x14ac:dyDescent="0.25">
      <c r="A24" s="2" t="s">
        <v>448</v>
      </c>
      <c r="B24" s="2">
        <v>2018</v>
      </c>
      <c r="C24" s="2" t="s">
        <v>111</v>
      </c>
      <c r="D24" s="2" t="s">
        <v>79</v>
      </c>
      <c r="E24" s="2" t="s">
        <v>79</v>
      </c>
      <c r="F24" s="2" t="s">
        <v>79</v>
      </c>
      <c r="G24" s="2" t="s">
        <v>92</v>
      </c>
      <c r="H24" s="2" t="s">
        <v>79</v>
      </c>
      <c r="I24" s="2" t="s">
        <v>92</v>
      </c>
      <c r="J24" s="2" t="s">
        <v>224</v>
      </c>
      <c r="K24" s="2" t="s">
        <v>92</v>
      </c>
      <c r="L24" s="2" t="s">
        <v>450</v>
      </c>
      <c r="M24" s="2" t="s">
        <v>451</v>
      </c>
      <c r="N24" s="2" t="s">
        <v>89</v>
      </c>
      <c r="O24" s="2" t="s">
        <v>79</v>
      </c>
      <c r="P24" s="2" t="s">
        <v>116</v>
      </c>
      <c r="Q24" s="2" t="s">
        <v>452</v>
      </c>
      <c r="R24" s="2"/>
      <c r="S24" s="2"/>
      <c r="T24" s="2" t="s">
        <v>80</v>
      </c>
      <c r="U24" s="2"/>
      <c r="V24" s="2" t="s">
        <v>92</v>
      </c>
      <c r="W24" s="2" t="s">
        <v>453</v>
      </c>
      <c r="X24" s="2" t="s">
        <v>454</v>
      </c>
      <c r="Y24" s="2" t="s">
        <v>95</v>
      </c>
      <c r="Z24" s="2" t="s">
        <v>455</v>
      </c>
      <c r="AA24" s="2" t="s">
        <v>456</v>
      </c>
      <c r="AB24" s="2" t="s">
        <v>80</v>
      </c>
      <c r="AC24" s="2"/>
      <c r="AD24" s="2"/>
      <c r="AE24" s="2"/>
      <c r="AF24" s="2" t="s">
        <v>79</v>
      </c>
      <c r="AG24" s="2" t="s">
        <v>457</v>
      </c>
      <c r="AH24" s="2" t="s">
        <v>449</v>
      </c>
      <c r="AI24" s="2" t="s">
        <v>82</v>
      </c>
      <c r="AJ24" s="2">
        <v>8.5</v>
      </c>
      <c r="AK24" s="2" t="s">
        <v>84</v>
      </c>
      <c r="AL24" s="2" t="s">
        <v>84</v>
      </c>
      <c r="AM24" s="2" t="s">
        <v>84</v>
      </c>
      <c r="AN24" s="2" t="s">
        <v>84</v>
      </c>
      <c r="AO24" s="2" t="s">
        <v>84</v>
      </c>
      <c r="AP24" s="2" t="s">
        <v>84</v>
      </c>
      <c r="AQ24" s="2" t="s">
        <v>85</v>
      </c>
      <c r="AR24" s="2" t="s">
        <v>86</v>
      </c>
      <c r="AS24" s="2" t="s">
        <v>84</v>
      </c>
      <c r="AT24" s="2" t="s">
        <v>84</v>
      </c>
      <c r="AU24" s="2" t="s">
        <v>80</v>
      </c>
      <c r="AV24" s="2" t="s">
        <v>80</v>
      </c>
      <c r="AW24" s="2"/>
      <c r="AX24" s="2" t="s">
        <v>80</v>
      </c>
      <c r="AY24" s="2" t="s">
        <v>458</v>
      </c>
      <c r="AZ24" s="2" t="s">
        <v>100</v>
      </c>
      <c r="BA24" s="2" t="s">
        <v>459</v>
      </c>
      <c r="BB24" s="2" t="s">
        <v>102</v>
      </c>
      <c r="BC24" s="2" t="s">
        <v>79</v>
      </c>
      <c r="BD24" s="2" t="s">
        <v>427</v>
      </c>
      <c r="BE24" s="2" t="s">
        <v>460</v>
      </c>
      <c r="BF24" s="2" t="s">
        <v>153</v>
      </c>
      <c r="BG24" s="2" t="s">
        <v>461</v>
      </c>
      <c r="BH24" s="2" t="s">
        <v>79</v>
      </c>
      <c r="BI24" s="2" t="s">
        <v>106</v>
      </c>
      <c r="BJ24" s="2" t="s">
        <v>107</v>
      </c>
      <c r="BK24" s="2" t="s">
        <v>462</v>
      </c>
      <c r="BL24" s="2" t="s">
        <v>79</v>
      </c>
      <c r="BM24" s="2" t="s">
        <v>109</v>
      </c>
    </row>
    <row r="25" spans="1:65" ht="409.5" x14ac:dyDescent="0.25">
      <c r="A25" s="2" t="s">
        <v>501</v>
      </c>
      <c r="B25" s="2">
        <v>2018</v>
      </c>
      <c r="C25" s="2" t="s">
        <v>111</v>
      </c>
      <c r="D25" s="2" t="s">
        <v>79</v>
      </c>
      <c r="E25" s="2" t="s">
        <v>79</v>
      </c>
      <c r="F25" s="2" t="s">
        <v>79</v>
      </c>
      <c r="G25" s="2" t="s">
        <v>106</v>
      </c>
      <c r="H25" s="2" t="s">
        <v>92</v>
      </c>
      <c r="I25" s="2" t="s">
        <v>106</v>
      </c>
      <c r="J25" s="2" t="s">
        <v>502</v>
      </c>
      <c r="K25" s="2" t="s">
        <v>80</v>
      </c>
      <c r="L25" s="2" t="s">
        <v>504</v>
      </c>
      <c r="M25" s="2" t="s">
        <v>505</v>
      </c>
      <c r="N25" s="2" t="s">
        <v>143</v>
      </c>
      <c r="O25" s="2" t="s">
        <v>106</v>
      </c>
      <c r="P25" s="2" t="s">
        <v>90</v>
      </c>
      <c r="Q25" s="2" t="s">
        <v>506</v>
      </c>
      <c r="R25" s="2"/>
      <c r="S25" s="2"/>
      <c r="T25" s="2" t="s">
        <v>80</v>
      </c>
      <c r="U25" s="2"/>
      <c r="V25" s="2" t="s">
        <v>92</v>
      </c>
      <c r="W25" s="2"/>
      <c r="X25" s="2" t="s">
        <v>507</v>
      </c>
      <c r="Y25" s="2" t="s">
        <v>95</v>
      </c>
      <c r="Z25" s="2" t="s">
        <v>508</v>
      </c>
      <c r="AA25" s="2" t="s">
        <v>509</v>
      </c>
      <c r="AB25" s="2" t="s">
        <v>80</v>
      </c>
      <c r="AC25" s="2"/>
      <c r="AD25" s="2"/>
      <c r="AE25" s="2" t="s">
        <v>510</v>
      </c>
      <c r="AF25" s="2" t="s">
        <v>79</v>
      </c>
      <c r="AG25" s="2" t="s">
        <v>511</v>
      </c>
      <c r="AH25" s="2" t="s">
        <v>503</v>
      </c>
      <c r="AI25" s="2" t="s">
        <v>82</v>
      </c>
      <c r="AJ25" s="2">
        <v>7.5</v>
      </c>
      <c r="AK25" s="2" t="s">
        <v>84</v>
      </c>
      <c r="AL25" s="2" t="s">
        <v>84</v>
      </c>
      <c r="AM25" s="2" t="s">
        <v>85</v>
      </c>
      <c r="AN25" s="2" t="s">
        <v>84</v>
      </c>
      <c r="AO25" s="2" t="s">
        <v>84</v>
      </c>
      <c r="AP25" s="2" t="s">
        <v>84</v>
      </c>
      <c r="AQ25" s="2" t="s">
        <v>84</v>
      </c>
      <c r="AR25" s="2" t="s">
        <v>86</v>
      </c>
      <c r="AS25" s="2" t="s">
        <v>86</v>
      </c>
      <c r="AT25" s="2" t="s">
        <v>84</v>
      </c>
      <c r="AU25" s="2"/>
      <c r="AV25" s="2" t="s">
        <v>80</v>
      </c>
      <c r="AW25" s="2"/>
      <c r="AX25" s="2"/>
      <c r="AY25" s="2" t="s">
        <v>512</v>
      </c>
      <c r="AZ25" s="2" t="s">
        <v>303</v>
      </c>
      <c r="BA25" s="2" t="s">
        <v>513</v>
      </c>
      <c r="BB25" s="2" t="s">
        <v>514</v>
      </c>
      <c r="BC25" s="2" t="s">
        <v>79</v>
      </c>
      <c r="BD25" s="2"/>
      <c r="BE25" s="2" t="s">
        <v>515</v>
      </c>
      <c r="BF25" s="2" t="s">
        <v>104</v>
      </c>
      <c r="BG25" s="2"/>
      <c r="BH25" s="2" t="s">
        <v>80</v>
      </c>
      <c r="BI25" s="2" t="s">
        <v>79</v>
      </c>
      <c r="BJ25" s="2" t="s">
        <v>155</v>
      </c>
      <c r="BK25" s="2"/>
      <c r="BL25" s="2" t="s">
        <v>80</v>
      </c>
      <c r="BM25" s="2" t="s">
        <v>109</v>
      </c>
    </row>
    <row r="26" spans="1:65" ht="409.5" x14ac:dyDescent="0.25">
      <c r="A26" s="2" t="s">
        <v>516</v>
      </c>
      <c r="B26" s="2">
        <v>2019</v>
      </c>
      <c r="C26" s="2" t="s">
        <v>270</v>
      </c>
      <c r="D26" s="2" t="s">
        <v>79</v>
      </c>
      <c r="E26" s="2" t="s">
        <v>79</v>
      </c>
      <c r="F26" s="2" t="s">
        <v>79</v>
      </c>
      <c r="G26" s="2" t="s">
        <v>92</v>
      </c>
      <c r="H26" s="2" t="s">
        <v>79</v>
      </c>
      <c r="I26" s="2" t="s">
        <v>92</v>
      </c>
      <c r="J26" s="2" t="s">
        <v>517</v>
      </c>
      <c r="K26" s="2" t="s">
        <v>92</v>
      </c>
      <c r="L26" s="2" t="s">
        <v>519</v>
      </c>
      <c r="M26" s="2" t="s">
        <v>520</v>
      </c>
      <c r="N26" s="2" t="s">
        <v>89</v>
      </c>
      <c r="O26" s="2" t="s">
        <v>79</v>
      </c>
      <c r="P26" s="2" t="s">
        <v>116</v>
      </c>
      <c r="Q26" s="2" t="s">
        <v>521</v>
      </c>
      <c r="R26" s="2"/>
      <c r="S26" s="2"/>
      <c r="T26" s="2" t="s">
        <v>80</v>
      </c>
      <c r="U26" s="2"/>
      <c r="V26" s="2" t="s">
        <v>92</v>
      </c>
      <c r="W26" s="2"/>
      <c r="X26" s="2" t="s">
        <v>522</v>
      </c>
      <c r="Y26" s="2" t="s">
        <v>95</v>
      </c>
      <c r="Z26" s="2" t="s">
        <v>523</v>
      </c>
      <c r="AA26" s="2" t="s">
        <v>524</v>
      </c>
      <c r="AB26" s="2" t="s">
        <v>80</v>
      </c>
      <c r="AC26" s="2"/>
      <c r="AD26" s="2"/>
      <c r="AE26" s="2" t="s">
        <v>525</v>
      </c>
      <c r="AF26" s="2" t="s">
        <v>79</v>
      </c>
      <c r="AG26" s="2" t="s">
        <v>526</v>
      </c>
      <c r="AH26" s="2" t="s">
        <v>518</v>
      </c>
      <c r="AI26" s="2" t="s">
        <v>82</v>
      </c>
      <c r="AJ26" s="2">
        <v>8.5</v>
      </c>
      <c r="AK26" s="2" t="s">
        <v>84</v>
      </c>
      <c r="AL26" s="2" t="s">
        <v>84</v>
      </c>
      <c r="AM26" s="2" t="s">
        <v>84</v>
      </c>
      <c r="AN26" s="2" t="s">
        <v>84</v>
      </c>
      <c r="AO26" s="2" t="s">
        <v>84</v>
      </c>
      <c r="AP26" s="2" t="s">
        <v>84</v>
      </c>
      <c r="AQ26" s="2" t="s">
        <v>84</v>
      </c>
      <c r="AR26" s="2" t="s">
        <v>86</v>
      </c>
      <c r="AS26" s="2" t="s">
        <v>84</v>
      </c>
      <c r="AT26" s="2" t="s">
        <v>85</v>
      </c>
      <c r="AU26" s="2"/>
      <c r="AV26" s="2" t="s">
        <v>80</v>
      </c>
      <c r="AW26" s="2"/>
      <c r="AX26" s="2"/>
      <c r="AY26" s="2" t="s">
        <v>527</v>
      </c>
      <c r="AZ26" s="2" t="s">
        <v>100</v>
      </c>
      <c r="BA26" s="2" t="s">
        <v>528</v>
      </c>
      <c r="BB26" s="2" t="s">
        <v>102</v>
      </c>
      <c r="BC26" s="2" t="s">
        <v>79</v>
      </c>
      <c r="BD26" s="2"/>
      <c r="BE26" s="2" t="s">
        <v>529</v>
      </c>
      <c r="BF26" s="2" t="s">
        <v>104</v>
      </c>
      <c r="BG26" s="2" t="s">
        <v>530</v>
      </c>
      <c r="BH26" s="2" t="s">
        <v>79</v>
      </c>
      <c r="BI26" s="2" t="s">
        <v>79</v>
      </c>
      <c r="BJ26" s="2" t="s">
        <v>429</v>
      </c>
      <c r="BK26" s="2" t="s">
        <v>531</v>
      </c>
      <c r="BL26" s="2" t="s">
        <v>79</v>
      </c>
      <c r="BM26" s="2" t="s">
        <v>109</v>
      </c>
    </row>
    <row r="27" spans="1:65" ht="409.5" x14ac:dyDescent="0.25">
      <c r="A27" s="2" t="s">
        <v>532</v>
      </c>
      <c r="B27" s="2">
        <v>2019</v>
      </c>
      <c r="C27" s="2" t="s">
        <v>111</v>
      </c>
      <c r="D27" s="2" t="s">
        <v>79</v>
      </c>
      <c r="E27" s="2" t="s">
        <v>79</v>
      </c>
      <c r="F27" s="2" t="s">
        <v>79</v>
      </c>
      <c r="G27" s="2" t="s">
        <v>92</v>
      </c>
      <c r="H27" s="2" t="s">
        <v>92</v>
      </c>
      <c r="I27" s="2" t="s">
        <v>92</v>
      </c>
      <c r="J27" s="2" t="s">
        <v>271</v>
      </c>
      <c r="K27" s="2" t="s">
        <v>80</v>
      </c>
      <c r="L27" s="2" t="s">
        <v>534</v>
      </c>
      <c r="M27" s="2" t="s">
        <v>535</v>
      </c>
      <c r="N27" s="2" t="s">
        <v>89</v>
      </c>
      <c r="O27" s="2" t="s">
        <v>106</v>
      </c>
      <c r="P27" s="2" t="s">
        <v>90</v>
      </c>
      <c r="Q27" s="2" t="s">
        <v>536</v>
      </c>
      <c r="R27" s="2"/>
      <c r="S27" s="2"/>
      <c r="T27" s="2" t="s">
        <v>80</v>
      </c>
      <c r="U27" s="2"/>
      <c r="V27" s="2" t="s">
        <v>92</v>
      </c>
      <c r="W27" s="2" t="s">
        <v>118</v>
      </c>
      <c r="X27" s="2" t="s">
        <v>537</v>
      </c>
      <c r="Y27" s="2" t="s">
        <v>95</v>
      </c>
      <c r="Z27" s="2" t="s">
        <v>538</v>
      </c>
      <c r="AA27" s="2" t="s">
        <v>539</v>
      </c>
      <c r="AB27" s="2" t="s">
        <v>80</v>
      </c>
      <c r="AC27" s="2"/>
      <c r="AD27" s="2"/>
      <c r="AE27" s="2" t="s">
        <v>540</v>
      </c>
      <c r="AF27" s="2" t="s">
        <v>79</v>
      </c>
      <c r="AG27" s="2" t="s">
        <v>541</v>
      </c>
      <c r="AH27" s="2" t="s">
        <v>533</v>
      </c>
      <c r="AI27" s="2" t="s">
        <v>82</v>
      </c>
      <c r="AJ27" s="2">
        <v>8.5</v>
      </c>
      <c r="AK27" s="2" t="s">
        <v>84</v>
      </c>
      <c r="AL27" s="2" t="s">
        <v>84</v>
      </c>
      <c r="AM27" s="2" t="s">
        <v>84</v>
      </c>
      <c r="AN27" s="2" t="s">
        <v>84</v>
      </c>
      <c r="AO27" s="2" t="s">
        <v>84</v>
      </c>
      <c r="AP27" s="2" t="s">
        <v>84</v>
      </c>
      <c r="AQ27" s="2" t="s">
        <v>84</v>
      </c>
      <c r="AR27" s="2" t="s">
        <v>86</v>
      </c>
      <c r="AS27" s="2" t="s">
        <v>84</v>
      </c>
      <c r="AT27" s="2" t="s">
        <v>85</v>
      </c>
      <c r="AU27" s="2"/>
      <c r="AV27" s="2" t="s">
        <v>80</v>
      </c>
      <c r="AW27" s="2"/>
      <c r="AX27" s="2"/>
      <c r="AY27" s="2" t="s">
        <v>542</v>
      </c>
      <c r="AZ27" s="2" t="s">
        <v>100</v>
      </c>
      <c r="BA27" s="2" t="s">
        <v>543</v>
      </c>
      <c r="BB27" s="2" t="s">
        <v>102</v>
      </c>
      <c r="BC27" s="2" t="s">
        <v>79</v>
      </c>
      <c r="BD27" s="2"/>
      <c r="BE27" s="2" t="s">
        <v>544</v>
      </c>
      <c r="BF27" s="2" t="s">
        <v>153</v>
      </c>
      <c r="BG27" s="2"/>
      <c r="BH27" s="2" t="s">
        <v>80</v>
      </c>
      <c r="BI27" s="2" t="s">
        <v>79</v>
      </c>
      <c r="BJ27" s="2" t="s">
        <v>545</v>
      </c>
      <c r="BK27" s="2" t="s">
        <v>546</v>
      </c>
      <c r="BL27" s="2" t="s">
        <v>79</v>
      </c>
      <c r="BM27" s="2" t="s">
        <v>109</v>
      </c>
    </row>
    <row r="28" spans="1:65" ht="409.5" x14ac:dyDescent="0.25">
      <c r="A28" s="2" t="s">
        <v>547</v>
      </c>
      <c r="B28" s="2">
        <v>2019</v>
      </c>
      <c r="C28" s="2" t="s">
        <v>78</v>
      </c>
      <c r="D28" s="2" t="s">
        <v>79</v>
      </c>
      <c r="E28" s="2" t="s">
        <v>79</v>
      </c>
      <c r="F28" s="2" t="s">
        <v>79</v>
      </c>
      <c r="G28" s="2" t="s">
        <v>92</v>
      </c>
      <c r="H28" s="2" t="s">
        <v>92</v>
      </c>
      <c r="I28" s="2" t="s">
        <v>92</v>
      </c>
      <c r="J28" s="2" t="s">
        <v>548</v>
      </c>
      <c r="K28" s="2" t="s">
        <v>92</v>
      </c>
      <c r="L28" s="2" t="s">
        <v>550</v>
      </c>
      <c r="M28" s="2" t="s">
        <v>551</v>
      </c>
      <c r="N28" s="2" t="s">
        <v>89</v>
      </c>
      <c r="O28" s="2" t="s">
        <v>79</v>
      </c>
      <c r="P28" s="2" t="s">
        <v>90</v>
      </c>
      <c r="Q28" s="2" t="s">
        <v>552</v>
      </c>
      <c r="R28" s="2"/>
      <c r="S28" s="2"/>
      <c r="T28" s="2" t="s">
        <v>80</v>
      </c>
      <c r="U28" s="2"/>
      <c r="V28" s="2" t="s">
        <v>92</v>
      </c>
      <c r="W28" s="2" t="s">
        <v>553</v>
      </c>
      <c r="X28" s="2" t="s">
        <v>554</v>
      </c>
      <c r="Y28" s="2" t="s">
        <v>95</v>
      </c>
      <c r="Z28" s="2" t="s">
        <v>555</v>
      </c>
      <c r="AA28" s="2" t="s">
        <v>556</v>
      </c>
      <c r="AB28" s="2" t="s">
        <v>80</v>
      </c>
      <c r="AC28" s="2"/>
      <c r="AD28" s="2"/>
      <c r="AE28" s="2" t="s">
        <v>557</v>
      </c>
      <c r="AF28" s="2" t="s">
        <v>79</v>
      </c>
      <c r="AG28" s="2" t="s">
        <v>558</v>
      </c>
      <c r="AH28" s="2" t="s">
        <v>549</v>
      </c>
      <c r="AI28" s="2" t="s">
        <v>82</v>
      </c>
      <c r="AJ28" s="2">
        <v>8.5</v>
      </c>
      <c r="AK28" s="2" t="s">
        <v>84</v>
      </c>
      <c r="AL28" s="2" t="s">
        <v>84</v>
      </c>
      <c r="AM28" s="2" t="s">
        <v>84</v>
      </c>
      <c r="AN28" s="2" t="s">
        <v>84</v>
      </c>
      <c r="AO28" s="2" t="s">
        <v>84</v>
      </c>
      <c r="AP28" s="2" t="s">
        <v>84</v>
      </c>
      <c r="AQ28" s="2" t="s">
        <v>84</v>
      </c>
      <c r="AR28" s="2" t="s">
        <v>86</v>
      </c>
      <c r="AS28" s="2" t="s">
        <v>84</v>
      </c>
      <c r="AT28" s="2" t="s">
        <v>85</v>
      </c>
      <c r="AU28" s="2"/>
      <c r="AV28" s="2" t="s">
        <v>80</v>
      </c>
      <c r="AW28" s="2"/>
      <c r="AX28" s="2"/>
      <c r="AY28" s="2" t="s">
        <v>559</v>
      </c>
      <c r="AZ28" s="2" t="s">
        <v>100</v>
      </c>
      <c r="BA28" s="2" t="s">
        <v>560</v>
      </c>
      <c r="BB28" s="2" t="s">
        <v>102</v>
      </c>
      <c r="BC28" s="2" t="s">
        <v>79</v>
      </c>
      <c r="BD28" s="2"/>
      <c r="BE28" s="2" t="s">
        <v>561</v>
      </c>
      <c r="BF28" s="2" t="s">
        <v>153</v>
      </c>
      <c r="BG28" s="2" t="s">
        <v>562</v>
      </c>
      <c r="BH28" s="2" t="s">
        <v>79</v>
      </c>
      <c r="BI28" s="2" t="s">
        <v>79</v>
      </c>
      <c r="BJ28" s="2" t="s">
        <v>563</v>
      </c>
      <c r="BK28" s="2" t="s">
        <v>564</v>
      </c>
      <c r="BL28" s="2" t="s">
        <v>79</v>
      </c>
      <c r="BM28" s="2" t="s">
        <v>109</v>
      </c>
    </row>
    <row r="29" spans="1:65" ht="409.5" x14ac:dyDescent="0.25">
      <c r="A29" s="2" t="s">
        <v>565</v>
      </c>
      <c r="B29" s="2">
        <v>2019</v>
      </c>
      <c r="C29" s="2" t="s">
        <v>566</v>
      </c>
      <c r="D29" s="2" t="s">
        <v>79</v>
      </c>
      <c r="E29" s="2" t="s">
        <v>79</v>
      </c>
      <c r="F29" s="2" t="s">
        <v>79</v>
      </c>
      <c r="G29" s="2" t="s">
        <v>79</v>
      </c>
      <c r="H29" s="2" t="s">
        <v>79</v>
      </c>
      <c r="I29" s="2" t="s">
        <v>92</v>
      </c>
      <c r="J29" s="2" t="s">
        <v>224</v>
      </c>
      <c r="K29" s="2" t="s">
        <v>79</v>
      </c>
      <c r="L29" s="2" t="s">
        <v>568</v>
      </c>
      <c r="M29" s="2" t="s">
        <v>569</v>
      </c>
      <c r="N29" s="2" t="s">
        <v>89</v>
      </c>
      <c r="O29" s="2" t="s">
        <v>79</v>
      </c>
      <c r="P29" s="2" t="s">
        <v>116</v>
      </c>
      <c r="Q29" s="2" t="s">
        <v>570</v>
      </c>
      <c r="R29" s="2"/>
      <c r="S29" s="2"/>
      <c r="T29" s="2" t="s">
        <v>80</v>
      </c>
      <c r="U29" s="2"/>
      <c r="V29" s="2" t="s">
        <v>92</v>
      </c>
      <c r="W29" s="2" t="s">
        <v>118</v>
      </c>
      <c r="X29" s="2" t="s">
        <v>571</v>
      </c>
      <c r="Y29" s="2" t="s">
        <v>95</v>
      </c>
      <c r="Z29" s="2" t="s">
        <v>572</v>
      </c>
      <c r="AA29" s="2" t="s">
        <v>573</v>
      </c>
      <c r="AB29" s="2" t="s">
        <v>80</v>
      </c>
      <c r="AC29" s="2"/>
      <c r="AD29" s="2"/>
      <c r="AE29" s="2" t="s">
        <v>574</v>
      </c>
      <c r="AF29" s="2" t="s">
        <v>79</v>
      </c>
      <c r="AG29" s="2" t="s">
        <v>575</v>
      </c>
      <c r="AH29" s="2" t="s">
        <v>567</v>
      </c>
      <c r="AI29" s="2" t="s">
        <v>82</v>
      </c>
      <c r="AJ29" s="2">
        <v>8.5</v>
      </c>
      <c r="AK29" s="2" t="s">
        <v>84</v>
      </c>
      <c r="AL29" s="2" t="s">
        <v>84</v>
      </c>
      <c r="AM29" s="2" t="s">
        <v>84</v>
      </c>
      <c r="AN29" s="2" t="s">
        <v>84</v>
      </c>
      <c r="AO29" s="2" t="s">
        <v>84</v>
      </c>
      <c r="AP29" s="2" t="s">
        <v>84</v>
      </c>
      <c r="AQ29" s="2" t="s">
        <v>84</v>
      </c>
      <c r="AR29" s="2" t="s">
        <v>86</v>
      </c>
      <c r="AS29" s="2" t="s">
        <v>84</v>
      </c>
      <c r="AT29" s="2" t="s">
        <v>85</v>
      </c>
      <c r="AU29" s="2"/>
      <c r="AV29" s="2" t="s">
        <v>80</v>
      </c>
      <c r="AW29" s="2"/>
      <c r="AX29" s="2"/>
      <c r="AY29" s="2" t="s">
        <v>576</v>
      </c>
      <c r="AZ29" s="2" t="s">
        <v>100</v>
      </c>
      <c r="BA29" s="2" t="s">
        <v>577</v>
      </c>
      <c r="BB29" s="2" t="s">
        <v>102</v>
      </c>
      <c r="BC29" s="2" t="s">
        <v>79</v>
      </c>
      <c r="BD29" s="2"/>
      <c r="BE29" s="2" t="s">
        <v>578</v>
      </c>
      <c r="BF29" s="2" t="s">
        <v>153</v>
      </c>
      <c r="BG29" s="2" t="s">
        <v>579</v>
      </c>
      <c r="BH29" s="2" t="s">
        <v>79</v>
      </c>
      <c r="BI29" s="2" t="s">
        <v>79</v>
      </c>
      <c r="BJ29" s="2" t="s">
        <v>563</v>
      </c>
      <c r="BK29" s="2" t="s">
        <v>580</v>
      </c>
      <c r="BL29" s="2" t="s">
        <v>79</v>
      </c>
      <c r="BM29" s="2" t="s">
        <v>109</v>
      </c>
    </row>
    <row r="30" spans="1:65" ht="409.5" x14ac:dyDescent="0.25">
      <c r="A30" s="2" t="s">
        <v>581</v>
      </c>
      <c r="B30" s="2">
        <v>2019</v>
      </c>
      <c r="C30" s="2" t="s">
        <v>111</v>
      </c>
      <c r="D30" s="2" t="s">
        <v>79</v>
      </c>
      <c r="E30" s="2" t="s">
        <v>79</v>
      </c>
      <c r="F30" s="2" t="s">
        <v>79</v>
      </c>
      <c r="G30" s="2" t="s">
        <v>92</v>
      </c>
      <c r="H30" s="2" t="s">
        <v>79</v>
      </c>
      <c r="I30" s="2" t="s">
        <v>92</v>
      </c>
      <c r="J30" s="2" t="s">
        <v>224</v>
      </c>
      <c r="K30" s="2" t="s">
        <v>79</v>
      </c>
      <c r="L30" s="2" t="s">
        <v>583</v>
      </c>
      <c r="M30" s="2" t="s">
        <v>584</v>
      </c>
      <c r="N30" s="2" t="s">
        <v>89</v>
      </c>
      <c r="O30" s="2" t="s">
        <v>79</v>
      </c>
      <c r="P30" s="2" t="s">
        <v>116</v>
      </c>
      <c r="Q30" s="2" t="s">
        <v>585</v>
      </c>
      <c r="R30" s="2"/>
      <c r="S30" s="2"/>
      <c r="T30" s="2" t="s">
        <v>80</v>
      </c>
      <c r="U30" s="2"/>
      <c r="V30" s="2" t="s">
        <v>92</v>
      </c>
      <c r="W30" s="2" t="s">
        <v>465</v>
      </c>
      <c r="X30" s="2" t="s">
        <v>586</v>
      </c>
      <c r="Y30" s="2" t="s">
        <v>95</v>
      </c>
      <c r="Z30" s="2" t="s">
        <v>587</v>
      </c>
      <c r="AA30" s="2" t="s">
        <v>588</v>
      </c>
      <c r="AB30" s="2" t="s">
        <v>80</v>
      </c>
      <c r="AC30" s="2"/>
      <c r="AD30" s="2"/>
      <c r="AE30" s="2" t="s">
        <v>589</v>
      </c>
      <c r="AF30" s="2" t="s">
        <v>79</v>
      </c>
      <c r="AG30" s="2" t="s">
        <v>590</v>
      </c>
      <c r="AH30" s="2" t="s">
        <v>582</v>
      </c>
      <c r="AI30" s="2" t="s">
        <v>82</v>
      </c>
      <c r="AJ30" s="2">
        <v>8.5</v>
      </c>
      <c r="AK30" s="2" t="s">
        <v>84</v>
      </c>
      <c r="AL30" s="2" t="s">
        <v>84</v>
      </c>
      <c r="AM30" s="2" t="s">
        <v>84</v>
      </c>
      <c r="AN30" s="2" t="s">
        <v>84</v>
      </c>
      <c r="AO30" s="2" t="s">
        <v>84</v>
      </c>
      <c r="AP30" s="2" t="s">
        <v>84</v>
      </c>
      <c r="AQ30" s="2" t="s">
        <v>84</v>
      </c>
      <c r="AR30" s="2" t="s">
        <v>86</v>
      </c>
      <c r="AS30" s="2" t="s">
        <v>84</v>
      </c>
      <c r="AT30" s="2" t="s">
        <v>85</v>
      </c>
      <c r="AU30" s="2"/>
      <c r="AV30" s="2" t="s">
        <v>80</v>
      </c>
      <c r="AW30" s="2"/>
      <c r="AX30" s="2"/>
      <c r="AY30" s="2" t="s">
        <v>591</v>
      </c>
      <c r="AZ30" s="2" t="s">
        <v>100</v>
      </c>
      <c r="BA30" s="2" t="s">
        <v>592</v>
      </c>
      <c r="BB30" s="2" t="s">
        <v>102</v>
      </c>
      <c r="BC30" s="2" t="s">
        <v>79</v>
      </c>
      <c r="BD30" s="2"/>
      <c r="BE30" s="2" t="s">
        <v>593</v>
      </c>
      <c r="BF30" s="2" t="s">
        <v>153</v>
      </c>
      <c r="BG30" s="2" t="s">
        <v>594</v>
      </c>
      <c r="BH30" s="2" t="s">
        <v>79</v>
      </c>
      <c r="BI30" s="2" t="s">
        <v>79</v>
      </c>
      <c r="BJ30" s="2" t="s">
        <v>563</v>
      </c>
      <c r="BK30" s="2" t="s">
        <v>595</v>
      </c>
      <c r="BL30" s="2" t="s">
        <v>79</v>
      </c>
      <c r="BM30" s="2" t="s">
        <v>172</v>
      </c>
    </row>
    <row r="31" spans="1:65" ht="409.5" x14ac:dyDescent="0.25">
      <c r="A31" s="2" t="s">
        <v>596</v>
      </c>
      <c r="B31" s="2">
        <v>2019</v>
      </c>
      <c r="C31" s="2" t="s">
        <v>78</v>
      </c>
      <c r="D31" s="2" t="s">
        <v>79</v>
      </c>
      <c r="E31" s="2" t="s">
        <v>79</v>
      </c>
      <c r="F31" s="2" t="s">
        <v>79</v>
      </c>
      <c r="G31" s="2" t="s">
        <v>92</v>
      </c>
      <c r="H31" s="2" t="s">
        <v>79</v>
      </c>
      <c r="I31" s="2" t="s">
        <v>92</v>
      </c>
      <c r="J31" s="2" t="s">
        <v>224</v>
      </c>
      <c r="K31" s="2" t="s">
        <v>92</v>
      </c>
      <c r="L31" s="2" t="s">
        <v>598</v>
      </c>
      <c r="M31" s="2" t="s">
        <v>599</v>
      </c>
      <c r="N31" s="2" t="s">
        <v>89</v>
      </c>
      <c r="O31" s="2" t="s">
        <v>79</v>
      </c>
      <c r="P31" s="2" t="s">
        <v>90</v>
      </c>
      <c r="Q31" s="2" t="s">
        <v>600</v>
      </c>
      <c r="R31" s="2"/>
      <c r="S31" s="2"/>
      <c r="T31" s="2" t="s">
        <v>80</v>
      </c>
      <c r="U31" s="2"/>
      <c r="V31" s="2" t="s">
        <v>92</v>
      </c>
      <c r="W31" s="2" t="s">
        <v>601</v>
      </c>
      <c r="X31" s="2" t="s">
        <v>602</v>
      </c>
      <c r="Y31" s="2" t="s">
        <v>95</v>
      </c>
      <c r="Z31" s="2" t="s">
        <v>603</v>
      </c>
      <c r="AA31" s="2" t="s">
        <v>604</v>
      </c>
      <c r="AB31" s="2" t="s">
        <v>80</v>
      </c>
      <c r="AC31" s="2"/>
      <c r="AD31" s="2"/>
      <c r="AE31" s="2" t="s">
        <v>605</v>
      </c>
      <c r="AF31" s="2" t="s">
        <v>79</v>
      </c>
      <c r="AG31" s="2" t="s">
        <v>606</v>
      </c>
      <c r="AH31" s="2" t="s">
        <v>597</v>
      </c>
      <c r="AI31" s="2" t="s">
        <v>82</v>
      </c>
      <c r="AJ31" s="2">
        <v>8.5</v>
      </c>
      <c r="AK31" s="2" t="s">
        <v>84</v>
      </c>
      <c r="AL31" s="2" t="s">
        <v>84</v>
      </c>
      <c r="AM31" s="2" t="s">
        <v>84</v>
      </c>
      <c r="AN31" s="2" t="s">
        <v>84</v>
      </c>
      <c r="AO31" s="2" t="s">
        <v>84</v>
      </c>
      <c r="AP31" s="2" t="s">
        <v>84</v>
      </c>
      <c r="AQ31" s="2" t="s">
        <v>84</v>
      </c>
      <c r="AR31" s="2" t="s">
        <v>86</v>
      </c>
      <c r="AS31" s="2" t="s">
        <v>84</v>
      </c>
      <c r="AT31" s="2" t="s">
        <v>85</v>
      </c>
      <c r="AU31" s="2"/>
      <c r="AV31" s="2" t="s">
        <v>80</v>
      </c>
      <c r="AW31" s="2"/>
      <c r="AX31" s="2"/>
      <c r="AY31" s="2" t="s">
        <v>607</v>
      </c>
      <c r="AZ31" s="2" t="s">
        <v>100</v>
      </c>
      <c r="BA31" s="2" t="s">
        <v>608</v>
      </c>
      <c r="BB31" s="2" t="s">
        <v>102</v>
      </c>
      <c r="BC31" s="2" t="s">
        <v>79</v>
      </c>
      <c r="BD31" s="2"/>
      <c r="BE31" s="2" t="s">
        <v>609</v>
      </c>
      <c r="BF31" s="2" t="s">
        <v>104</v>
      </c>
      <c r="BG31" s="2" t="s">
        <v>610</v>
      </c>
      <c r="BH31" s="2" t="s">
        <v>79</v>
      </c>
      <c r="BI31" s="2" t="s">
        <v>79</v>
      </c>
      <c r="BJ31" s="2" t="s">
        <v>563</v>
      </c>
      <c r="BK31" s="2" t="s">
        <v>611</v>
      </c>
      <c r="BL31" s="2" t="s">
        <v>79</v>
      </c>
      <c r="BM31" s="2" t="s">
        <v>109</v>
      </c>
    </row>
    <row r="32" spans="1:65" ht="409.5" x14ac:dyDescent="0.25">
      <c r="A32" s="2" t="s">
        <v>612</v>
      </c>
      <c r="B32" s="2">
        <v>2019</v>
      </c>
      <c r="C32" s="2" t="s">
        <v>78</v>
      </c>
      <c r="D32" s="2" t="s">
        <v>79</v>
      </c>
      <c r="E32" s="2" t="s">
        <v>79</v>
      </c>
      <c r="F32" s="2" t="s">
        <v>79</v>
      </c>
      <c r="G32" s="2" t="s">
        <v>92</v>
      </c>
      <c r="H32" s="2" t="s">
        <v>92</v>
      </c>
      <c r="I32" s="2" t="s">
        <v>92</v>
      </c>
      <c r="J32" s="2" t="s">
        <v>613</v>
      </c>
      <c r="K32" s="2" t="s">
        <v>80</v>
      </c>
      <c r="L32" s="2" t="s">
        <v>615</v>
      </c>
      <c r="M32" s="2" t="s">
        <v>616</v>
      </c>
      <c r="N32" s="2" t="s">
        <v>143</v>
      </c>
      <c r="O32" s="2" t="s">
        <v>79</v>
      </c>
      <c r="P32" s="2" t="s">
        <v>194</v>
      </c>
      <c r="Q32" s="2" t="s">
        <v>617</v>
      </c>
      <c r="R32" s="2" t="s">
        <v>618</v>
      </c>
      <c r="S32" s="2" t="s">
        <v>619</v>
      </c>
      <c r="T32" s="2" t="s">
        <v>79</v>
      </c>
      <c r="U32" s="2" t="s">
        <v>620</v>
      </c>
      <c r="V32" s="2" t="s">
        <v>92</v>
      </c>
      <c r="W32" s="2" t="s">
        <v>93</v>
      </c>
      <c r="X32" s="2" t="s">
        <v>621</v>
      </c>
      <c r="Y32" s="2" t="s">
        <v>95</v>
      </c>
      <c r="Z32" s="2" t="s">
        <v>622</v>
      </c>
      <c r="AA32" s="2" t="s">
        <v>623</v>
      </c>
      <c r="AB32" s="2" t="s">
        <v>80</v>
      </c>
      <c r="AC32" s="2"/>
      <c r="AD32" s="2"/>
      <c r="AE32" s="2" t="s">
        <v>624</v>
      </c>
      <c r="AF32" s="2" t="s">
        <v>79</v>
      </c>
      <c r="AG32" s="2" t="s">
        <v>625</v>
      </c>
      <c r="AH32" s="2" t="s">
        <v>614</v>
      </c>
      <c r="AI32" s="2" t="s">
        <v>82</v>
      </c>
      <c r="AJ32" s="2">
        <v>9.5</v>
      </c>
      <c r="AK32" s="2" t="s">
        <v>84</v>
      </c>
      <c r="AL32" s="2" t="s">
        <v>84</v>
      </c>
      <c r="AM32" s="2" t="s">
        <v>84</v>
      </c>
      <c r="AN32" s="2" t="s">
        <v>84</v>
      </c>
      <c r="AO32" s="2" t="s">
        <v>84</v>
      </c>
      <c r="AP32" s="2" t="s">
        <v>84</v>
      </c>
      <c r="AQ32" s="2" t="s">
        <v>84</v>
      </c>
      <c r="AR32" s="2" t="s">
        <v>84</v>
      </c>
      <c r="AS32" s="2" t="s">
        <v>84</v>
      </c>
      <c r="AT32" s="2" t="s">
        <v>85</v>
      </c>
      <c r="AU32" s="2"/>
      <c r="AV32" s="2" t="s">
        <v>80</v>
      </c>
      <c r="AW32" s="2"/>
      <c r="AX32" s="2"/>
      <c r="AY32" s="2" t="s">
        <v>626</v>
      </c>
      <c r="AZ32" s="2" t="s">
        <v>303</v>
      </c>
      <c r="BA32" s="2" t="s">
        <v>627</v>
      </c>
      <c r="BB32" s="2" t="s">
        <v>514</v>
      </c>
      <c r="BC32" s="2" t="s">
        <v>79</v>
      </c>
      <c r="BD32" s="2" t="s">
        <v>628</v>
      </c>
      <c r="BE32" s="2" t="s">
        <v>629</v>
      </c>
      <c r="BF32" s="2" t="s">
        <v>104</v>
      </c>
      <c r="BG32" s="2" t="s">
        <v>630</v>
      </c>
      <c r="BH32" s="2" t="s">
        <v>92</v>
      </c>
      <c r="BI32" s="2" t="s">
        <v>79</v>
      </c>
      <c r="BJ32" s="2" t="s">
        <v>631</v>
      </c>
      <c r="BK32" s="2" t="s">
        <v>632</v>
      </c>
      <c r="BL32" s="2" t="s">
        <v>79</v>
      </c>
      <c r="BM32" s="2" t="s">
        <v>109</v>
      </c>
    </row>
    <row r="33" spans="1:65" ht="409.5" x14ac:dyDescent="0.25">
      <c r="A33" s="2" t="s">
        <v>633</v>
      </c>
      <c r="B33" s="2">
        <v>2019</v>
      </c>
      <c r="C33" s="2" t="s">
        <v>111</v>
      </c>
      <c r="D33" s="2" t="s">
        <v>79</v>
      </c>
      <c r="E33" s="2" t="s">
        <v>79</v>
      </c>
      <c r="F33" s="2" t="s">
        <v>79</v>
      </c>
      <c r="G33" s="2" t="s">
        <v>92</v>
      </c>
      <c r="H33" s="2" t="s">
        <v>92</v>
      </c>
      <c r="I33" s="2" t="s">
        <v>92</v>
      </c>
      <c r="J33" s="2" t="s">
        <v>634</v>
      </c>
      <c r="K33" s="2" t="s">
        <v>80</v>
      </c>
      <c r="L33" s="2" t="s">
        <v>636</v>
      </c>
      <c r="M33" s="2" t="s">
        <v>637</v>
      </c>
      <c r="N33" s="2" t="s">
        <v>143</v>
      </c>
      <c r="O33" s="2" t="s">
        <v>106</v>
      </c>
      <c r="P33" s="2" t="s">
        <v>90</v>
      </c>
      <c r="Q33" s="2" t="s">
        <v>638</v>
      </c>
      <c r="R33" s="2"/>
      <c r="S33" s="2"/>
      <c r="T33" s="2" t="s">
        <v>80</v>
      </c>
      <c r="U33" s="2"/>
      <c r="V33" s="2" t="s">
        <v>92</v>
      </c>
      <c r="W33" s="2" t="s">
        <v>639</v>
      </c>
      <c r="X33" s="2" t="s">
        <v>640</v>
      </c>
      <c r="Y33" s="2" t="s">
        <v>95</v>
      </c>
      <c r="Z33" s="2" t="s">
        <v>641</v>
      </c>
      <c r="AA33" s="2" t="s">
        <v>642</v>
      </c>
      <c r="AB33" s="2" t="s">
        <v>80</v>
      </c>
      <c r="AC33" s="2"/>
      <c r="AD33" s="2"/>
      <c r="AE33" s="2" t="s">
        <v>643</v>
      </c>
      <c r="AF33" s="2" t="s">
        <v>79</v>
      </c>
      <c r="AG33" s="2" t="s">
        <v>644</v>
      </c>
      <c r="AH33" s="2" t="s">
        <v>635</v>
      </c>
      <c r="AI33" s="2" t="s">
        <v>82</v>
      </c>
      <c r="AJ33" s="2">
        <v>8.5</v>
      </c>
      <c r="AK33" s="2" t="s">
        <v>84</v>
      </c>
      <c r="AL33" s="2" t="s">
        <v>84</v>
      </c>
      <c r="AM33" s="2" t="s">
        <v>84</v>
      </c>
      <c r="AN33" s="2" t="s">
        <v>84</v>
      </c>
      <c r="AO33" s="2" t="s">
        <v>84</v>
      </c>
      <c r="AP33" s="2" t="s">
        <v>84</v>
      </c>
      <c r="AQ33" s="2" t="s">
        <v>84</v>
      </c>
      <c r="AR33" s="2" t="s">
        <v>86</v>
      </c>
      <c r="AS33" s="2" t="s">
        <v>85</v>
      </c>
      <c r="AT33" s="2" t="s">
        <v>84</v>
      </c>
      <c r="AU33" s="2"/>
      <c r="AV33" s="2" t="s">
        <v>80</v>
      </c>
      <c r="AW33" s="2"/>
      <c r="AX33" s="2"/>
      <c r="AY33" s="2" t="s">
        <v>645</v>
      </c>
      <c r="AZ33" s="2" t="s">
        <v>303</v>
      </c>
      <c r="BA33" s="2" t="s">
        <v>646</v>
      </c>
      <c r="BB33" s="2" t="s">
        <v>514</v>
      </c>
      <c r="BC33" s="2" t="s">
        <v>79</v>
      </c>
      <c r="BD33" s="2" t="s">
        <v>168</v>
      </c>
      <c r="BE33" s="2" t="s">
        <v>647</v>
      </c>
      <c r="BF33" s="2" t="s">
        <v>648</v>
      </c>
      <c r="BG33" s="2" t="s">
        <v>649</v>
      </c>
      <c r="BH33" s="2" t="s">
        <v>92</v>
      </c>
      <c r="BI33" s="2" t="s">
        <v>79</v>
      </c>
      <c r="BJ33" s="2" t="s">
        <v>143</v>
      </c>
      <c r="BK33" s="2" t="s">
        <v>650</v>
      </c>
      <c r="BL33" s="2" t="s">
        <v>79</v>
      </c>
      <c r="BM33" s="2" t="s">
        <v>109</v>
      </c>
    </row>
    <row r="34" spans="1:65" ht="409.5" x14ac:dyDescent="0.25">
      <c r="A34" s="2" t="s">
        <v>651</v>
      </c>
      <c r="B34" s="2">
        <v>2019</v>
      </c>
      <c r="C34" s="2" t="s">
        <v>111</v>
      </c>
      <c r="D34" s="2" t="s">
        <v>79</v>
      </c>
      <c r="E34" s="2" t="s">
        <v>79</v>
      </c>
      <c r="F34" s="2" t="s">
        <v>80</v>
      </c>
      <c r="G34" s="2" t="s">
        <v>92</v>
      </c>
      <c r="H34" s="2" t="s">
        <v>79</v>
      </c>
      <c r="I34" s="2" t="s">
        <v>106</v>
      </c>
      <c r="J34" s="2" t="s">
        <v>224</v>
      </c>
      <c r="K34" s="2" t="s">
        <v>80</v>
      </c>
      <c r="L34" s="2" t="s">
        <v>653</v>
      </c>
      <c r="M34" s="2" t="s">
        <v>654</v>
      </c>
      <c r="N34" s="2" t="s">
        <v>478</v>
      </c>
      <c r="O34" s="2" t="s">
        <v>106</v>
      </c>
      <c r="P34" s="2" t="s">
        <v>116</v>
      </c>
      <c r="Q34" s="2" t="s">
        <v>655</v>
      </c>
      <c r="R34" s="2"/>
      <c r="S34" s="2"/>
      <c r="T34" s="2" t="s">
        <v>80</v>
      </c>
      <c r="U34" s="2"/>
      <c r="V34" s="2" t="s">
        <v>92</v>
      </c>
      <c r="W34" s="2" t="s">
        <v>656</v>
      </c>
      <c r="X34" s="2" t="s">
        <v>657</v>
      </c>
      <c r="Y34" s="2" t="s">
        <v>95</v>
      </c>
      <c r="Z34" s="2" t="s">
        <v>658</v>
      </c>
      <c r="AA34" s="2" t="s">
        <v>659</v>
      </c>
      <c r="AB34" s="2" t="s">
        <v>80</v>
      </c>
      <c r="AC34" s="2"/>
      <c r="AD34" s="2"/>
      <c r="AE34" s="2" t="s">
        <v>660</v>
      </c>
      <c r="AF34" s="2" t="s">
        <v>79</v>
      </c>
      <c r="AG34" s="2" t="s">
        <v>661</v>
      </c>
      <c r="AH34" s="2" t="s">
        <v>652</v>
      </c>
      <c r="AI34" s="2" t="s">
        <v>82</v>
      </c>
      <c r="AJ34" s="2">
        <v>8.5</v>
      </c>
      <c r="AK34" s="2" t="s">
        <v>84</v>
      </c>
      <c r="AL34" s="2" t="s">
        <v>84</v>
      </c>
      <c r="AM34" s="2" t="s">
        <v>84</v>
      </c>
      <c r="AN34" s="2" t="s">
        <v>84</v>
      </c>
      <c r="AO34" s="2" t="s">
        <v>84</v>
      </c>
      <c r="AP34" s="2" t="s">
        <v>84</v>
      </c>
      <c r="AQ34" s="2" t="s">
        <v>84</v>
      </c>
      <c r="AR34" s="2" t="s">
        <v>86</v>
      </c>
      <c r="AS34" s="2" t="s">
        <v>84</v>
      </c>
      <c r="AT34" s="2" t="s">
        <v>85</v>
      </c>
      <c r="AU34" s="2"/>
      <c r="AV34" s="2" t="s">
        <v>80</v>
      </c>
      <c r="AW34" s="2"/>
      <c r="AX34" s="2"/>
      <c r="AY34" s="2"/>
      <c r="AZ34" s="2" t="s">
        <v>100</v>
      </c>
      <c r="BA34" s="2" t="s">
        <v>662</v>
      </c>
      <c r="BB34" s="2" t="s">
        <v>102</v>
      </c>
      <c r="BC34" s="2" t="s">
        <v>79</v>
      </c>
      <c r="BD34" s="2"/>
      <c r="BE34" s="2" t="s">
        <v>663</v>
      </c>
      <c r="BF34" s="2" t="s">
        <v>153</v>
      </c>
      <c r="BG34" s="2"/>
      <c r="BH34" s="2" t="s">
        <v>80</v>
      </c>
      <c r="BI34" s="2" t="s">
        <v>79</v>
      </c>
      <c r="BJ34" s="2" t="s">
        <v>107</v>
      </c>
      <c r="BK34" s="2" t="s">
        <v>664</v>
      </c>
      <c r="BL34" s="2" t="s">
        <v>79</v>
      </c>
      <c r="BM34" s="2" t="s">
        <v>109</v>
      </c>
    </row>
    <row r="35" spans="1:65" ht="409.5" x14ac:dyDescent="0.25">
      <c r="A35" s="2" t="s">
        <v>665</v>
      </c>
      <c r="B35" s="2">
        <v>2019</v>
      </c>
      <c r="C35" s="2" t="s">
        <v>111</v>
      </c>
      <c r="D35" s="2" t="s">
        <v>79</v>
      </c>
      <c r="E35" s="2" t="s">
        <v>79</v>
      </c>
      <c r="F35" s="2" t="s">
        <v>80</v>
      </c>
      <c r="G35" s="2" t="s">
        <v>92</v>
      </c>
      <c r="H35" s="2" t="s">
        <v>79</v>
      </c>
      <c r="I35" s="2" t="s">
        <v>106</v>
      </c>
      <c r="J35" s="2" t="s">
        <v>224</v>
      </c>
      <c r="K35" s="2" t="s">
        <v>79</v>
      </c>
      <c r="L35" s="2" t="s">
        <v>667</v>
      </c>
      <c r="M35" s="2" t="s">
        <v>668</v>
      </c>
      <c r="N35" s="2" t="s">
        <v>89</v>
      </c>
      <c r="O35" s="2" t="s">
        <v>79</v>
      </c>
      <c r="P35" s="2" t="s">
        <v>116</v>
      </c>
      <c r="Q35" s="2" t="s">
        <v>669</v>
      </c>
      <c r="R35" s="2"/>
      <c r="S35" s="2"/>
      <c r="T35" s="2" t="s">
        <v>80</v>
      </c>
      <c r="U35" s="2"/>
      <c r="V35" s="2" t="s">
        <v>92</v>
      </c>
      <c r="W35" s="2" t="s">
        <v>161</v>
      </c>
      <c r="X35" s="2" t="s">
        <v>670</v>
      </c>
      <c r="Y35" s="2" t="s">
        <v>95</v>
      </c>
      <c r="Z35" s="2" t="s">
        <v>671</v>
      </c>
      <c r="AA35" s="2" t="s">
        <v>672</v>
      </c>
      <c r="AB35" s="2" t="s">
        <v>80</v>
      </c>
      <c r="AC35" s="2"/>
      <c r="AD35" s="2"/>
      <c r="AE35" s="2" t="s">
        <v>673</v>
      </c>
      <c r="AF35" s="2" t="s">
        <v>79</v>
      </c>
      <c r="AG35" s="2" t="s">
        <v>674</v>
      </c>
      <c r="AH35" s="2" t="s">
        <v>666</v>
      </c>
      <c r="AI35" s="2" t="s">
        <v>82</v>
      </c>
      <c r="AJ35" s="2">
        <v>8.5</v>
      </c>
      <c r="AK35" s="2" t="s">
        <v>84</v>
      </c>
      <c r="AL35" s="2" t="s">
        <v>84</v>
      </c>
      <c r="AM35" s="2" t="s">
        <v>84</v>
      </c>
      <c r="AN35" s="2" t="s">
        <v>84</v>
      </c>
      <c r="AO35" s="2" t="s">
        <v>84</v>
      </c>
      <c r="AP35" s="2" t="s">
        <v>84</v>
      </c>
      <c r="AQ35" s="2" t="s">
        <v>84</v>
      </c>
      <c r="AR35" s="2" t="s">
        <v>86</v>
      </c>
      <c r="AS35" s="2" t="s">
        <v>84</v>
      </c>
      <c r="AT35" s="2" t="s">
        <v>85</v>
      </c>
      <c r="AU35" s="2"/>
      <c r="AV35" s="2" t="s">
        <v>80</v>
      </c>
      <c r="AW35" s="2"/>
      <c r="AX35" s="2"/>
      <c r="AY35" s="2"/>
      <c r="AZ35" s="2" t="s">
        <v>100</v>
      </c>
      <c r="BA35" s="2" t="s">
        <v>675</v>
      </c>
      <c r="BB35" s="2" t="s">
        <v>102</v>
      </c>
      <c r="BC35" s="2" t="s">
        <v>79</v>
      </c>
      <c r="BD35" s="2" t="s">
        <v>676</v>
      </c>
      <c r="BE35" s="2" t="s">
        <v>677</v>
      </c>
      <c r="BF35" s="2" t="s">
        <v>104</v>
      </c>
      <c r="BG35" s="2" t="s">
        <v>678</v>
      </c>
      <c r="BH35" s="2" t="s">
        <v>79</v>
      </c>
      <c r="BI35" s="2" t="s">
        <v>79</v>
      </c>
      <c r="BJ35" s="2" t="s">
        <v>107</v>
      </c>
      <c r="BK35" s="2" t="s">
        <v>679</v>
      </c>
      <c r="BL35" s="2" t="s">
        <v>79</v>
      </c>
      <c r="BM35" s="2" t="s">
        <v>172</v>
      </c>
    </row>
    <row r="36" spans="1:65" ht="409.5" x14ac:dyDescent="0.25">
      <c r="A36" s="2" t="s">
        <v>680</v>
      </c>
      <c r="B36" s="2">
        <v>2019</v>
      </c>
      <c r="C36" s="2" t="s">
        <v>111</v>
      </c>
      <c r="D36" s="2" t="s">
        <v>79</v>
      </c>
      <c r="E36" s="2" t="s">
        <v>79</v>
      </c>
      <c r="F36" s="2" t="s">
        <v>80</v>
      </c>
      <c r="G36" s="2" t="s">
        <v>92</v>
      </c>
      <c r="H36" s="2" t="s">
        <v>79</v>
      </c>
      <c r="I36" s="2" t="s">
        <v>106</v>
      </c>
      <c r="J36" s="2" t="s">
        <v>271</v>
      </c>
      <c r="K36" s="2" t="s">
        <v>80</v>
      </c>
      <c r="L36" s="2" t="s">
        <v>682</v>
      </c>
      <c r="M36" s="2" t="s">
        <v>683</v>
      </c>
      <c r="N36" s="2" t="s">
        <v>89</v>
      </c>
      <c r="O36" s="2" t="s">
        <v>106</v>
      </c>
      <c r="P36" s="2" t="s">
        <v>116</v>
      </c>
      <c r="Q36" s="2" t="s">
        <v>684</v>
      </c>
      <c r="R36" s="2"/>
      <c r="S36" s="2"/>
      <c r="T36" s="2" t="s">
        <v>80</v>
      </c>
      <c r="U36" s="2"/>
      <c r="V36" s="2" t="s">
        <v>92</v>
      </c>
      <c r="W36" s="2" t="s">
        <v>656</v>
      </c>
      <c r="X36" s="2" t="s">
        <v>685</v>
      </c>
      <c r="Y36" s="2" t="s">
        <v>95</v>
      </c>
      <c r="Z36" s="2" t="s">
        <v>686</v>
      </c>
      <c r="AA36" s="2" t="s">
        <v>687</v>
      </c>
      <c r="AB36" s="2" t="s">
        <v>80</v>
      </c>
      <c r="AC36" s="2"/>
      <c r="AD36" s="2"/>
      <c r="AE36" s="2" t="s">
        <v>688</v>
      </c>
      <c r="AF36" s="2" t="s">
        <v>79</v>
      </c>
      <c r="AG36" s="2" t="s">
        <v>689</v>
      </c>
      <c r="AH36" s="2" t="s">
        <v>681</v>
      </c>
      <c r="AI36" s="2" t="s">
        <v>82</v>
      </c>
      <c r="AJ36" s="2">
        <v>8.5</v>
      </c>
      <c r="AK36" s="2" t="s">
        <v>84</v>
      </c>
      <c r="AL36" s="2" t="s">
        <v>84</v>
      </c>
      <c r="AM36" s="2" t="s">
        <v>84</v>
      </c>
      <c r="AN36" s="2" t="s">
        <v>84</v>
      </c>
      <c r="AO36" s="2" t="s">
        <v>84</v>
      </c>
      <c r="AP36" s="2" t="s">
        <v>84</v>
      </c>
      <c r="AQ36" s="2" t="s">
        <v>84</v>
      </c>
      <c r="AR36" s="2" t="s">
        <v>86</v>
      </c>
      <c r="AS36" s="2" t="s">
        <v>84</v>
      </c>
      <c r="AT36" s="2" t="s">
        <v>85</v>
      </c>
      <c r="AU36" s="2"/>
      <c r="AV36" s="2" t="s">
        <v>80</v>
      </c>
      <c r="AW36" s="2"/>
      <c r="AX36" s="2"/>
      <c r="AY36" s="2"/>
      <c r="AZ36" s="2" t="s">
        <v>100</v>
      </c>
      <c r="BA36" s="2" t="s">
        <v>690</v>
      </c>
      <c r="BB36" s="2" t="s">
        <v>102</v>
      </c>
      <c r="BC36" s="2" t="s">
        <v>79</v>
      </c>
      <c r="BD36" s="2" t="s">
        <v>676</v>
      </c>
      <c r="BE36" s="2" t="s">
        <v>691</v>
      </c>
      <c r="BF36" s="2" t="s">
        <v>153</v>
      </c>
      <c r="BG36" s="2" t="s">
        <v>692</v>
      </c>
      <c r="BH36" s="2" t="s">
        <v>92</v>
      </c>
      <c r="BI36" s="2" t="s">
        <v>79</v>
      </c>
      <c r="BJ36" s="2" t="s">
        <v>429</v>
      </c>
      <c r="BK36" s="2" t="s">
        <v>693</v>
      </c>
      <c r="BL36" s="2" t="s">
        <v>79</v>
      </c>
      <c r="BM36" s="2" t="s">
        <v>109</v>
      </c>
    </row>
    <row r="37" spans="1:65" ht="409.5" x14ac:dyDescent="0.25">
      <c r="A37" s="2" t="s">
        <v>694</v>
      </c>
      <c r="B37" s="2">
        <v>2019</v>
      </c>
      <c r="C37" s="2" t="s">
        <v>111</v>
      </c>
      <c r="D37" s="2" t="s">
        <v>79</v>
      </c>
      <c r="E37" s="2" t="s">
        <v>79</v>
      </c>
      <c r="F37" s="2" t="s">
        <v>79</v>
      </c>
      <c r="G37" s="2" t="s">
        <v>79</v>
      </c>
      <c r="H37" s="2" t="s">
        <v>79</v>
      </c>
      <c r="I37" s="2" t="s">
        <v>92</v>
      </c>
      <c r="J37" s="2" t="s">
        <v>695</v>
      </c>
      <c r="K37" s="2" t="s">
        <v>92</v>
      </c>
      <c r="L37" s="2" t="s">
        <v>697</v>
      </c>
      <c r="M37" s="2" t="s">
        <v>698</v>
      </c>
      <c r="N37" s="2" t="s">
        <v>89</v>
      </c>
      <c r="O37" s="2" t="s">
        <v>79</v>
      </c>
      <c r="P37" s="2" t="s">
        <v>194</v>
      </c>
      <c r="Q37" s="2" t="s">
        <v>699</v>
      </c>
      <c r="R37" s="2"/>
      <c r="S37" s="2" t="s">
        <v>155</v>
      </c>
      <c r="T37" s="2" t="s">
        <v>80</v>
      </c>
      <c r="U37" s="2"/>
      <c r="V37" s="2" t="s">
        <v>92</v>
      </c>
      <c r="W37" s="2" t="s">
        <v>118</v>
      </c>
      <c r="X37" s="2" t="s">
        <v>700</v>
      </c>
      <c r="Y37" s="2" t="s">
        <v>701</v>
      </c>
      <c r="Z37" s="2" t="s">
        <v>702</v>
      </c>
      <c r="AA37" s="2" t="s">
        <v>703</v>
      </c>
      <c r="AB37" s="2" t="s">
        <v>79</v>
      </c>
      <c r="AC37" s="2" t="s">
        <v>704</v>
      </c>
      <c r="AD37" s="2" t="s">
        <v>705</v>
      </c>
      <c r="AE37" s="2"/>
      <c r="AF37" s="2" t="s">
        <v>79</v>
      </c>
      <c r="AG37" s="2"/>
      <c r="AH37" s="2" t="s">
        <v>696</v>
      </c>
      <c r="AI37" s="2" t="s">
        <v>82</v>
      </c>
      <c r="AJ37" s="2">
        <v>8</v>
      </c>
      <c r="AK37" s="2" t="s">
        <v>84</v>
      </c>
      <c r="AL37" s="2" t="s">
        <v>84</v>
      </c>
      <c r="AM37" s="2" t="s">
        <v>84</v>
      </c>
      <c r="AN37" s="2" t="s">
        <v>84</v>
      </c>
      <c r="AO37" s="2" t="s">
        <v>84</v>
      </c>
      <c r="AP37" s="2" t="s">
        <v>84</v>
      </c>
      <c r="AQ37" s="2" t="s">
        <v>85</v>
      </c>
      <c r="AR37" s="2" t="s">
        <v>86</v>
      </c>
      <c r="AS37" s="2" t="s">
        <v>84</v>
      </c>
      <c r="AT37" s="2" t="s">
        <v>85</v>
      </c>
      <c r="AU37" s="2" t="s">
        <v>79</v>
      </c>
      <c r="AV37" s="2" t="s">
        <v>79</v>
      </c>
      <c r="AW37" s="2" t="s">
        <v>706</v>
      </c>
      <c r="AX37" s="2" t="s">
        <v>79</v>
      </c>
      <c r="AY37" s="2" t="s">
        <v>707</v>
      </c>
      <c r="AZ37" s="2" t="s">
        <v>100</v>
      </c>
      <c r="BA37" s="2" t="s">
        <v>708</v>
      </c>
      <c r="BB37" s="2" t="s">
        <v>709</v>
      </c>
      <c r="BC37" s="2" t="s">
        <v>79</v>
      </c>
      <c r="BD37" s="2" t="s">
        <v>628</v>
      </c>
      <c r="BE37" s="2" t="s">
        <v>710</v>
      </c>
      <c r="BF37" s="2" t="s">
        <v>648</v>
      </c>
      <c r="BG37" s="2" t="s">
        <v>711</v>
      </c>
      <c r="BH37" s="2" t="s">
        <v>92</v>
      </c>
      <c r="BI37" s="2" t="s">
        <v>79</v>
      </c>
      <c r="BJ37" s="2" t="s">
        <v>266</v>
      </c>
      <c r="BK37" s="2" t="s">
        <v>712</v>
      </c>
      <c r="BL37" s="2" t="s">
        <v>79</v>
      </c>
      <c r="BM37" s="2" t="s">
        <v>109</v>
      </c>
    </row>
    <row r="38" spans="1:65" ht="409.5" x14ac:dyDescent="0.25">
      <c r="A38" s="2" t="s">
        <v>713</v>
      </c>
      <c r="B38" s="2">
        <v>2019</v>
      </c>
      <c r="C38" s="2" t="s">
        <v>566</v>
      </c>
      <c r="D38" s="2" t="s">
        <v>79</v>
      </c>
      <c r="E38" s="2" t="s">
        <v>79</v>
      </c>
      <c r="F38" s="2" t="s">
        <v>79</v>
      </c>
      <c r="G38" s="2" t="s">
        <v>92</v>
      </c>
      <c r="H38" s="2" t="s">
        <v>92</v>
      </c>
      <c r="I38" s="2" t="s">
        <v>92</v>
      </c>
      <c r="J38" s="2" t="s">
        <v>714</v>
      </c>
      <c r="K38" s="2" t="s">
        <v>80</v>
      </c>
      <c r="L38" s="2" t="s">
        <v>716</v>
      </c>
      <c r="M38" s="2" t="s">
        <v>717</v>
      </c>
      <c r="N38" s="2" t="s">
        <v>143</v>
      </c>
      <c r="O38" s="2" t="s">
        <v>106</v>
      </c>
      <c r="P38" s="2" t="s">
        <v>90</v>
      </c>
      <c r="Q38" s="2" t="s">
        <v>718</v>
      </c>
      <c r="R38" s="2"/>
      <c r="S38" s="2"/>
      <c r="T38" s="2" t="s">
        <v>80</v>
      </c>
      <c r="U38" s="2"/>
      <c r="V38" s="2" t="s">
        <v>92</v>
      </c>
      <c r="W38" s="2" t="s">
        <v>656</v>
      </c>
      <c r="X38" s="2" t="s">
        <v>719</v>
      </c>
      <c r="Y38" s="2" t="s">
        <v>95</v>
      </c>
      <c r="Z38" s="2" t="s">
        <v>720</v>
      </c>
      <c r="AA38" s="2" t="s">
        <v>721</v>
      </c>
      <c r="AB38" s="2" t="s">
        <v>80</v>
      </c>
      <c r="AC38" s="2"/>
      <c r="AD38" s="2"/>
      <c r="AE38" s="2"/>
      <c r="AF38" s="2" t="s">
        <v>79</v>
      </c>
      <c r="AG38" s="2" t="s">
        <v>722</v>
      </c>
      <c r="AH38" s="2" t="s">
        <v>715</v>
      </c>
      <c r="AI38" s="2" t="s">
        <v>82</v>
      </c>
      <c r="AJ38" s="2">
        <v>8.5</v>
      </c>
      <c r="AK38" s="2" t="s">
        <v>84</v>
      </c>
      <c r="AL38" s="2" t="s">
        <v>84</v>
      </c>
      <c r="AM38" s="2" t="s">
        <v>84</v>
      </c>
      <c r="AN38" s="2" t="s">
        <v>84</v>
      </c>
      <c r="AO38" s="2" t="s">
        <v>84</v>
      </c>
      <c r="AP38" s="2" t="s">
        <v>84</v>
      </c>
      <c r="AQ38" s="2" t="s">
        <v>84</v>
      </c>
      <c r="AR38" s="2" t="s">
        <v>86</v>
      </c>
      <c r="AS38" s="2" t="s">
        <v>84</v>
      </c>
      <c r="AT38" s="2" t="s">
        <v>85</v>
      </c>
      <c r="AU38" s="2" t="s">
        <v>106</v>
      </c>
      <c r="AV38" s="2" t="s">
        <v>80</v>
      </c>
      <c r="AW38" s="2"/>
      <c r="AX38" s="2" t="s">
        <v>106</v>
      </c>
      <c r="AY38" s="2" t="s">
        <v>723</v>
      </c>
      <c r="AZ38" s="2" t="s">
        <v>100</v>
      </c>
      <c r="BA38" s="2" t="s">
        <v>724</v>
      </c>
      <c r="BB38" s="2" t="s">
        <v>102</v>
      </c>
      <c r="BC38" s="2" t="s">
        <v>79</v>
      </c>
      <c r="BD38" s="2"/>
      <c r="BE38" s="2" t="s">
        <v>725</v>
      </c>
      <c r="BF38" s="2" t="s">
        <v>648</v>
      </c>
      <c r="BG38" s="2"/>
      <c r="BH38" s="2" t="s">
        <v>80</v>
      </c>
      <c r="BI38" s="2" t="s">
        <v>79</v>
      </c>
      <c r="BJ38" s="2" t="s">
        <v>367</v>
      </c>
      <c r="BK38" s="2" t="s">
        <v>726</v>
      </c>
      <c r="BL38" s="2" t="s">
        <v>79</v>
      </c>
      <c r="BM38" s="2" t="s">
        <v>268</v>
      </c>
    </row>
    <row r="39" spans="1:65" ht="409.5" x14ac:dyDescent="0.25">
      <c r="A39" s="2" t="s">
        <v>727</v>
      </c>
      <c r="B39" s="2">
        <v>2020</v>
      </c>
      <c r="C39" s="2" t="s">
        <v>111</v>
      </c>
      <c r="D39" s="2" t="s">
        <v>79</v>
      </c>
      <c r="E39" s="2" t="s">
        <v>79</v>
      </c>
      <c r="F39" s="2" t="s">
        <v>79</v>
      </c>
      <c r="G39" s="2" t="s">
        <v>92</v>
      </c>
      <c r="H39" s="2" t="s">
        <v>92</v>
      </c>
      <c r="I39" s="2" t="s">
        <v>92</v>
      </c>
      <c r="J39" s="2" t="s">
        <v>728</v>
      </c>
      <c r="K39" s="2" t="s">
        <v>92</v>
      </c>
      <c r="L39" s="2" t="s">
        <v>730</v>
      </c>
      <c r="M39" s="2" t="s">
        <v>731</v>
      </c>
      <c r="N39" s="2" t="s">
        <v>732</v>
      </c>
      <c r="O39" s="2" t="s">
        <v>106</v>
      </c>
      <c r="P39" s="2" t="s">
        <v>90</v>
      </c>
      <c r="Q39" s="2" t="s">
        <v>733</v>
      </c>
      <c r="R39" s="2"/>
      <c r="S39" s="2"/>
      <c r="T39" s="2" t="s">
        <v>80</v>
      </c>
      <c r="U39" s="2"/>
      <c r="V39" s="2" t="s">
        <v>92</v>
      </c>
      <c r="W39" s="2" t="s">
        <v>734</v>
      </c>
      <c r="X39" s="2" t="s">
        <v>735</v>
      </c>
      <c r="Y39" s="2" t="s">
        <v>95</v>
      </c>
      <c r="Z39" s="2" t="s">
        <v>736</v>
      </c>
      <c r="AA39" s="2" t="s">
        <v>737</v>
      </c>
      <c r="AB39" s="2" t="s">
        <v>80</v>
      </c>
      <c r="AC39" s="2"/>
      <c r="AD39" s="2"/>
      <c r="AE39" s="2" t="s">
        <v>738</v>
      </c>
      <c r="AF39" s="2" t="s">
        <v>79</v>
      </c>
      <c r="AG39" s="2" t="s">
        <v>739</v>
      </c>
      <c r="AH39" s="2" t="s">
        <v>729</v>
      </c>
      <c r="AI39" s="2" t="s">
        <v>82</v>
      </c>
      <c r="AJ39" s="2">
        <v>9</v>
      </c>
      <c r="AK39" s="2" t="s">
        <v>84</v>
      </c>
      <c r="AL39" s="2" t="s">
        <v>84</v>
      </c>
      <c r="AM39" s="2" t="s">
        <v>84</v>
      </c>
      <c r="AN39" s="2" t="s">
        <v>84</v>
      </c>
      <c r="AO39" s="2" t="s">
        <v>84</v>
      </c>
      <c r="AP39" s="2" t="s">
        <v>84</v>
      </c>
      <c r="AQ39" s="2" t="s">
        <v>84</v>
      </c>
      <c r="AR39" s="2" t="s">
        <v>84</v>
      </c>
      <c r="AS39" s="2" t="s">
        <v>85</v>
      </c>
      <c r="AT39" s="2" t="s">
        <v>85</v>
      </c>
      <c r="AU39" s="2" t="s">
        <v>106</v>
      </c>
      <c r="AV39" s="2" t="s">
        <v>80</v>
      </c>
      <c r="AW39" s="2"/>
      <c r="AX39" s="2" t="s">
        <v>106</v>
      </c>
      <c r="AY39" s="2" t="s">
        <v>740</v>
      </c>
      <c r="AZ39" s="2" t="s">
        <v>303</v>
      </c>
      <c r="BA39" s="2" t="s">
        <v>741</v>
      </c>
      <c r="BB39" s="2" t="s">
        <v>426</v>
      </c>
      <c r="BC39" s="2" t="s">
        <v>79</v>
      </c>
      <c r="BD39" s="2" t="s">
        <v>364</v>
      </c>
      <c r="BE39" s="2" t="s">
        <v>742</v>
      </c>
      <c r="BF39" s="2" t="s">
        <v>153</v>
      </c>
      <c r="BG39" s="2" t="s">
        <v>743</v>
      </c>
      <c r="BH39" s="2" t="s">
        <v>79</v>
      </c>
      <c r="BI39" s="2" t="s">
        <v>106</v>
      </c>
      <c r="BJ39" s="2" t="s">
        <v>155</v>
      </c>
      <c r="BK39" s="2"/>
      <c r="BL39" s="2" t="s">
        <v>80</v>
      </c>
      <c r="BM39" s="2" t="s">
        <v>143</v>
      </c>
    </row>
    <row r="40" spans="1:65" ht="409.5" x14ac:dyDescent="0.25">
      <c r="A40" s="2" t="s">
        <v>744</v>
      </c>
      <c r="B40" s="2">
        <v>2020</v>
      </c>
      <c r="C40" s="2" t="s">
        <v>143</v>
      </c>
      <c r="D40" s="2" t="s">
        <v>79</v>
      </c>
      <c r="E40" s="2" t="s">
        <v>79</v>
      </c>
      <c r="F40" s="2" t="s">
        <v>79</v>
      </c>
      <c r="G40" s="2" t="s">
        <v>92</v>
      </c>
      <c r="H40" s="2" t="s">
        <v>79</v>
      </c>
      <c r="I40" s="2" t="s">
        <v>92</v>
      </c>
      <c r="J40" s="2" t="s">
        <v>224</v>
      </c>
      <c r="K40" s="2" t="s">
        <v>79</v>
      </c>
      <c r="L40" s="2" t="s">
        <v>746</v>
      </c>
      <c r="M40" s="2" t="s">
        <v>747</v>
      </c>
      <c r="N40" s="2" t="s">
        <v>89</v>
      </c>
      <c r="O40" s="2" t="s">
        <v>79</v>
      </c>
      <c r="P40" s="2" t="s">
        <v>116</v>
      </c>
      <c r="Q40" s="2" t="s">
        <v>748</v>
      </c>
      <c r="R40" s="2"/>
      <c r="S40" s="2"/>
      <c r="T40" s="2" t="s">
        <v>80</v>
      </c>
      <c r="U40" s="2"/>
      <c r="V40" s="2" t="s">
        <v>92</v>
      </c>
      <c r="W40" s="2" t="s">
        <v>388</v>
      </c>
      <c r="X40" s="2" t="s">
        <v>749</v>
      </c>
      <c r="Y40" s="2" t="s">
        <v>95</v>
      </c>
      <c r="Z40" s="2" t="s">
        <v>750</v>
      </c>
      <c r="AA40" s="2" t="s">
        <v>751</v>
      </c>
      <c r="AB40" s="2" t="s">
        <v>80</v>
      </c>
      <c r="AC40" s="2"/>
      <c r="AD40" s="2"/>
      <c r="AE40" s="2" t="s">
        <v>752</v>
      </c>
      <c r="AF40" s="2" t="s">
        <v>79</v>
      </c>
      <c r="AG40" s="2" t="s">
        <v>753</v>
      </c>
      <c r="AH40" s="2" t="s">
        <v>745</v>
      </c>
      <c r="AI40" s="2" t="s">
        <v>82</v>
      </c>
      <c r="AJ40" s="2">
        <v>8.5</v>
      </c>
      <c r="AK40" s="2" t="s">
        <v>84</v>
      </c>
      <c r="AL40" s="2" t="s">
        <v>84</v>
      </c>
      <c r="AM40" s="2" t="s">
        <v>84</v>
      </c>
      <c r="AN40" s="2" t="s">
        <v>84</v>
      </c>
      <c r="AO40" s="2" t="s">
        <v>84</v>
      </c>
      <c r="AP40" s="2" t="s">
        <v>84</v>
      </c>
      <c r="AQ40" s="2" t="s">
        <v>84</v>
      </c>
      <c r="AR40" s="2" t="s">
        <v>86</v>
      </c>
      <c r="AS40" s="2" t="s">
        <v>84</v>
      </c>
      <c r="AT40" s="2" t="s">
        <v>85</v>
      </c>
      <c r="AU40" s="2" t="s">
        <v>80</v>
      </c>
      <c r="AV40" s="2" t="s">
        <v>80</v>
      </c>
      <c r="AW40" s="2"/>
      <c r="AX40" s="2" t="s">
        <v>80</v>
      </c>
      <c r="AY40" s="2" t="s">
        <v>754</v>
      </c>
      <c r="AZ40" s="2" t="s">
        <v>100</v>
      </c>
      <c r="BA40" s="2" t="s">
        <v>755</v>
      </c>
      <c r="BB40" s="2" t="s">
        <v>102</v>
      </c>
      <c r="BC40" s="2" t="s">
        <v>79</v>
      </c>
      <c r="BD40" s="2" t="s">
        <v>756</v>
      </c>
      <c r="BE40" s="2" t="s">
        <v>757</v>
      </c>
      <c r="BF40" s="2" t="s">
        <v>758</v>
      </c>
      <c r="BG40" s="2" t="s">
        <v>759</v>
      </c>
      <c r="BH40" s="2" t="s">
        <v>79</v>
      </c>
      <c r="BI40" s="2" t="s">
        <v>79</v>
      </c>
      <c r="BJ40" s="2" t="s">
        <v>107</v>
      </c>
      <c r="BK40" s="2" t="s">
        <v>760</v>
      </c>
      <c r="BL40" s="2" t="s">
        <v>79</v>
      </c>
      <c r="BM40" s="2" t="s">
        <v>109</v>
      </c>
    </row>
    <row r="41" spans="1:65" ht="409.5" x14ac:dyDescent="0.25">
      <c r="A41" s="2" t="s">
        <v>761</v>
      </c>
      <c r="B41" s="2">
        <v>2020</v>
      </c>
      <c r="C41" s="2" t="s">
        <v>111</v>
      </c>
      <c r="D41" s="2" t="s">
        <v>79</v>
      </c>
      <c r="E41" s="2" t="s">
        <v>79</v>
      </c>
      <c r="F41" s="2" t="s">
        <v>79</v>
      </c>
      <c r="G41" s="2" t="s">
        <v>92</v>
      </c>
      <c r="H41" s="2" t="s">
        <v>92</v>
      </c>
      <c r="I41" s="2" t="s">
        <v>92</v>
      </c>
      <c r="J41" s="2" t="s">
        <v>762</v>
      </c>
      <c r="K41" s="2" t="s">
        <v>80</v>
      </c>
      <c r="L41" s="2" t="s">
        <v>764</v>
      </c>
      <c r="M41" s="2" t="s">
        <v>765</v>
      </c>
      <c r="N41" s="2" t="s">
        <v>143</v>
      </c>
      <c r="O41" s="2" t="s">
        <v>79</v>
      </c>
      <c r="P41" s="2" t="s">
        <v>90</v>
      </c>
      <c r="Q41" s="2" t="s">
        <v>766</v>
      </c>
      <c r="R41" s="2"/>
      <c r="S41" s="2"/>
      <c r="T41" s="2" t="s">
        <v>80</v>
      </c>
      <c r="U41" s="2"/>
      <c r="V41" s="2" t="s">
        <v>92</v>
      </c>
      <c r="W41" s="2" t="s">
        <v>767</v>
      </c>
      <c r="X41" s="2" t="s">
        <v>768</v>
      </c>
      <c r="Y41" s="2" t="s">
        <v>95</v>
      </c>
      <c r="Z41" s="2" t="s">
        <v>769</v>
      </c>
      <c r="AA41" s="2" t="s">
        <v>770</v>
      </c>
      <c r="AB41" s="2" t="s">
        <v>80</v>
      </c>
      <c r="AC41" s="2"/>
      <c r="AD41" s="2"/>
      <c r="AE41" s="2" t="s">
        <v>771</v>
      </c>
      <c r="AF41" s="2" t="s">
        <v>79</v>
      </c>
      <c r="AG41" s="2" t="s">
        <v>772</v>
      </c>
      <c r="AH41" s="2" t="s">
        <v>763</v>
      </c>
      <c r="AI41" s="2" t="s">
        <v>82</v>
      </c>
      <c r="AJ41" s="2">
        <v>9</v>
      </c>
      <c r="AK41" s="2" t="s">
        <v>84</v>
      </c>
      <c r="AL41" s="2" t="s">
        <v>84</v>
      </c>
      <c r="AM41" s="2" t="s">
        <v>84</v>
      </c>
      <c r="AN41" s="2" t="s">
        <v>84</v>
      </c>
      <c r="AO41" s="2" t="s">
        <v>84</v>
      </c>
      <c r="AP41" s="2" t="s">
        <v>84</v>
      </c>
      <c r="AQ41" s="2" t="s">
        <v>84</v>
      </c>
      <c r="AR41" s="2" t="s">
        <v>86</v>
      </c>
      <c r="AS41" s="2" t="s">
        <v>84</v>
      </c>
      <c r="AT41" s="2" t="s">
        <v>84</v>
      </c>
      <c r="AU41" s="2" t="s">
        <v>80</v>
      </c>
      <c r="AV41" s="2" t="s">
        <v>80</v>
      </c>
      <c r="AW41" s="2"/>
      <c r="AX41" s="2" t="s">
        <v>80</v>
      </c>
      <c r="AY41" s="2" t="s">
        <v>773</v>
      </c>
      <c r="AZ41" s="2" t="s">
        <v>303</v>
      </c>
      <c r="BA41" s="2" t="s">
        <v>774</v>
      </c>
      <c r="BB41" s="2" t="s">
        <v>426</v>
      </c>
      <c r="BC41" s="2" t="s">
        <v>79</v>
      </c>
      <c r="BD41" s="2" t="s">
        <v>364</v>
      </c>
      <c r="BE41" s="2" t="s">
        <v>775</v>
      </c>
      <c r="BF41" s="2" t="s">
        <v>104</v>
      </c>
      <c r="BG41" s="2" t="s">
        <v>776</v>
      </c>
      <c r="BH41" s="2" t="s">
        <v>92</v>
      </c>
      <c r="BI41" s="2" t="s">
        <v>79</v>
      </c>
      <c r="BJ41" s="2" t="s">
        <v>367</v>
      </c>
      <c r="BK41" s="2" t="s">
        <v>777</v>
      </c>
      <c r="BL41" s="2" t="s">
        <v>79</v>
      </c>
      <c r="BM41" s="2" t="s">
        <v>109</v>
      </c>
    </row>
    <row r="42" spans="1:65" ht="409.5" x14ac:dyDescent="0.25">
      <c r="A42" s="2" t="s">
        <v>778</v>
      </c>
      <c r="B42" s="2">
        <v>2020</v>
      </c>
      <c r="C42" s="2" t="s">
        <v>111</v>
      </c>
      <c r="D42" s="2" t="s">
        <v>79</v>
      </c>
      <c r="E42" s="2" t="s">
        <v>79</v>
      </c>
      <c r="F42" s="2" t="s">
        <v>79</v>
      </c>
      <c r="G42" s="2" t="s">
        <v>92</v>
      </c>
      <c r="H42" s="2" t="s">
        <v>79</v>
      </c>
      <c r="I42" s="2" t="s">
        <v>92</v>
      </c>
      <c r="J42" s="2" t="s">
        <v>779</v>
      </c>
      <c r="K42" s="2" t="s">
        <v>92</v>
      </c>
      <c r="L42" s="2" t="s">
        <v>781</v>
      </c>
      <c r="M42" s="2" t="s">
        <v>782</v>
      </c>
      <c r="N42" s="2" t="s">
        <v>143</v>
      </c>
      <c r="O42" s="2" t="s">
        <v>79</v>
      </c>
      <c r="P42" s="2" t="s">
        <v>90</v>
      </c>
      <c r="Q42" s="2" t="s">
        <v>783</v>
      </c>
      <c r="R42" s="2"/>
      <c r="S42" s="2"/>
      <c r="T42" s="2" t="s">
        <v>80</v>
      </c>
      <c r="U42" s="2"/>
      <c r="V42" s="2" t="s">
        <v>92</v>
      </c>
      <c r="W42" s="2" t="s">
        <v>784</v>
      </c>
      <c r="X42" s="2" t="s">
        <v>785</v>
      </c>
      <c r="Y42" s="2" t="s">
        <v>95</v>
      </c>
      <c r="Z42" s="2" t="s">
        <v>786</v>
      </c>
      <c r="AA42" s="2" t="s">
        <v>787</v>
      </c>
      <c r="AB42" s="2" t="s">
        <v>80</v>
      </c>
      <c r="AC42" s="2"/>
      <c r="AD42" s="2"/>
      <c r="AE42" s="2" t="s">
        <v>788</v>
      </c>
      <c r="AF42" s="2" t="s">
        <v>79</v>
      </c>
      <c r="AG42" s="2" t="s">
        <v>789</v>
      </c>
      <c r="AH42" s="2" t="s">
        <v>780</v>
      </c>
      <c r="AI42" s="2" t="s">
        <v>82</v>
      </c>
      <c r="AJ42" s="2">
        <v>9.5</v>
      </c>
      <c r="AK42" s="2" t="s">
        <v>84</v>
      </c>
      <c r="AL42" s="2" t="s">
        <v>84</v>
      </c>
      <c r="AM42" s="2" t="s">
        <v>84</v>
      </c>
      <c r="AN42" s="2" t="s">
        <v>84</v>
      </c>
      <c r="AO42" s="2" t="s">
        <v>84</v>
      </c>
      <c r="AP42" s="2" t="s">
        <v>84</v>
      </c>
      <c r="AQ42" s="2" t="s">
        <v>84</v>
      </c>
      <c r="AR42" s="2" t="s">
        <v>84</v>
      </c>
      <c r="AS42" s="2" t="s">
        <v>84</v>
      </c>
      <c r="AT42" s="2" t="s">
        <v>85</v>
      </c>
      <c r="AU42" s="2" t="s">
        <v>80</v>
      </c>
      <c r="AV42" s="2" t="s">
        <v>80</v>
      </c>
      <c r="AW42" s="2"/>
      <c r="AX42" s="2" t="s">
        <v>80</v>
      </c>
      <c r="AY42" s="2" t="s">
        <v>790</v>
      </c>
      <c r="AZ42" s="2" t="s">
        <v>303</v>
      </c>
      <c r="BA42" s="2" t="s">
        <v>791</v>
      </c>
      <c r="BB42" s="2" t="s">
        <v>426</v>
      </c>
      <c r="BC42" s="2" t="s">
        <v>79</v>
      </c>
      <c r="BD42" s="2" t="s">
        <v>364</v>
      </c>
      <c r="BE42" s="2" t="s">
        <v>792</v>
      </c>
      <c r="BF42" s="2" t="s">
        <v>104</v>
      </c>
      <c r="BG42" s="2" t="s">
        <v>793</v>
      </c>
      <c r="BH42" s="2" t="s">
        <v>79</v>
      </c>
      <c r="BI42" s="2" t="s">
        <v>79</v>
      </c>
      <c r="BJ42" s="2" t="s">
        <v>429</v>
      </c>
      <c r="BK42" s="2" t="s">
        <v>794</v>
      </c>
      <c r="BL42" s="2" t="s">
        <v>79</v>
      </c>
      <c r="BM42" s="2" t="s">
        <v>109</v>
      </c>
    </row>
    <row r="43" spans="1:65" ht="409.5" x14ac:dyDescent="0.25">
      <c r="A43" s="2" t="s">
        <v>795</v>
      </c>
      <c r="B43" s="2">
        <v>2021</v>
      </c>
      <c r="C43" s="2" t="s">
        <v>111</v>
      </c>
      <c r="D43" s="2" t="s">
        <v>79</v>
      </c>
      <c r="E43" s="2" t="s">
        <v>79</v>
      </c>
      <c r="F43" s="2" t="s">
        <v>79</v>
      </c>
      <c r="G43" s="2" t="s">
        <v>92</v>
      </c>
      <c r="H43" s="2" t="s">
        <v>79</v>
      </c>
      <c r="I43" s="2" t="s">
        <v>79</v>
      </c>
      <c r="J43" s="2" t="s">
        <v>796</v>
      </c>
      <c r="K43" s="2" t="s">
        <v>92</v>
      </c>
      <c r="L43" s="2" t="s">
        <v>798</v>
      </c>
      <c r="M43" s="2" t="s">
        <v>799</v>
      </c>
      <c r="N43" s="2" t="s">
        <v>89</v>
      </c>
      <c r="O43" s="2" t="s">
        <v>79</v>
      </c>
      <c r="P43" s="2" t="s">
        <v>90</v>
      </c>
      <c r="Q43" s="2" t="s">
        <v>800</v>
      </c>
      <c r="R43" s="2"/>
      <c r="S43" s="2"/>
      <c r="T43" s="2" t="s">
        <v>79</v>
      </c>
      <c r="U43" s="2" t="s">
        <v>801</v>
      </c>
      <c r="V43" s="2" t="s">
        <v>802</v>
      </c>
      <c r="W43" s="2" t="s">
        <v>803</v>
      </c>
      <c r="X43" s="2" t="s">
        <v>804</v>
      </c>
      <c r="Y43" s="2" t="s">
        <v>805</v>
      </c>
      <c r="Z43" s="2" t="s">
        <v>806</v>
      </c>
      <c r="AA43" s="2" t="s">
        <v>807</v>
      </c>
      <c r="AB43" s="2" t="s">
        <v>79</v>
      </c>
      <c r="AC43" s="2" t="s">
        <v>808</v>
      </c>
      <c r="AD43" s="2" t="s">
        <v>809</v>
      </c>
      <c r="AE43" s="2" t="s">
        <v>810</v>
      </c>
      <c r="AF43" s="2" t="s">
        <v>79</v>
      </c>
      <c r="AG43" s="2" t="s">
        <v>811</v>
      </c>
      <c r="AH43" s="2" t="s">
        <v>797</v>
      </c>
      <c r="AI43" s="2" t="s">
        <v>82</v>
      </c>
      <c r="AJ43" s="2">
        <v>10</v>
      </c>
      <c r="AK43" s="2" t="s">
        <v>84</v>
      </c>
      <c r="AL43" s="2" t="s">
        <v>84</v>
      </c>
      <c r="AM43" s="2" t="s">
        <v>84</v>
      </c>
      <c r="AN43" s="2" t="s">
        <v>84</v>
      </c>
      <c r="AO43" s="2" t="s">
        <v>84</v>
      </c>
      <c r="AP43" s="2" t="s">
        <v>84</v>
      </c>
      <c r="AQ43" s="2" t="s">
        <v>84</v>
      </c>
      <c r="AR43" s="2" t="s">
        <v>84</v>
      </c>
      <c r="AS43" s="2" t="s">
        <v>84</v>
      </c>
      <c r="AT43" s="2" t="s">
        <v>84</v>
      </c>
      <c r="AU43" s="2" t="s">
        <v>106</v>
      </c>
      <c r="AV43" s="2" t="s">
        <v>79</v>
      </c>
      <c r="AW43" s="2" t="s">
        <v>812</v>
      </c>
      <c r="AX43" s="2" t="s">
        <v>106</v>
      </c>
      <c r="AY43" s="2" t="s">
        <v>813</v>
      </c>
      <c r="AZ43" s="2" t="s">
        <v>100</v>
      </c>
      <c r="BA43" s="2" t="s">
        <v>814</v>
      </c>
      <c r="BB43" s="2" t="s">
        <v>286</v>
      </c>
      <c r="BC43" s="2" t="s">
        <v>79</v>
      </c>
      <c r="BD43" s="2" t="s">
        <v>364</v>
      </c>
      <c r="BE43" s="2" t="s">
        <v>815</v>
      </c>
      <c r="BF43" s="2" t="s">
        <v>153</v>
      </c>
      <c r="BG43" s="2" t="s">
        <v>816</v>
      </c>
      <c r="BH43" s="2" t="s">
        <v>92</v>
      </c>
      <c r="BI43" s="2" t="s">
        <v>79</v>
      </c>
      <c r="BJ43" s="2" t="s">
        <v>143</v>
      </c>
      <c r="BK43" s="2" t="s">
        <v>817</v>
      </c>
      <c r="BL43" s="2" t="s">
        <v>79</v>
      </c>
      <c r="BM43" s="2" t="s">
        <v>172</v>
      </c>
    </row>
    <row r="44" spans="1:65" ht="409.5" x14ac:dyDescent="0.25">
      <c r="A44" s="2" t="s">
        <v>818</v>
      </c>
      <c r="B44" s="2">
        <v>2020</v>
      </c>
      <c r="C44" s="2" t="s">
        <v>143</v>
      </c>
      <c r="D44" s="2" t="s">
        <v>79</v>
      </c>
      <c r="E44" s="2" t="s">
        <v>79</v>
      </c>
      <c r="F44" s="2" t="s">
        <v>79</v>
      </c>
      <c r="G44" s="2" t="s">
        <v>79</v>
      </c>
      <c r="H44" s="2" t="s">
        <v>79</v>
      </c>
      <c r="I44" s="2" t="s">
        <v>92</v>
      </c>
      <c r="J44" s="2" t="s">
        <v>819</v>
      </c>
      <c r="K44" s="2" t="s">
        <v>92</v>
      </c>
      <c r="L44" s="2" t="s">
        <v>821</v>
      </c>
      <c r="M44" s="2" t="s">
        <v>822</v>
      </c>
      <c r="N44" s="2" t="s">
        <v>89</v>
      </c>
      <c r="O44" s="2" t="s">
        <v>79</v>
      </c>
      <c r="P44" s="2" t="s">
        <v>194</v>
      </c>
      <c r="Q44" s="2" t="s">
        <v>823</v>
      </c>
      <c r="R44" s="2"/>
      <c r="S44" s="2"/>
      <c r="T44" s="2" t="s">
        <v>79</v>
      </c>
      <c r="U44" s="2" t="s">
        <v>824</v>
      </c>
      <c r="V44" s="2" t="s">
        <v>802</v>
      </c>
      <c r="W44" s="2" t="s">
        <v>803</v>
      </c>
      <c r="X44" s="2" t="s">
        <v>825</v>
      </c>
      <c r="Y44" s="2" t="s">
        <v>805</v>
      </c>
      <c r="Z44" s="2" t="s">
        <v>826</v>
      </c>
      <c r="AA44" s="2" t="s">
        <v>827</v>
      </c>
      <c r="AB44" s="2" t="s">
        <v>79</v>
      </c>
      <c r="AC44" s="2" t="s">
        <v>828</v>
      </c>
      <c r="AD44" s="2" t="s">
        <v>829</v>
      </c>
      <c r="AE44" s="2"/>
      <c r="AF44" s="2" t="s">
        <v>79</v>
      </c>
      <c r="AG44" s="2" t="s">
        <v>830</v>
      </c>
      <c r="AH44" s="2" t="s">
        <v>820</v>
      </c>
      <c r="AI44" s="2" t="s">
        <v>82</v>
      </c>
      <c r="AJ44" s="2">
        <v>10</v>
      </c>
      <c r="AK44" s="2" t="s">
        <v>84</v>
      </c>
      <c r="AL44" s="2" t="s">
        <v>84</v>
      </c>
      <c r="AM44" s="2" t="s">
        <v>84</v>
      </c>
      <c r="AN44" s="2" t="s">
        <v>84</v>
      </c>
      <c r="AO44" s="2" t="s">
        <v>84</v>
      </c>
      <c r="AP44" s="2" t="s">
        <v>84</v>
      </c>
      <c r="AQ44" s="2" t="s">
        <v>84</v>
      </c>
      <c r="AR44" s="2" t="s">
        <v>84</v>
      </c>
      <c r="AS44" s="2" t="s">
        <v>84</v>
      </c>
      <c r="AT44" s="2" t="s">
        <v>84</v>
      </c>
      <c r="AU44" s="2" t="s">
        <v>106</v>
      </c>
      <c r="AV44" s="2" t="s">
        <v>79</v>
      </c>
      <c r="AW44" s="2" t="s">
        <v>831</v>
      </c>
      <c r="AX44" s="2" t="s">
        <v>106</v>
      </c>
      <c r="AY44" s="2" t="s">
        <v>832</v>
      </c>
      <c r="AZ44" s="2" t="s">
        <v>100</v>
      </c>
      <c r="BA44" s="2" t="s">
        <v>833</v>
      </c>
      <c r="BB44" s="2" t="s">
        <v>202</v>
      </c>
      <c r="BC44" s="2" t="s">
        <v>79</v>
      </c>
      <c r="BD44" s="2" t="s">
        <v>364</v>
      </c>
      <c r="BE44" s="2" t="s">
        <v>834</v>
      </c>
      <c r="BF44" s="2" t="s">
        <v>153</v>
      </c>
      <c r="BG44" s="2" t="s">
        <v>835</v>
      </c>
      <c r="BH44" s="2" t="s">
        <v>79</v>
      </c>
      <c r="BI44" s="2" t="s">
        <v>79</v>
      </c>
      <c r="BJ44" s="2" t="s">
        <v>107</v>
      </c>
      <c r="BK44" s="2" t="s">
        <v>836</v>
      </c>
      <c r="BL44" s="2" t="s">
        <v>79</v>
      </c>
      <c r="BM44" s="2" t="s">
        <v>109</v>
      </c>
    </row>
    <row r="45" spans="1:65" ht="409.5" x14ac:dyDescent="0.25">
      <c r="A45" s="2" t="s">
        <v>837</v>
      </c>
      <c r="B45" s="2">
        <v>2021</v>
      </c>
      <c r="C45" s="2" t="s">
        <v>143</v>
      </c>
      <c r="D45" s="2" t="s">
        <v>79</v>
      </c>
      <c r="E45" s="2" t="s">
        <v>79</v>
      </c>
      <c r="F45" s="2" t="s">
        <v>79</v>
      </c>
      <c r="G45" s="2" t="s">
        <v>79</v>
      </c>
      <c r="H45" s="2" t="s">
        <v>79</v>
      </c>
      <c r="I45" s="2" t="s">
        <v>79</v>
      </c>
      <c r="J45" s="2" t="s">
        <v>838</v>
      </c>
      <c r="K45" s="2" t="s">
        <v>80</v>
      </c>
      <c r="L45" s="2" t="s">
        <v>840</v>
      </c>
      <c r="M45" s="2" t="s">
        <v>841</v>
      </c>
      <c r="N45" s="2" t="s">
        <v>842</v>
      </c>
      <c r="O45" s="2" t="s">
        <v>80</v>
      </c>
      <c r="P45" s="2" t="s">
        <v>116</v>
      </c>
      <c r="Q45" s="2" t="s">
        <v>843</v>
      </c>
      <c r="R45" s="2" t="s">
        <v>143</v>
      </c>
      <c r="S45" s="2" t="s">
        <v>844</v>
      </c>
      <c r="T45" s="2" t="s">
        <v>79</v>
      </c>
      <c r="U45" s="2" t="s">
        <v>845</v>
      </c>
      <c r="V45" s="2" t="s">
        <v>92</v>
      </c>
      <c r="W45" s="2" t="s">
        <v>437</v>
      </c>
      <c r="X45" s="2" t="s">
        <v>846</v>
      </c>
      <c r="Y45" s="2" t="s">
        <v>95</v>
      </c>
      <c r="Z45" s="2" t="s">
        <v>847</v>
      </c>
      <c r="AA45" s="2" t="s">
        <v>848</v>
      </c>
      <c r="AB45" s="2" t="s">
        <v>80</v>
      </c>
      <c r="AC45" s="2"/>
      <c r="AD45" s="2"/>
      <c r="AE45" s="2" t="s">
        <v>849</v>
      </c>
      <c r="AF45" s="2" t="s">
        <v>79</v>
      </c>
      <c r="AG45" s="2" t="s">
        <v>850</v>
      </c>
      <c r="AH45" s="2" t="s">
        <v>839</v>
      </c>
      <c r="AI45" s="2" t="s">
        <v>82</v>
      </c>
      <c r="AJ45" s="2">
        <v>10</v>
      </c>
      <c r="AK45" s="2" t="s">
        <v>84</v>
      </c>
      <c r="AL45" s="2" t="s">
        <v>84</v>
      </c>
      <c r="AM45" s="2" t="s">
        <v>84</v>
      </c>
      <c r="AN45" s="2" t="s">
        <v>84</v>
      </c>
      <c r="AO45" s="2" t="s">
        <v>84</v>
      </c>
      <c r="AP45" s="2" t="s">
        <v>84</v>
      </c>
      <c r="AQ45" s="2" t="s">
        <v>84</v>
      </c>
      <c r="AR45" s="2" t="s">
        <v>84</v>
      </c>
      <c r="AS45" s="2" t="s">
        <v>84</v>
      </c>
      <c r="AT45" s="2" t="s">
        <v>84</v>
      </c>
      <c r="AU45" s="2" t="s">
        <v>80</v>
      </c>
      <c r="AV45" s="2" t="s">
        <v>80</v>
      </c>
      <c r="AW45" s="2"/>
      <c r="AX45" s="2" t="s">
        <v>80</v>
      </c>
      <c r="AY45" s="2" t="s">
        <v>851</v>
      </c>
      <c r="AZ45" s="2" t="s">
        <v>100</v>
      </c>
      <c r="BA45" s="2" t="s">
        <v>852</v>
      </c>
      <c r="BB45" s="2" t="s">
        <v>853</v>
      </c>
      <c r="BC45" s="2" t="s">
        <v>79</v>
      </c>
      <c r="BD45" s="2" t="s">
        <v>854</v>
      </c>
      <c r="BE45" s="2" t="s">
        <v>855</v>
      </c>
      <c r="BF45" s="2" t="s">
        <v>856</v>
      </c>
      <c r="BG45" s="2"/>
      <c r="BH45" s="2" t="s">
        <v>80</v>
      </c>
      <c r="BI45" s="2" t="s">
        <v>79</v>
      </c>
      <c r="BJ45" s="2" t="s">
        <v>107</v>
      </c>
      <c r="BK45" s="2" t="s">
        <v>857</v>
      </c>
      <c r="BL45" s="2" t="s">
        <v>79</v>
      </c>
      <c r="BM45" s="2" t="s">
        <v>109</v>
      </c>
    </row>
    <row r="46" spans="1:65" ht="409.5" x14ac:dyDescent="0.25">
      <c r="A46" s="2" t="s">
        <v>858</v>
      </c>
      <c r="B46" s="2">
        <v>2021</v>
      </c>
      <c r="C46" s="2" t="s">
        <v>111</v>
      </c>
      <c r="D46" s="2" t="s">
        <v>79</v>
      </c>
      <c r="E46" s="2" t="s">
        <v>79</v>
      </c>
      <c r="F46" s="2" t="s">
        <v>79</v>
      </c>
      <c r="G46" s="2" t="s">
        <v>79</v>
      </c>
      <c r="H46" s="2" t="s">
        <v>79</v>
      </c>
      <c r="I46" s="2" t="s">
        <v>79</v>
      </c>
      <c r="J46" s="2" t="s">
        <v>859</v>
      </c>
      <c r="K46" s="2" t="s">
        <v>92</v>
      </c>
      <c r="L46" s="2" t="s">
        <v>861</v>
      </c>
      <c r="M46" s="2" t="s">
        <v>862</v>
      </c>
      <c r="N46" s="2" t="s">
        <v>89</v>
      </c>
      <c r="O46" s="2" t="s">
        <v>79</v>
      </c>
      <c r="P46" s="2" t="s">
        <v>116</v>
      </c>
      <c r="Q46" s="2" t="s">
        <v>863</v>
      </c>
      <c r="R46" s="2"/>
      <c r="S46" s="2" t="s">
        <v>155</v>
      </c>
      <c r="T46" s="2" t="s">
        <v>80</v>
      </c>
      <c r="U46" s="2"/>
      <c r="V46" s="2" t="s">
        <v>92</v>
      </c>
      <c r="W46" s="2" t="s">
        <v>864</v>
      </c>
      <c r="X46" s="2" t="s">
        <v>865</v>
      </c>
      <c r="Y46" s="2" t="s">
        <v>95</v>
      </c>
      <c r="Z46" s="2" t="s">
        <v>866</v>
      </c>
      <c r="AA46" s="2" t="s">
        <v>867</v>
      </c>
      <c r="AB46" s="2" t="s">
        <v>80</v>
      </c>
      <c r="AC46" s="2"/>
      <c r="AD46" s="2"/>
      <c r="AE46" s="2"/>
      <c r="AF46" s="2" t="s">
        <v>79</v>
      </c>
      <c r="AG46" s="2" t="s">
        <v>868</v>
      </c>
      <c r="AH46" s="2" t="s">
        <v>860</v>
      </c>
      <c r="AI46" s="2" t="s">
        <v>82</v>
      </c>
      <c r="AJ46" s="2">
        <v>8.5</v>
      </c>
      <c r="AK46" s="2" t="s">
        <v>84</v>
      </c>
      <c r="AL46" s="2" t="s">
        <v>84</v>
      </c>
      <c r="AM46" s="2" t="s">
        <v>84</v>
      </c>
      <c r="AN46" s="2" t="s">
        <v>84</v>
      </c>
      <c r="AO46" s="2" t="s">
        <v>84</v>
      </c>
      <c r="AP46" s="2" t="s">
        <v>84</v>
      </c>
      <c r="AQ46" s="2" t="s">
        <v>84</v>
      </c>
      <c r="AR46" s="2" t="s">
        <v>86</v>
      </c>
      <c r="AS46" s="2" t="s">
        <v>84</v>
      </c>
      <c r="AT46" s="2" t="s">
        <v>85</v>
      </c>
      <c r="AU46" s="2" t="s">
        <v>80</v>
      </c>
      <c r="AV46" s="2" t="s">
        <v>80</v>
      </c>
      <c r="AW46" s="2"/>
      <c r="AX46" s="2" t="s">
        <v>80</v>
      </c>
      <c r="AY46" s="2" t="s">
        <v>869</v>
      </c>
      <c r="AZ46" s="2" t="s">
        <v>100</v>
      </c>
      <c r="BA46" s="2" t="s">
        <v>870</v>
      </c>
      <c r="BB46" s="2" t="s">
        <v>202</v>
      </c>
      <c r="BC46" s="2" t="s">
        <v>79</v>
      </c>
      <c r="BD46" s="2" t="s">
        <v>168</v>
      </c>
      <c r="BE46" s="2" t="s">
        <v>871</v>
      </c>
      <c r="BF46" s="2" t="s">
        <v>153</v>
      </c>
      <c r="BG46" s="2" t="s">
        <v>872</v>
      </c>
      <c r="BH46" s="2" t="s">
        <v>92</v>
      </c>
      <c r="BI46" s="2" t="s">
        <v>79</v>
      </c>
      <c r="BJ46" s="2" t="s">
        <v>107</v>
      </c>
      <c r="BK46" s="2" t="s">
        <v>873</v>
      </c>
      <c r="BL46" s="2" t="s">
        <v>79</v>
      </c>
      <c r="BM46" s="2" t="s">
        <v>109</v>
      </c>
    </row>
    <row r="47" spans="1:65" ht="409.5" x14ac:dyDescent="0.25">
      <c r="A47" s="2" t="s">
        <v>874</v>
      </c>
      <c r="B47" s="2">
        <v>2021</v>
      </c>
      <c r="C47" s="2" t="s">
        <v>143</v>
      </c>
      <c r="D47" s="2" t="s">
        <v>79</v>
      </c>
      <c r="E47" s="2" t="s">
        <v>79</v>
      </c>
      <c r="F47" s="2" t="s">
        <v>79</v>
      </c>
      <c r="G47" s="2" t="s">
        <v>79</v>
      </c>
      <c r="H47" s="2" t="s">
        <v>79</v>
      </c>
      <c r="I47" s="2" t="s">
        <v>92</v>
      </c>
      <c r="J47" s="2" t="s">
        <v>112</v>
      </c>
      <c r="K47" s="2" t="s">
        <v>80</v>
      </c>
      <c r="L47" s="2" t="s">
        <v>876</v>
      </c>
      <c r="M47" s="2" t="s">
        <v>877</v>
      </c>
      <c r="N47" s="2" t="s">
        <v>143</v>
      </c>
      <c r="O47" s="2" t="s">
        <v>106</v>
      </c>
      <c r="P47" s="2" t="s">
        <v>116</v>
      </c>
      <c r="Q47" s="2" t="s">
        <v>878</v>
      </c>
      <c r="R47" s="2"/>
      <c r="S47" s="2" t="s">
        <v>155</v>
      </c>
      <c r="T47" s="2" t="s">
        <v>80</v>
      </c>
      <c r="U47" s="2"/>
      <c r="V47" s="2" t="s">
        <v>92</v>
      </c>
      <c r="W47" s="2" t="s">
        <v>864</v>
      </c>
      <c r="X47" s="2" t="s">
        <v>879</v>
      </c>
      <c r="Y47" s="2" t="s">
        <v>95</v>
      </c>
      <c r="Z47" s="2" t="s">
        <v>880</v>
      </c>
      <c r="AA47" s="2" t="s">
        <v>881</v>
      </c>
      <c r="AB47" s="2" t="s">
        <v>80</v>
      </c>
      <c r="AC47" s="2"/>
      <c r="AD47" s="2"/>
      <c r="AE47" s="2"/>
      <c r="AF47" s="2" t="s">
        <v>79</v>
      </c>
      <c r="AG47" s="2" t="s">
        <v>882</v>
      </c>
      <c r="AH47" s="2" t="s">
        <v>875</v>
      </c>
      <c r="AI47" s="2" t="s">
        <v>82</v>
      </c>
      <c r="AJ47" s="2">
        <v>8.5</v>
      </c>
      <c r="AK47" s="2" t="s">
        <v>84</v>
      </c>
      <c r="AL47" s="2" t="s">
        <v>84</v>
      </c>
      <c r="AM47" s="2" t="s">
        <v>84</v>
      </c>
      <c r="AN47" s="2" t="s">
        <v>84</v>
      </c>
      <c r="AO47" s="2" t="s">
        <v>84</v>
      </c>
      <c r="AP47" s="2" t="s">
        <v>84</v>
      </c>
      <c r="AQ47" s="2" t="s">
        <v>84</v>
      </c>
      <c r="AR47" s="2" t="s">
        <v>86</v>
      </c>
      <c r="AS47" s="2" t="s">
        <v>84</v>
      </c>
      <c r="AT47" s="2" t="s">
        <v>85</v>
      </c>
      <c r="AU47" s="2" t="s">
        <v>80</v>
      </c>
      <c r="AV47" s="2" t="s">
        <v>80</v>
      </c>
      <c r="AW47" s="2"/>
      <c r="AX47" s="2" t="s">
        <v>80</v>
      </c>
      <c r="AY47" s="2" t="s">
        <v>883</v>
      </c>
      <c r="AZ47" s="2" t="s">
        <v>100</v>
      </c>
      <c r="BA47" s="2" t="s">
        <v>884</v>
      </c>
      <c r="BB47" s="2" t="s">
        <v>202</v>
      </c>
      <c r="BC47" s="2" t="s">
        <v>79</v>
      </c>
      <c r="BD47" s="2" t="s">
        <v>854</v>
      </c>
      <c r="BE47" s="2" t="s">
        <v>885</v>
      </c>
      <c r="BF47" s="2" t="s">
        <v>648</v>
      </c>
      <c r="BG47" s="2" t="s">
        <v>886</v>
      </c>
      <c r="BH47" s="2" t="s">
        <v>92</v>
      </c>
      <c r="BI47" s="2" t="s">
        <v>79</v>
      </c>
      <c r="BJ47" s="2" t="s">
        <v>107</v>
      </c>
      <c r="BK47" s="2" t="s">
        <v>887</v>
      </c>
      <c r="BL47" s="2" t="s">
        <v>79</v>
      </c>
      <c r="BM47" s="2" t="s">
        <v>109</v>
      </c>
    </row>
    <row r="48" spans="1:65" ht="409.5" x14ac:dyDescent="0.25">
      <c r="A48" s="2" t="s">
        <v>888</v>
      </c>
      <c r="B48" s="2">
        <v>2021</v>
      </c>
      <c r="C48" s="2" t="s">
        <v>111</v>
      </c>
      <c r="D48" s="2" t="s">
        <v>79</v>
      </c>
      <c r="E48" s="2" t="s">
        <v>79</v>
      </c>
      <c r="F48" s="2" t="s">
        <v>79</v>
      </c>
      <c r="G48" s="2" t="s">
        <v>79</v>
      </c>
      <c r="H48" s="2" t="s">
        <v>79</v>
      </c>
      <c r="I48" s="2" t="s">
        <v>79</v>
      </c>
      <c r="J48" s="2" t="s">
        <v>889</v>
      </c>
      <c r="K48" s="2" t="s">
        <v>92</v>
      </c>
      <c r="L48" s="2" t="s">
        <v>891</v>
      </c>
      <c r="M48" s="2" t="s">
        <v>892</v>
      </c>
      <c r="N48" s="2" t="s">
        <v>89</v>
      </c>
      <c r="O48" s="2" t="s">
        <v>79</v>
      </c>
      <c r="P48" s="2" t="s">
        <v>90</v>
      </c>
      <c r="Q48" s="2" t="s">
        <v>893</v>
      </c>
      <c r="R48" s="2"/>
      <c r="S48" s="2" t="s">
        <v>155</v>
      </c>
      <c r="T48" s="2" t="s">
        <v>80</v>
      </c>
      <c r="U48" s="2"/>
      <c r="V48" s="2" t="s">
        <v>92</v>
      </c>
      <c r="W48" s="2" t="s">
        <v>243</v>
      </c>
      <c r="X48" s="2" t="s">
        <v>894</v>
      </c>
      <c r="Y48" s="2" t="s">
        <v>95</v>
      </c>
      <c r="Z48" s="2" t="s">
        <v>895</v>
      </c>
      <c r="AA48" s="2" t="s">
        <v>896</v>
      </c>
      <c r="AB48" s="2" t="s">
        <v>80</v>
      </c>
      <c r="AC48" s="2"/>
      <c r="AD48" s="2"/>
      <c r="AE48" s="2"/>
      <c r="AF48" s="2" t="s">
        <v>79</v>
      </c>
      <c r="AG48" s="2" t="s">
        <v>897</v>
      </c>
      <c r="AH48" s="2" t="s">
        <v>890</v>
      </c>
      <c r="AI48" s="2" t="s">
        <v>82</v>
      </c>
      <c r="AJ48" s="2">
        <v>8.5</v>
      </c>
      <c r="AK48" s="2" t="s">
        <v>84</v>
      </c>
      <c r="AL48" s="2" t="s">
        <v>84</v>
      </c>
      <c r="AM48" s="2" t="s">
        <v>84</v>
      </c>
      <c r="AN48" s="2" t="s">
        <v>84</v>
      </c>
      <c r="AO48" s="2" t="s">
        <v>84</v>
      </c>
      <c r="AP48" s="2" t="s">
        <v>84</v>
      </c>
      <c r="AQ48" s="2" t="s">
        <v>84</v>
      </c>
      <c r="AR48" s="2" t="s">
        <v>86</v>
      </c>
      <c r="AS48" s="2" t="s">
        <v>85</v>
      </c>
      <c r="AT48" s="2" t="s">
        <v>84</v>
      </c>
      <c r="AU48" s="2" t="s">
        <v>80</v>
      </c>
      <c r="AV48" s="2" t="s">
        <v>80</v>
      </c>
      <c r="AW48" s="2"/>
      <c r="AX48" s="2" t="s">
        <v>80</v>
      </c>
      <c r="AY48" s="2" t="s">
        <v>898</v>
      </c>
      <c r="AZ48" s="2" t="s">
        <v>100</v>
      </c>
      <c r="BA48" s="2" t="s">
        <v>899</v>
      </c>
      <c r="BB48" s="2" t="s">
        <v>709</v>
      </c>
      <c r="BC48" s="2" t="s">
        <v>79</v>
      </c>
      <c r="BD48" s="2" t="s">
        <v>168</v>
      </c>
      <c r="BE48" s="2" t="s">
        <v>900</v>
      </c>
      <c r="BF48" s="2" t="s">
        <v>153</v>
      </c>
      <c r="BG48" s="2" t="s">
        <v>901</v>
      </c>
      <c r="BH48" s="2" t="s">
        <v>92</v>
      </c>
      <c r="BI48" s="2" t="s">
        <v>79</v>
      </c>
      <c r="BJ48" s="2" t="s">
        <v>143</v>
      </c>
      <c r="BK48" s="2" t="s">
        <v>902</v>
      </c>
      <c r="BL48" s="2" t="s">
        <v>79</v>
      </c>
      <c r="BM48" s="2" t="s">
        <v>109</v>
      </c>
    </row>
    <row r="49" spans="1:65" ht="409.5" x14ac:dyDescent="0.25">
      <c r="A49" s="2" t="s">
        <v>903</v>
      </c>
      <c r="B49" s="2">
        <v>2021</v>
      </c>
      <c r="C49" s="2" t="s">
        <v>189</v>
      </c>
      <c r="D49" s="2" t="s">
        <v>79</v>
      </c>
      <c r="E49" s="2" t="s">
        <v>79</v>
      </c>
      <c r="F49" s="2" t="s">
        <v>79</v>
      </c>
      <c r="G49" s="2" t="s">
        <v>79</v>
      </c>
      <c r="H49" s="2" t="s">
        <v>79</v>
      </c>
      <c r="I49" s="2" t="s">
        <v>79</v>
      </c>
      <c r="J49" s="2" t="s">
        <v>904</v>
      </c>
      <c r="K49" s="2" t="s">
        <v>92</v>
      </c>
      <c r="L49" s="2" t="s">
        <v>906</v>
      </c>
      <c r="M49" s="2" t="s">
        <v>907</v>
      </c>
      <c r="N49" s="2" t="s">
        <v>842</v>
      </c>
      <c r="O49" s="2" t="s">
        <v>79</v>
      </c>
      <c r="P49" s="2" t="s">
        <v>116</v>
      </c>
      <c r="Q49" s="2" t="s">
        <v>908</v>
      </c>
      <c r="R49" s="2"/>
      <c r="S49" s="2" t="s">
        <v>155</v>
      </c>
      <c r="T49" s="2" t="s">
        <v>80</v>
      </c>
      <c r="U49" s="2"/>
      <c r="V49" s="2" t="s">
        <v>92</v>
      </c>
      <c r="W49" s="2" t="s">
        <v>909</v>
      </c>
      <c r="X49" s="2" t="s">
        <v>910</v>
      </c>
      <c r="Y49" s="2" t="s">
        <v>95</v>
      </c>
      <c r="Z49" s="2" t="s">
        <v>911</v>
      </c>
      <c r="AA49" s="2" t="s">
        <v>912</v>
      </c>
      <c r="AB49" s="2" t="s">
        <v>80</v>
      </c>
      <c r="AC49" s="2"/>
      <c r="AD49" s="2"/>
      <c r="AE49" s="2"/>
      <c r="AF49" s="2" t="s">
        <v>79</v>
      </c>
      <c r="AG49" s="2" t="s">
        <v>913</v>
      </c>
      <c r="AH49" s="2" t="s">
        <v>905</v>
      </c>
      <c r="AI49" s="2" t="s">
        <v>82</v>
      </c>
      <c r="AJ49" s="2">
        <v>8.5</v>
      </c>
      <c r="AK49" s="2" t="s">
        <v>84</v>
      </c>
      <c r="AL49" s="2" t="s">
        <v>84</v>
      </c>
      <c r="AM49" s="2" t="s">
        <v>84</v>
      </c>
      <c r="AN49" s="2" t="s">
        <v>84</v>
      </c>
      <c r="AO49" s="2" t="s">
        <v>84</v>
      </c>
      <c r="AP49" s="2" t="s">
        <v>84</v>
      </c>
      <c r="AQ49" s="2" t="s">
        <v>84</v>
      </c>
      <c r="AR49" s="2" t="s">
        <v>86</v>
      </c>
      <c r="AS49" s="2" t="s">
        <v>84</v>
      </c>
      <c r="AT49" s="2" t="s">
        <v>85</v>
      </c>
      <c r="AU49" s="2" t="s">
        <v>80</v>
      </c>
      <c r="AV49" s="2" t="s">
        <v>80</v>
      </c>
      <c r="AW49" s="2"/>
      <c r="AX49" s="2" t="s">
        <v>80</v>
      </c>
      <c r="AY49" s="2" t="s">
        <v>914</v>
      </c>
      <c r="AZ49" s="2" t="s">
        <v>100</v>
      </c>
      <c r="BA49" s="2" t="s">
        <v>915</v>
      </c>
      <c r="BB49" s="2" t="s">
        <v>286</v>
      </c>
      <c r="BC49" s="2" t="s">
        <v>79</v>
      </c>
      <c r="BD49" s="2" t="s">
        <v>287</v>
      </c>
      <c r="BE49" s="2" t="s">
        <v>916</v>
      </c>
      <c r="BF49" s="2" t="s">
        <v>856</v>
      </c>
      <c r="BG49" s="2" t="s">
        <v>917</v>
      </c>
      <c r="BH49" s="2" t="s">
        <v>92</v>
      </c>
      <c r="BI49" s="2" t="s">
        <v>79</v>
      </c>
      <c r="BJ49" s="2" t="s">
        <v>107</v>
      </c>
      <c r="BK49" s="2" t="s">
        <v>918</v>
      </c>
      <c r="BL49" s="2" t="s">
        <v>79</v>
      </c>
      <c r="BM49" s="2" t="s">
        <v>109</v>
      </c>
    </row>
    <row r="50" spans="1:65" ht="409.5" x14ac:dyDescent="0.25">
      <c r="A50" s="2" t="s">
        <v>919</v>
      </c>
      <c r="B50" s="2">
        <v>2021</v>
      </c>
      <c r="C50" s="2" t="s">
        <v>111</v>
      </c>
      <c r="D50" s="2" t="s">
        <v>79</v>
      </c>
      <c r="E50" s="2" t="s">
        <v>79</v>
      </c>
      <c r="F50" s="2" t="s">
        <v>79</v>
      </c>
      <c r="G50" s="2" t="s">
        <v>79</v>
      </c>
      <c r="H50" s="2" t="s">
        <v>79</v>
      </c>
      <c r="I50" s="2" t="s">
        <v>79</v>
      </c>
      <c r="J50" s="2" t="s">
        <v>502</v>
      </c>
      <c r="K50" s="2" t="s">
        <v>92</v>
      </c>
      <c r="L50" s="2" t="s">
        <v>921</v>
      </c>
      <c r="M50" s="2" t="s">
        <v>922</v>
      </c>
      <c r="N50" s="2" t="s">
        <v>842</v>
      </c>
      <c r="O50" s="2" t="s">
        <v>79</v>
      </c>
      <c r="P50" s="2" t="s">
        <v>116</v>
      </c>
      <c r="Q50" s="2" t="s">
        <v>923</v>
      </c>
      <c r="R50" s="2" t="s">
        <v>143</v>
      </c>
      <c r="S50" s="2" t="s">
        <v>924</v>
      </c>
      <c r="T50" s="2" t="s">
        <v>79</v>
      </c>
      <c r="U50" s="2" t="s">
        <v>925</v>
      </c>
      <c r="V50" s="2" t="s">
        <v>92</v>
      </c>
      <c r="W50" s="2" t="s">
        <v>465</v>
      </c>
      <c r="X50" s="2" t="s">
        <v>926</v>
      </c>
      <c r="Y50" s="2" t="s">
        <v>95</v>
      </c>
      <c r="Z50" s="2" t="s">
        <v>927</v>
      </c>
      <c r="AA50" s="2" t="s">
        <v>928</v>
      </c>
      <c r="AB50" s="2" t="s">
        <v>80</v>
      </c>
      <c r="AC50" s="2"/>
      <c r="AD50" s="2"/>
      <c r="AE50" s="2"/>
      <c r="AF50" s="2" t="s">
        <v>79</v>
      </c>
      <c r="AG50" s="2" t="s">
        <v>929</v>
      </c>
      <c r="AH50" s="2" t="s">
        <v>920</v>
      </c>
      <c r="AI50" s="2" t="s">
        <v>82</v>
      </c>
      <c r="AJ50" s="2">
        <v>9</v>
      </c>
      <c r="AK50" s="2" t="s">
        <v>84</v>
      </c>
      <c r="AL50" s="2" t="s">
        <v>84</v>
      </c>
      <c r="AM50" s="2" t="s">
        <v>84</v>
      </c>
      <c r="AN50" s="2" t="s">
        <v>84</v>
      </c>
      <c r="AO50" s="2" t="s">
        <v>84</v>
      </c>
      <c r="AP50" s="2" t="s">
        <v>84</v>
      </c>
      <c r="AQ50" s="2" t="s">
        <v>85</v>
      </c>
      <c r="AR50" s="2" t="s">
        <v>84</v>
      </c>
      <c r="AS50" s="2" t="s">
        <v>84</v>
      </c>
      <c r="AT50" s="2" t="s">
        <v>85</v>
      </c>
      <c r="AU50" s="2" t="s">
        <v>79</v>
      </c>
      <c r="AV50" s="2" t="s">
        <v>79</v>
      </c>
      <c r="AW50" s="2" t="s">
        <v>930</v>
      </c>
      <c r="AX50" s="2" t="s">
        <v>106</v>
      </c>
      <c r="AY50" s="2" t="s">
        <v>931</v>
      </c>
      <c r="AZ50" s="2" t="s">
        <v>100</v>
      </c>
      <c r="BA50" s="2" t="s">
        <v>932</v>
      </c>
      <c r="BB50" s="2" t="s">
        <v>709</v>
      </c>
      <c r="BC50" s="2" t="s">
        <v>79</v>
      </c>
      <c r="BD50" s="2" t="s">
        <v>287</v>
      </c>
      <c r="BE50" s="2" t="s">
        <v>933</v>
      </c>
      <c r="BF50" s="2" t="s">
        <v>856</v>
      </c>
      <c r="BG50" s="2"/>
      <c r="BH50" s="2" t="s">
        <v>80</v>
      </c>
      <c r="BI50" s="2" t="s">
        <v>79</v>
      </c>
      <c r="BJ50" s="2" t="s">
        <v>206</v>
      </c>
      <c r="BK50" s="2" t="s">
        <v>934</v>
      </c>
      <c r="BL50" s="2" t="s">
        <v>79</v>
      </c>
      <c r="BM50" s="2" t="s">
        <v>109</v>
      </c>
    </row>
    <row r="51" spans="1:65" ht="409.5" x14ac:dyDescent="0.25">
      <c r="A51" s="2" t="s">
        <v>935</v>
      </c>
      <c r="B51" s="2">
        <v>2023</v>
      </c>
      <c r="C51" s="2" t="s">
        <v>111</v>
      </c>
      <c r="D51" s="2" t="s">
        <v>79</v>
      </c>
      <c r="E51" s="2" t="s">
        <v>79</v>
      </c>
      <c r="F51" s="2" t="s">
        <v>79</v>
      </c>
      <c r="G51" s="2" t="s">
        <v>92</v>
      </c>
      <c r="H51" s="2" t="s">
        <v>79</v>
      </c>
      <c r="I51" s="2" t="s">
        <v>92</v>
      </c>
      <c r="J51" s="2" t="s">
        <v>936</v>
      </c>
      <c r="K51" s="2" t="s">
        <v>92</v>
      </c>
      <c r="L51" s="2" t="s">
        <v>938</v>
      </c>
      <c r="M51" s="2" t="s">
        <v>939</v>
      </c>
      <c r="N51" s="2" t="s">
        <v>89</v>
      </c>
      <c r="O51" s="2" t="s">
        <v>79</v>
      </c>
      <c r="P51" s="2" t="s">
        <v>116</v>
      </c>
      <c r="Q51" s="2" t="s">
        <v>940</v>
      </c>
      <c r="R51" s="2"/>
      <c r="S51" s="2" t="s">
        <v>155</v>
      </c>
      <c r="T51" s="2" t="s">
        <v>80</v>
      </c>
      <c r="U51" s="2"/>
      <c r="V51" s="2" t="s">
        <v>92</v>
      </c>
      <c r="W51" s="2" t="s">
        <v>279</v>
      </c>
      <c r="X51" s="2" t="s">
        <v>941</v>
      </c>
      <c r="Y51" s="2" t="s">
        <v>95</v>
      </c>
      <c r="Z51" s="2" t="s">
        <v>942</v>
      </c>
      <c r="AA51" s="2" t="s">
        <v>943</v>
      </c>
      <c r="AB51" s="2" t="s">
        <v>80</v>
      </c>
      <c r="AC51" s="2"/>
      <c r="AD51" s="2"/>
      <c r="AE51" s="2"/>
      <c r="AF51" s="2" t="s">
        <v>79</v>
      </c>
      <c r="AG51" s="2" t="s">
        <v>944</v>
      </c>
      <c r="AH51" s="2" t="s">
        <v>937</v>
      </c>
      <c r="AI51" s="2" t="s">
        <v>82</v>
      </c>
      <c r="AJ51" s="2">
        <v>8.5</v>
      </c>
      <c r="AK51" s="2" t="s">
        <v>84</v>
      </c>
      <c r="AL51" s="2" t="s">
        <v>84</v>
      </c>
      <c r="AM51" s="2" t="s">
        <v>84</v>
      </c>
      <c r="AN51" s="2" t="s">
        <v>84</v>
      </c>
      <c r="AO51" s="2" t="s">
        <v>84</v>
      </c>
      <c r="AP51" s="2" t="s">
        <v>84</v>
      </c>
      <c r="AQ51" s="2" t="s">
        <v>84</v>
      </c>
      <c r="AR51" s="2" t="s">
        <v>86</v>
      </c>
      <c r="AS51" s="2" t="s">
        <v>84</v>
      </c>
      <c r="AT51" s="2" t="s">
        <v>85</v>
      </c>
      <c r="AU51" s="2" t="s">
        <v>106</v>
      </c>
      <c r="AV51" s="2" t="s">
        <v>80</v>
      </c>
      <c r="AW51" s="2"/>
      <c r="AX51" s="2" t="s">
        <v>80</v>
      </c>
      <c r="AY51" s="2" t="s">
        <v>945</v>
      </c>
      <c r="AZ51" s="2" t="s">
        <v>100</v>
      </c>
      <c r="BA51" s="2" t="s">
        <v>946</v>
      </c>
      <c r="BB51" s="2" t="s">
        <v>286</v>
      </c>
      <c r="BC51" s="2" t="s">
        <v>79</v>
      </c>
      <c r="BD51" s="2" t="s">
        <v>854</v>
      </c>
      <c r="BE51" s="2" t="s">
        <v>947</v>
      </c>
      <c r="BF51" s="2" t="s">
        <v>153</v>
      </c>
      <c r="BG51" s="2" t="s">
        <v>948</v>
      </c>
      <c r="BH51" s="2" t="s">
        <v>92</v>
      </c>
      <c r="BI51" s="2" t="s">
        <v>79</v>
      </c>
      <c r="BJ51" s="2" t="s">
        <v>107</v>
      </c>
      <c r="BK51" s="2" t="s">
        <v>949</v>
      </c>
      <c r="BL51" s="2" t="s">
        <v>79</v>
      </c>
      <c r="BM51" s="2" t="s">
        <v>109</v>
      </c>
    </row>
    <row r="52" spans="1:65" ht="409.5" x14ac:dyDescent="0.25">
      <c r="A52" s="2" t="s">
        <v>950</v>
      </c>
      <c r="B52" s="2">
        <v>2022</v>
      </c>
      <c r="C52" s="2" t="s">
        <v>111</v>
      </c>
      <c r="D52" s="2" t="s">
        <v>79</v>
      </c>
      <c r="E52" s="2" t="s">
        <v>79</v>
      </c>
      <c r="F52" s="2" t="s">
        <v>79</v>
      </c>
      <c r="G52" s="2" t="s">
        <v>92</v>
      </c>
      <c r="H52" s="2" t="s">
        <v>79</v>
      </c>
      <c r="I52" s="2" t="s">
        <v>92</v>
      </c>
      <c r="J52" s="2" t="s">
        <v>951</v>
      </c>
      <c r="K52" s="2" t="s">
        <v>79</v>
      </c>
      <c r="L52" s="2" t="s">
        <v>953</v>
      </c>
      <c r="M52" s="2" t="s">
        <v>954</v>
      </c>
      <c r="N52" s="2" t="s">
        <v>143</v>
      </c>
      <c r="O52" s="2" t="s">
        <v>79</v>
      </c>
      <c r="P52" s="2" t="s">
        <v>90</v>
      </c>
      <c r="Q52" s="2" t="s">
        <v>955</v>
      </c>
      <c r="R52" s="2"/>
      <c r="S52" s="2" t="s">
        <v>155</v>
      </c>
      <c r="T52" s="2" t="s">
        <v>80</v>
      </c>
      <c r="U52" s="2"/>
      <c r="V52" s="2" t="s">
        <v>92</v>
      </c>
      <c r="W52" s="2" t="s">
        <v>956</v>
      </c>
      <c r="X52" s="2" t="s">
        <v>957</v>
      </c>
      <c r="Y52" s="2" t="s">
        <v>95</v>
      </c>
      <c r="Z52" s="2" t="s">
        <v>958</v>
      </c>
      <c r="AA52" s="2" t="s">
        <v>959</v>
      </c>
      <c r="AB52" s="2" t="s">
        <v>80</v>
      </c>
      <c r="AC52" s="2"/>
      <c r="AD52" s="2"/>
      <c r="AE52" s="2"/>
      <c r="AF52" s="2" t="s">
        <v>79</v>
      </c>
      <c r="AG52" s="2" t="s">
        <v>960</v>
      </c>
      <c r="AH52" s="2" t="s">
        <v>952</v>
      </c>
      <c r="AI52" s="2" t="s">
        <v>82</v>
      </c>
      <c r="AJ52" s="2">
        <v>8.5</v>
      </c>
      <c r="AK52" s="2" t="s">
        <v>84</v>
      </c>
      <c r="AL52" s="2" t="s">
        <v>84</v>
      </c>
      <c r="AM52" s="2" t="s">
        <v>84</v>
      </c>
      <c r="AN52" s="2" t="s">
        <v>84</v>
      </c>
      <c r="AO52" s="2" t="s">
        <v>84</v>
      </c>
      <c r="AP52" s="2" t="s">
        <v>84</v>
      </c>
      <c r="AQ52" s="2" t="s">
        <v>84</v>
      </c>
      <c r="AR52" s="2" t="s">
        <v>86</v>
      </c>
      <c r="AS52" s="2" t="s">
        <v>84</v>
      </c>
      <c r="AT52" s="2" t="s">
        <v>85</v>
      </c>
      <c r="AU52" s="2" t="s">
        <v>106</v>
      </c>
      <c r="AV52" s="2" t="s">
        <v>80</v>
      </c>
      <c r="AW52" s="2"/>
      <c r="AX52" s="2" t="s">
        <v>80</v>
      </c>
      <c r="AY52" s="2" t="s">
        <v>961</v>
      </c>
      <c r="AZ52" s="2" t="s">
        <v>100</v>
      </c>
      <c r="BA52" s="2" t="s">
        <v>962</v>
      </c>
      <c r="BB52" s="2" t="s">
        <v>963</v>
      </c>
      <c r="BC52" s="2" t="s">
        <v>79</v>
      </c>
      <c r="BD52" s="2" t="s">
        <v>964</v>
      </c>
      <c r="BE52" s="2" t="s">
        <v>965</v>
      </c>
      <c r="BF52" s="2" t="s">
        <v>758</v>
      </c>
      <c r="BG52" s="2" t="s">
        <v>966</v>
      </c>
      <c r="BH52" s="2" t="s">
        <v>79</v>
      </c>
      <c r="BI52" s="2" t="s">
        <v>79</v>
      </c>
      <c r="BJ52" s="2" t="s">
        <v>429</v>
      </c>
      <c r="BK52" s="2" t="s">
        <v>967</v>
      </c>
      <c r="BL52" s="2" t="s">
        <v>79</v>
      </c>
      <c r="BM52" s="2" t="s">
        <v>109</v>
      </c>
    </row>
    <row r="53" spans="1:65" ht="409.5" x14ac:dyDescent="0.25">
      <c r="A53" s="2" t="s">
        <v>968</v>
      </c>
      <c r="B53" s="2">
        <v>2022</v>
      </c>
      <c r="C53" s="2" t="s">
        <v>143</v>
      </c>
      <c r="D53" s="2" t="s">
        <v>79</v>
      </c>
      <c r="E53" s="2" t="s">
        <v>79</v>
      </c>
      <c r="F53" s="2" t="s">
        <v>79</v>
      </c>
      <c r="G53" s="2" t="s">
        <v>92</v>
      </c>
      <c r="H53" s="2" t="s">
        <v>79</v>
      </c>
      <c r="I53" s="2" t="s">
        <v>79</v>
      </c>
      <c r="J53" s="2" t="s">
        <v>951</v>
      </c>
      <c r="K53" s="2" t="s">
        <v>80</v>
      </c>
      <c r="L53" s="2" t="s">
        <v>970</v>
      </c>
      <c r="M53" s="2" t="s">
        <v>971</v>
      </c>
      <c r="N53" s="2" t="s">
        <v>143</v>
      </c>
      <c r="O53" s="2" t="s">
        <v>80</v>
      </c>
      <c r="P53" s="2" t="s">
        <v>90</v>
      </c>
      <c r="Q53" s="2" t="s">
        <v>972</v>
      </c>
      <c r="R53" s="2" t="s">
        <v>276</v>
      </c>
      <c r="S53" s="2" t="s">
        <v>973</v>
      </c>
      <c r="T53" s="2" t="s">
        <v>79</v>
      </c>
      <c r="U53" s="2" t="s">
        <v>974</v>
      </c>
      <c r="V53" s="2" t="s">
        <v>92</v>
      </c>
      <c r="W53" s="2" t="s">
        <v>734</v>
      </c>
      <c r="X53" s="2" t="s">
        <v>975</v>
      </c>
      <c r="Y53" s="2" t="s">
        <v>95</v>
      </c>
      <c r="Z53" s="2" t="s">
        <v>976</v>
      </c>
      <c r="AA53" s="2" t="s">
        <v>977</v>
      </c>
      <c r="AB53" s="2" t="s">
        <v>80</v>
      </c>
      <c r="AC53" s="2"/>
      <c r="AD53" s="2"/>
      <c r="AE53" s="2"/>
      <c r="AF53" s="2" t="s">
        <v>79</v>
      </c>
      <c r="AG53" s="2" t="s">
        <v>978</v>
      </c>
      <c r="AH53" s="2" t="s">
        <v>969</v>
      </c>
      <c r="AI53" s="2" t="s">
        <v>82</v>
      </c>
      <c r="AJ53" s="2">
        <v>8.5</v>
      </c>
      <c r="AK53" s="2" t="s">
        <v>84</v>
      </c>
      <c r="AL53" s="2" t="s">
        <v>84</v>
      </c>
      <c r="AM53" s="2" t="s">
        <v>84</v>
      </c>
      <c r="AN53" s="2" t="s">
        <v>86</v>
      </c>
      <c r="AO53" s="2" t="s">
        <v>84</v>
      </c>
      <c r="AP53" s="2" t="s">
        <v>84</v>
      </c>
      <c r="AQ53" s="2" t="s">
        <v>84</v>
      </c>
      <c r="AR53" s="2" t="s">
        <v>84</v>
      </c>
      <c r="AS53" s="2" t="s">
        <v>85</v>
      </c>
      <c r="AT53" s="2" t="s">
        <v>84</v>
      </c>
      <c r="AU53" s="2" t="s">
        <v>106</v>
      </c>
      <c r="AV53" s="2" t="s">
        <v>80</v>
      </c>
      <c r="AW53" s="2"/>
      <c r="AX53" s="2" t="s">
        <v>80</v>
      </c>
      <c r="AY53" s="2" t="s">
        <v>979</v>
      </c>
      <c r="AZ53" s="2" t="s">
        <v>303</v>
      </c>
      <c r="BA53" s="2" t="s">
        <v>980</v>
      </c>
      <c r="BB53" s="2" t="s">
        <v>514</v>
      </c>
      <c r="BC53" s="2" t="s">
        <v>79</v>
      </c>
      <c r="BD53" s="2" t="s">
        <v>981</v>
      </c>
      <c r="BE53" s="2" t="s">
        <v>982</v>
      </c>
      <c r="BF53" s="2" t="s">
        <v>648</v>
      </c>
      <c r="BG53" s="2"/>
      <c r="BH53" s="2" t="s">
        <v>80</v>
      </c>
      <c r="BI53" s="2" t="s">
        <v>79</v>
      </c>
      <c r="BJ53" s="2" t="s">
        <v>143</v>
      </c>
      <c r="BK53" s="2" t="s">
        <v>983</v>
      </c>
      <c r="BL53" s="2" t="s">
        <v>79</v>
      </c>
      <c r="BM53" s="2" t="s">
        <v>172</v>
      </c>
    </row>
    <row r="54" spans="1:65" ht="409.5" x14ac:dyDescent="0.25">
      <c r="A54" s="2" t="s">
        <v>984</v>
      </c>
      <c r="B54" s="2">
        <v>2022</v>
      </c>
      <c r="C54" s="2" t="s">
        <v>111</v>
      </c>
      <c r="D54" s="2" t="s">
        <v>79</v>
      </c>
      <c r="E54" s="2" t="s">
        <v>79</v>
      </c>
      <c r="F54" s="2" t="s">
        <v>79</v>
      </c>
      <c r="G54" s="2" t="s">
        <v>92</v>
      </c>
      <c r="H54" s="2" t="s">
        <v>79</v>
      </c>
      <c r="I54" s="2" t="s">
        <v>92</v>
      </c>
      <c r="J54" s="2" t="s">
        <v>985</v>
      </c>
      <c r="K54" s="2" t="s">
        <v>92</v>
      </c>
      <c r="L54" s="2" t="s">
        <v>987</v>
      </c>
      <c r="M54" s="2" t="s">
        <v>988</v>
      </c>
      <c r="N54" s="2" t="s">
        <v>89</v>
      </c>
      <c r="O54" s="2" t="s">
        <v>79</v>
      </c>
      <c r="P54" s="2" t="s">
        <v>116</v>
      </c>
      <c r="Q54" s="2" t="s">
        <v>989</v>
      </c>
      <c r="R54" s="2"/>
      <c r="S54" s="2" t="s">
        <v>155</v>
      </c>
      <c r="T54" s="2" t="s">
        <v>80</v>
      </c>
      <c r="U54" s="2"/>
      <c r="V54" s="2" t="s">
        <v>92</v>
      </c>
      <c r="W54" s="2" t="s">
        <v>465</v>
      </c>
      <c r="X54" s="2" t="s">
        <v>990</v>
      </c>
      <c r="Y54" s="2" t="s">
        <v>95</v>
      </c>
      <c r="Z54" s="2" t="s">
        <v>991</v>
      </c>
      <c r="AA54" s="2" t="s">
        <v>992</v>
      </c>
      <c r="AB54" s="2" t="s">
        <v>80</v>
      </c>
      <c r="AC54" s="2"/>
      <c r="AD54" s="2"/>
      <c r="AE54" s="2"/>
      <c r="AF54" s="2" t="s">
        <v>79</v>
      </c>
      <c r="AG54" s="2" t="s">
        <v>993</v>
      </c>
      <c r="AH54" s="2" t="s">
        <v>986</v>
      </c>
      <c r="AI54" s="2" t="s">
        <v>82</v>
      </c>
      <c r="AJ54" s="2">
        <v>8.5</v>
      </c>
      <c r="AK54" s="2" t="s">
        <v>84</v>
      </c>
      <c r="AL54" s="2" t="s">
        <v>84</v>
      </c>
      <c r="AM54" s="2" t="s">
        <v>84</v>
      </c>
      <c r="AN54" s="2" t="s">
        <v>84</v>
      </c>
      <c r="AO54" s="2" t="s">
        <v>84</v>
      </c>
      <c r="AP54" s="2" t="s">
        <v>84</v>
      </c>
      <c r="AQ54" s="2" t="s">
        <v>84</v>
      </c>
      <c r="AR54" s="2" t="s">
        <v>86</v>
      </c>
      <c r="AS54" s="2" t="s">
        <v>84</v>
      </c>
      <c r="AT54" s="2" t="s">
        <v>85</v>
      </c>
      <c r="AU54" s="2" t="s">
        <v>106</v>
      </c>
      <c r="AV54" s="2" t="s">
        <v>80</v>
      </c>
      <c r="AW54" s="2"/>
      <c r="AX54" s="2" t="s">
        <v>80</v>
      </c>
      <c r="AY54" s="2" t="s">
        <v>994</v>
      </c>
      <c r="AZ54" s="2" t="s">
        <v>100</v>
      </c>
      <c r="BA54" s="2" t="s">
        <v>995</v>
      </c>
      <c r="BB54" s="2" t="s">
        <v>286</v>
      </c>
      <c r="BC54" s="2" t="s">
        <v>79</v>
      </c>
      <c r="BD54" s="2" t="s">
        <v>203</v>
      </c>
      <c r="BE54" s="2" t="s">
        <v>996</v>
      </c>
      <c r="BF54" s="2" t="s">
        <v>153</v>
      </c>
      <c r="BG54" s="2" t="s">
        <v>997</v>
      </c>
      <c r="BH54" s="2" t="s">
        <v>92</v>
      </c>
      <c r="BI54" s="2" t="s">
        <v>79</v>
      </c>
      <c r="BJ54" s="2" t="s">
        <v>107</v>
      </c>
      <c r="BK54" s="2" t="s">
        <v>998</v>
      </c>
      <c r="BL54" s="2" t="s">
        <v>79</v>
      </c>
      <c r="BM54" s="2" t="s">
        <v>109</v>
      </c>
    </row>
    <row r="55" spans="1:65" ht="409.5" x14ac:dyDescent="0.25">
      <c r="A55" s="2" t="s">
        <v>999</v>
      </c>
      <c r="B55" s="2">
        <v>2022</v>
      </c>
      <c r="C55" s="2" t="s">
        <v>111</v>
      </c>
      <c r="D55" s="2" t="s">
        <v>79</v>
      </c>
      <c r="E55" s="2" t="s">
        <v>79</v>
      </c>
      <c r="F55" s="2" t="s">
        <v>79</v>
      </c>
      <c r="G55" s="2" t="s">
        <v>92</v>
      </c>
      <c r="H55" s="2" t="s">
        <v>79</v>
      </c>
      <c r="I55" s="2" t="s">
        <v>79</v>
      </c>
      <c r="J55" s="2" t="s">
        <v>1000</v>
      </c>
      <c r="K55" s="2" t="s">
        <v>92</v>
      </c>
      <c r="L55" s="2" t="s">
        <v>1002</v>
      </c>
      <c r="M55" s="2" t="s">
        <v>1003</v>
      </c>
      <c r="N55" s="2" t="s">
        <v>143</v>
      </c>
      <c r="O55" s="2" t="s">
        <v>106</v>
      </c>
      <c r="P55" s="2" t="s">
        <v>90</v>
      </c>
      <c r="Q55" s="2" t="s">
        <v>1004</v>
      </c>
      <c r="R55" s="2" t="s">
        <v>1005</v>
      </c>
      <c r="S55" s="2" t="s">
        <v>1006</v>
      </c>
      <c r="T55" s="2" t="s">
        <v>79</v>
      </c>
      <c r="U55" s="2" t="s">
        <v>1007</v>
      </c>
      <c r="V55" s="2" t="s">
        <v>92</v>
      </c>
      <c r="W55" s="2" t="s">
        <v>1008</v>
      </c>
      <c r="X55" s="2" t="s">
        <v>1009</v>
      </c>
      <c r="Y55" s="2" t="s">
        <v>95</v>
      </c>
      <c r="Z55" s="2" t="s">
        <v>1010</v>
      </c>
      <c r="AA55" s="2" t="s">
        <v>1011</v>
      </c>
      <c r="AB55" s="2" t="s">
        <v>80</v>
      </c>
      <c r="AC55" s="2"/>
      <c r="AD55" s="2"/>
      <c r="AE55" s="2"/>
      <c r="AF55" s="2" t="s">
        <v>79</v>
      </c>
      <c r="AG55" s="2" t="s">
        <v>1012</v>
      </c>
      <c r="AH55" s="2" t="s">
        <v>1001</v>
      </c>
      <c r="AI55" s="2" t="s">
        <v>82</v>
      </c>
      <c r="AJ55" s="2">
        <v>8.5</v>
      </c>
      <c r="AK55" s="2" t="s">
        <v>84</v>
      </c>
      <c r="AL55" s="2" t="s">
        <v>84</v>
      </c>
      <c r="AM55" s="2" t="s">
        <v>84</v>
      </c>
      <c r="AN55" s="2" t="s">
        <v>86</v>
      </c>
      <c r="AO55" s="2" t="s">
        <v>84</v>
      </c>
      <c r="AP55" s="2" t="s">
        <v>84</v>
      </c>
      <c r="AQ55" s="2" t="s">
        <v>84</v>
      </c>
      <c r="AR55" s="2" t="s">
        <v>84</v>
      </c>
      <c r="AS55" s="2" t="s">
        <v>85</v>
      </c>
      <c r="AT55" s="2" t="s">
        <v>84</v>
      </c>
      <c r="AU55" s="2" t="s">
        <v>106</v>
      </c>
      <c r="AV55" s="2" t="s">
        <v>79</v>
      </c>
      <c r="AW55" s="2" t="s">
        <v>1013</v>
      </c>
      <c r="AX55" s="2" t="s">
        <v>106</v>
      </c>
      <c r="AY55" s="2" t="s">
        <v>1014</v>
      </c>
      <c r="AZ55" s="2" t="s">
        <v>303</v>
      </c>
      <c r="BA55" s="2" t="s">
        <v>1015</v>
      </c>
      <c r="BB55" s="2" t="s">
        <v>709</v>
      </c>
      <c r="BC55" s="2" t="s">
        <v>79</v>
      </c>
      <c r="BD55" s="2" t="s">
        <v>1016</v>
      </c>
      <c r="BE55" s="2" t="s">
        <v>1017</v>
      </c>
      <c r="BF55" s="2" t="s">
        <v>153</v>
      </c>
      <c r="BG55" s="2" t="s">
        <v>1018</v>
      </c>
      <c r="BH55" s="2" t="s">
        <v>92</v>
      </c>
      <c r="BI55" s="2" t="s">
        <v>79</v>
      </c>
      <c r="BJ55" s="2" t="s">
        <v>143</v>
      </c>
      <c r="BK55" s="2" t="s">
        <v>1019</v>
      </c>
      <c r="BL55" s="2" t="s">
        <v>79</v>
      </c>
      <c r="BM55" s="2" t="s">
        <v>109</v>
      </c>
    </row>
    <row r="56" spans="1:65" ht="409.5" x14ac:dyDescent="0.25">
      <c r="A56" s="2" t="s">
        <v>1020</v>
      </c>
      <c r="B56" s="2">
        <v>2022</v>
      </c>
      <c r="C56" s="2" t="s">
        <v>143</v>
      </c>
      <c r="D56" s="2" t="s">
        <v>79</v>
      </c>
      <c r="E56" s="2" t="s">
        <v>79</v>
      </c>
      <c r="F56" s="2" t="s">
        <v>79</v>
      </c>
      <c r="G56" s="2" t="s">
        <v>92</v>
      </c>
      <c r="H56" s="2" t="s">
        <v>79</v>
      </c>
      <c r="I56" s="2" t="s">
        <v>79</v>
      </c>
      <c r="J56" s="2" t="s">
        <v>1021</v>
      </c>
      <c r="K56" s="2" t="s">
        <v>80</v>
      </c>
      <c r="L56" s="2" t="s">
        <v>1023</v>
      </c>
      <c r="M56" s="2" t="s">
        <v>1024</v>
      </c>
      <c r="N56" s="2" t="s">
        <v>478</v>
      </c>
      <c r="O56" s="2" t="s">
        <v>80</v>
      </c>
      <c r="P56" s="2" t="s">
        <v>116</v>
      </c>
      <c r="Q56" s="2" t="s">
        <v>1025</v>
      </c>
      <c r="R56" s="2"/>
      <c r="S56" s="2" t="s">
        <v>155</v>
      </c>
      <c r="T56" s="2" t="s">
        <v>80</v>
      </c>
      <c r="U56" s="2"/>
      <c r="V56" s="2" t="s">
        <v>92</v>
      </c>
      <c r="W56" s="2" t="s">
        <v>328</v>
      </c>
      <c r="X56" s="2" t="s">
        <v>1026</v>
      </c>
      <c r="Y56" s="2" t="s">
        <v>95</v>
      </c>
      <c r="Z56" s="2" t="s">
        <v>1027</v>
      </c>
      <c r="AA56" s="2" t="s">
        <v>1028</v>
      </c>
      <c r="AB56" s="2" t="s">
        <v>80</v>
      </c>
      <c r="AC56" s="2"/>
      <c r="AD56" s="2"/>
      <c r="AE56" s="2"/>
      <c r="AF56" s="2" t="s">
        <v>79</v>
      </c>
      <c r="AG56" s="2" t="s">
        <v>1029</v>
      </c>
      <c r="AH56" s="2" t="s">
        <v>1022</v>
      </c>
      <c r="AI56" s="2" t="s">
        <v>82</v>
      </c>
      <c r="AJ56" s="2">
        <v>8.5</v>
      </c>
      <c r="AK56" s="2" t="s">
        <v>84</v>
      </c>
      <c r="AL56" s="2" t="s">
        <v>84</v>
      </c>
      <c r="AM56" s="2" t="s">
        <v>84</v>
      </c>
      <c r="AN56" s="2" t="s">
        <v>84</v>
      </c>
      <c r="AO56" s="2" t="s">
        <v>84</v>
      </c>
      <c r="AP56" s="2" t="s">
        <v>84</v>
      </c>
      <c r="AQ56" s="2" t="s">
        <v>85</v>
      </c>
      <c r="AR56" s="2" t="s">
        <v>86</v>
      </c>
      <c r="AS56" s="2" t="s">
        <v>84</v>
      </c>
      <c r="AT56" s="2" t="s">
        <v>84</v>
      </c>
      <c r="AU56" s="2" t="s">
        <v>106</v>
      </c>
      <c r="AV56" s="2" t="s">
        <v>79</v>
      </c>
      <c r="AW56" s="2" t="s">
        <v>1030</v>
      </c>
      <c r="AX56" s="2" t="s">
        <v>80</v>
      </c>
      <c r="AY56" s="2" t="s">
        <v>1031</v>
      </c>
      <c r="AZ56" s="2" t="s">
        <v>100</v>
      </c>
      <c r="BA56" s="2" t="s">
        <v>1032</v>
      </c>
      <c r="BB56" s="2" t="s">
        <v>286</v>
      </c>
      <c r="BC56" s="2" t="s">
        <v>79</v>
      </c>
      <c r="BD56" s="2" t="s">
        <v>287</v>
      </c>
      <c r="BE56" s="2" t="s">
        <v>1033</v>
      </c>
      <c r="BF56" s="2" t="s">
        <v>153</v>
      </c>
      <c r="BG56" s="2"/>
      <c r="BH56" s="2" t="s">
        <v>80</v>
      </c>
      <c r="BI56" s="2" t="s">
        <v>79</v>
      </c>
      <c r="BJ56" s="2" t="s">
        <v>206</v>
      </c>
      <c r="BK56" s="2" t="s">
        <v>1034</v>
      </c>
      <c r="BL56" s="2" t="s">
        <v>79</v>
      </c>
      <c r="BM56" s="2" t="s">
        <v>109</v>
      </c>
    </row>
    <row r="57" spans="1:65" ht="409.5" x14ac:dyDescent="0.25">
      <c r="A57" s="2" t="s">
        <v>1035</v>
      </c>
      <c r="B57" s="2">
        <v>2025</v>
      </c>
      <c r="C57" s="2" t="s">
        <v>143</v>
      </c>
      <c r="D57" s="2" t="s">
        <v>79</v>
      </c>
      <c r="E57" s="2" t="s">
        <v>79</v>
      </c>
      <c r="F57" s="2" t="s">
        <v>79</v>
      </c>
      <c r="G57" s="2" t="s">
        <v>92</v>
      </c>
      <c r="H57" s="2" t="s">
        <v>79</v>
      </c>
      <c r="I57" s="2" t="s">
        <v>79</v>
      </c>
      <c r="J57" s="2" t="s">
        <v>1036</v>
      </c>
      <c r="K57" s="2" t="s">
        <v>92</v>
      </c>
      <c r="L57" s="2" t="s">
        <v>1038</v>
      </c>
      <c r="M57" s="2" t="s">
        <v>1039</v>
      </c>
      <c r="N57" s="2" t="s">
        <v>89</v>
      </c>
      <c r="O57" s="2" t="s">
        <v>79</v>
      </c>
      <c r="P57" s="2" t="s">
        <v>116</v>
      </c>
      <c r="Q57" s="2" t="s">
        <v>1040</v>
      </c>
      <c r="R57" s="2"/>
      <c r="S57" s="2" t="s">
        <v>155</v>
      </c>
      <c r="T57" s="2" t="s">
        <v>80</v>
      </c>
      <c r="U57" s="2"/>
      <c r="V57" s="2" t="s">
        <v>92</v>
      </c>
      <c r="W57" s="2" t="s">
        <v>279</v>
      </c>
      <c r="X57" s="2" t="s">
        <v>1041</v>
      </c>
      <c r="Y57" s="2" t="s">
        <v>95</v>
      </c>
      <c r="Z57" s="2" t="s">
        <v>1042</v>
      </c>
      <c r="AA57" s="2" t="s">
        <v>1043</v>
      </c>
      <c r="AB57" s="2" t="s">
        <v>80</v>
      </c>
      <c r="AC57" s="2"/>
      <c r="AD57" s="2"/>
      <c r="AE57" s="2"/>
      <c r="AF57" s="2" t="s">
        <v>79</v>
      </c>
      <c r="AG57" s="2" t="s">
        <v>1044</v>
      </c>
      <c r="AH57" s="2" t="s">
        <v>1037</v>
      </c>
      <c r="AI57" s="2" t="s">
        <v>82</v>
      </c>
      <c r="AJ57" s="2">
        <v>9</v>
      </c>
      <c r="AK57" s="2" t="s">
        <v>84</v>
      </c>
      <c r="AL57" s="2" t="s">
        <v>84</v>
      </c>
      <c r="AM57" s="2" t="s">
        <v>84</v>
      </c>
      <c r="AN57" s="2" t="s">
        <v>84</v>
      </c>
      <c r="AO57" s="2" t="s">
        <v>84</v>
      </c>
      <c r="AP57" s="2" t="s">
        <v>84</v>
      </c>
      <c r="AQ57" s="2" t="s">
        <v>84</v>
      </c>
      <c r="AR57" s="2" t="s">
        <v>86</v>
      </c>
      <c r="AS57" s="2" t="s">
        <v>84</v>
      </c>
      <c r="AT57" s="2" t="s">
        <v>84</v>
      </c>
      <c r="AU57" s="2" t="s">
        <v>106</v>
      </c>
      <c r="AV57" s="2" t="s">
        <v>79</v>
      </c>
      <c r="AW57" s="2" t="s">
        <v>1045</v>
      </c>
      <c r="AX57" s="2" t="s">
        <v>106</v>
      </c>
      <c r="AY57" s="2" t="s">
        <v>1046</v>
      </c>
      <c r="AZ57" s="2" t="s">
        <v>100</v>
      </c>
      <c r="BA57" s="2" t="s">
        <v>1047</v>
      </c>
      <c r="BB57" s="2" t="s">
        <v>709</v>
      </c>
      <c r="BC57" s="2" t="s">
        <v>79</v>
      </c>
      <c r="BD57" s="2" t="s">
        <v>1016</v>
      </c>
      <c r="BE57" s="2" t="s">
        <v>1048</v>
      </c>
      <c r="BF57" s="2" t="s">
        <v>153</v>
      </c>
      <c r="BG57" s="2" t="s">
        <v>1049</v>
      </c>
      <c r="BH57" s="2" t="s">
        <v>92</v>
      </c>
      <c r="BI57" s="2" t="s">
        <v>79</v>
      </c>
      <c r="BJ57" s="2" t="s">
        <v>206</v>
      </c>
      <c r="BK57" s="2" t="s">
        <v>1050</v>
      </c>
      <c r="BL57" s="2" t="s">
        <v>79</v>
      </c>
      <c r="BM57" s="2" t="s">
        <v>172</v>
      </c>
    </row>
    <row r="58" spans="1:65" ht="409.5" x14ac:dyDescent="0.25">
      <c r="A58" s="2" t="s">
        <v>1051</v>
      </c>
      <c r="B58" s="2">
        <v>2022</v>
      </c>
      <c r="C58" s="2" t="s">
        <v>111</v>
      </c>
      <c r="D58" s="2" t="s">
        <v>79</v>
      </c>
      <c r="E58" s="2" t="s">
        <v>79</v>
      </c>
      <c r="F58" s="2" t="s">
        <v>79</v>
      </c>
      <c r="G58" s="2" t="s">
        <v>92</v>
      </c>
      <c r="H58" s="2" t="s">
        <v>79</v>
      </c>
      <c r="I58" s="2" t="s">
        <v>92</v>
      </c>
      <c r="J58" s="2" t="s">
        <v>1052</v>
      </c>
      <c r="K58" s="2" t="s">
        <v>80</v>
      </c>
      <c r="L58" s="2" t="s">
        <v>1054</v>
      </c>
      <c r="M58" s="2" t="s">
        <v>1055</v>
      </c>
      <c r="N58" s="2" t="s">
        <v>842</v>
      </c>
      <c r="O58" s="2" t="s">
        <v>106</v>
      </c>
      <c r="P58" s="2" t="s">
        <v>116</v>
      </c>
      <c r="Q58" s="2" t="s">
        <v>1056</v>
      </c>
      <c r="R58" s="2"/>
      <c r="S58" s="2" t="s">
        <v>155</v>
      </c>
      <c r="T58" s="2" t="s">
        <v>80</v>
      </c>
      <c r="U58" s="2"/>
      <c r="V58" s="2" t="s">
        <v>92</v>
      </c>
      <c r="W58" s="2" t="s">
        <v>118</v>
      </c>
      <c r="X58" s="2" t="s">
        <v>1057</v>
      </c>
      <c r="Y58" s="2" t="s">
        <v>95</v>
      </c>
      <c r="Z58" s="2" t="s">
        <v>1058</v>
      </c>
      <c r="AA58" s="2" t="s">
        <v>1059</v>
      </c>
      <c r="AB58" s="2" t="s">
        <v>80</v>
      </c>
      <c r="AC58" s="2"/>
      <c r="AD58" s="2"/>
      <c r="AE58" s="2"/>
      <c r="AF58" s="2" t="s">
        <v>79</v>
      </c>
      <c r="AG58" s="2" t="s">
        <v>1060</v>
      </c>
      <c r="AH58" s="2" t="s">
        <v>1053</v>
      </c>
      <c r="AI58" s="2" t="s">
        <v>82</v>
      </c>
      <c r="AJ58" s="2">
        <v>9</v>
      </c>
      <c r="AK58" s="2" t="s">
        <v>84</v>
      </c>
      <c r="AL58" s="2" t="s">
        <v>84</v>
      </c>
      <c r="AM58" s="2" t="s">
        <v>84</v>
      </c>
      <c r="AN58" s="2" t="s">
        <v>84</v>
      </c>
      <c r="AO58" s="2" t="s">
        <v>84</v>
      </c>
      <c r="AP58" s="2" t="s">
        <v>84</v>
      </c>
      <c r="AQ58" s="2" t="s">
        <v>84</v>
      </c>
      <c r="AR58" s="2" t="s">
        <v>86</v>
      </c>
      <c r="AS58" s="2" t="s">
        <v>84</v>
      </c>
      <c r="AT58" s="2" t="s">
        <v>84</v>
      </c>
      <c r="AU58" s="2" t="s">
        <v>106</v>
      </c>
      <c r="AV58" s="2" t="s">
        <v>80</v>
      </c>
      <c r="AW58" s="2"/>
      <c r="AX58" s="2" t="s">
        <v>106</v>
      </c>
      <c r="AY58" s="2" t="s">
        <v>1061</v>
      </c>
      <c r="AZ58" s="2" t="s">
        <v>100</v>
      </c>
      <c r="BA58" s="2" t="s">
        <v>1062</v>
      </c>
      <c r="BB58" s="2" t="s">
        <v>143</v>
      </c>
      <c r="BC58" s="2" t="s">
        <v>79</v>
      </c>
      <c r="BD58" s="2" t="s">
        <v>1063</v>
      </c>
      <c r="BE58" s="2" t="s">
        <v>1064</v>
      </c>
      <c r="BF58" s="2" t="s">
        <v>856</v>
      </c>
      <c r="BG58" s="2"/>
      <c r="BH58" s="2" t="s">
        <v>80</v>
      </c>
      <c r="BI58" s="2" t="s">
        <v>79</v>
      </c>
      <c r="BJ58" s="2" t="s">
        <v>206</v>
      </c>
      <c r="BK58" s="2" t="s">
        <v>1065</v>
      </c>
      <c r="BL58" s="2" t="s">
        <v>79</v>
      </c>
      <c r="BM58" s="2" t="s">
        <v>172</v>
      </c>
    </row>
    <row r="59" spans="1:65" ht="409.5" x14ac:dyDescent="0.25">
      <c r="A59" s="2" t="s">
        <v>1066</v>
      </c>
      <c r="B59" s="2">
        <v>2023</v>
      </c>
      <c r="C59" s="2" t="s">
        <v>111</v>
      </c>
      <c r="D59" s="2" t="s">
        <v>79</v>
      </c>
      <c r="E59" s="2" t="s">
        <v>79</v>
      </c>
      <c r="F59" s="2" t="s">
        <v>79</v>
      </c>
      <c r="G59" s="2" t="s">
        <v>92</v>
      </c>
      <c r="H59" s="2" t="s">
        <v>79</v>
      </c>
      <c r="I59" s="2" t="s">
        <v>92</v>
      </c>
      <c r="J59" s="2" t="s">
        <v>838</v>
      </c>
      <c r="K59" s="2" t="s">
        <v>80</v>
      </c>
      <c r="L59" s="2" t="s">
        <v>1068</v>
      </c>
      <c r="M59" s="2" t="s">
        <v>1069</v>
      </c>
      <c r="N59" s="2" t="s">
        <v>89</v>
      </c>
      <c r="O59" s="2" t="s">
        <v>79</v>
      </c>
      <c r="P59" s="2" t="s">
        <v>116</v>
      </c>
      <c r="Q59" s="2" t="s">
        <v>1070</v>
      </c>
      <c r="R59" s="2" t="s">
        <v>1071</v>
      </c>
      <c r="S59" s="2" t="s">
        <v>1072</v>
      </c>
      <c r="T59" s="2" t="s">
        <v>79</v>
      </c>
      <c r="U59" s="2" t="s">
        <v>1073</v>
      </c>
      <c r="V59" s="2" t="s">
        <v>92</v>
      </c>
      <c r="W59" s="2" t="s">
        <v>803</v>
      </c>
      <c r="X59" s="2" t="s">
        <v>1074</v>
      </c>
      <c r="Y59" s="2" t="s">
        <v>95</v>
      </c>
      <c r="Z59" s="2" t="s">
        <v>1075</v>
      </c>
      <c r="AA59" s="2" t="s">
        <v>1076</v>
      </c>
      <c r="AB59" s="2" t="s">
        <v>80</v>
      </c>
      <c r="AC59" s="2"/>
      <c r="AD59" s="2"/>
      <c r="AE59" s="2"/>
      <c r="AF59" s="2" t="s">
        <v>79</v>
      </c>
      <c r="AG59" s="2" t="s">
        <v>1077</v>
      </c>
      <c r="AH59" s="2" t="s">
        <v>1067</v>
      </c>
      <c r="AI59" s="2" t="s">
        <v>82</v>
      </c>
      <c r="AJ59" s="2">
        <v>10</v>
      </c>
      <c r="AK59" s="2" t="s">
        <v>84</v>
      </c>
      <c r="AL59" s="2" t="s">
        <v>84</v>
      </c>
      <c r="AM59" s="2" t="s">
        <v>84</v>
      </c>
      <c r="AN59" s="2" t="s">
        <v>84</v>
      </c>
      <c r="AO59" s="2" t="s">
        <v>84</v>
      </c>
      <c r="AP59" s="2" t="s">
        <v>84</v>
      </c>
      <c r="AQ59" s="2" t="s">
        <v>84</v>
      </c>
      <c r="AR59" s="2" t="s">
        <v>84</v>
      </c>
      <c r="AS59" s="2" t="s">
        <v>84</v>
      </c>
      <c r="AT59" s="2" t="s">
        <v>84</v>
      </c>
      <c r="AU59" s="2" t="s">
        <v>106</v>
      </c>
      <c r="AV59" s="2" t="s">
        <v>80</v>
      </c>
      <c r="AW59" s="2"/>
      <c r="AX59" s="2" t="s">
        <v>106</v>
      </c>
      <c r="AY59" s="2" t="s">
        <v>1078</v>
      </c>
      <c r="AZ59" s="2" t="s">
        <v>100</v>
      </c>
      <c r="BA59" s="2" t="s">
        <v>1079</v>
      </c>
      <c r="BB59" s="2" t="s">
        <v>286</v>
      </c>
      <c r="BC59" s="2" t="s">
        <v>79</v>
      </c>
      <c r="BD59" s="2" t="s">
        <v>1080</v>
      </c>
      <c r="BE59" s="2" t="s">
        <v>1081</v>
      </c>
      <c r="BF59" s="2" t="s">
        <v>104</v>
      </c>
      <c r="BG59" s="2"/>
      <c r="BH59" s="2" t="s">
        <v>80</v>
      </c>
      <c r="BI59" s="2" t="s">
        <v>79</v>
      </c>
      <c r="BJ59" s="2" t="s">
        <v>289</v>
      </c>
      <c r="BK59" s="2" t="s">
        <v>1082</v>
      </c>
      <c r="BL59" s="2" t="s">
        <v>79</v>
      </c>
      <c r="BM59" s="2" t="s">
        <v>172</v>
      </c>
    </row>
    <row r="60" spans="1:65" ht="409.5" x14ac:dyDescent="0.25">
      <c r="A60" s="2" t="s">
        <v>1083</v>
      </c>
      <c r="B60" s="2">
        <v>2026</v>
      </c>
      <c r="C60" s="2" t="s">
        <v>111</v>
      </c>
      <c r="D60" s="2" t="s">
        <v>79</v>
      </c>
      <c r="E60" s="2" t="s">
        <v>79</v>
      </c>
      <c r="F60" s="2" t="s">
        <v>79</v>
      </c>
      <c r="G60" s="2" t="s">
        <v>92</v>
      </c>
      <c r="H60" s="2" t="s">
        <v>79</v>
      </c>
      <c r="I60" s="2" t="s">
        <v>92</v>
      </c>
      <c r="J60" s="2" t="s">
        <v>889</v>
      </c>
      <c r="K60" s="2" t="s">
        <v>80</v>
      </c>
      <c r="L60" s="2" t="s">
        <v>1085</v>
      </c>
      <c r="M60" s="2" t="s">
        <v>1086</v>
      </c>
      <c r="N60" s="2" t="s">
        <v>89</v>
      </c>
      <c r="O60" s="2" t="s">
        <v>106</v>
      </c>
      <c r="P60" s="2" t="s">
        <v>116</v>
      </c>
      <c r="Q60" s="2" t="s">
        <v>1087</v>
      </c>
      <c r="R60" s="2"/>
      <c r="S60" s="2" t="s">
        <v>155</v>
      </c>
      <c r="T60" s="2" t="s">
        <v>80</v>
      </c>
      <c r="U60" s="2"/>
      <c r="V60" s="2" t="s">
        <v>92</v>
      </c>
      <c r="W60" s="2" t="s">
        <v>864</v>
      </c>
      <c r="X60" s="2" t="s">
        <v>1088</v>
      </c>
      <c r="Y60" s="2" t="s">
        <v>95</v>
      </c>
      <c r="Z60" s="2" t="s">
        <v>1089</v>
      </c>
      <c r="AA60" s="2" t="s">
        <v>1090</v>
      </c>
      <c r="AB60" s="2" t="s">
        <v>80</v>
      </c>
      <c r="AC60" s="2"/>
      <c r="AD60" s="2"/>
      <c r="AE60" s="2"/>
      <c r="AF60" s="2" t="s">
        <v>79</v>
      </c>
      <c r="AG60" s="2" t="s">
        <v>1091</v>
      </c>
      <c r="AH60" s="2" t="s">
        <v>1084</v>
      </c>
      <c r="AI60" s="2" t="s">
        <v>82</v>
      </c>
      <c r="AJ60" s="2">
        <v>8.5</v>
      </c>
      <c r="AK60" s="2" t="s">
        <v>84</v>
      </c>
      <c r="AL60" s="2" t="s">
        <v>84</v>
      </c>
      <c r="AM60" s="2" t="s">
        <v>84</v>
      </c>
      <c r="AN60" s="2" t="s">
        <v>84</v>
      </c>
      <c r="AO60" s="2" t="s">
        <v>84</v>
      </c>
      <c r="AP60" s="2" t="s">
        <v>84</v>
      </c>
      <c r="AQ60" s="2" t="s">
        <v>84</v>
      </c>
      <c r="AR60" s="2" t="s">
        <v>86</v>
      </c>
      <c r="AS60" s="2" t="s">
        <v>84</v>
      </c>
      <c r="AT60" s="2" t="s">
        <v>85</v>
      </c>
      <c r="AU60" s="2" t="s">
        <v>106</v>
      </c>
      <c r="AV60" s="2" t="s">
        <v>80</v>
      </c>
      <c r="AW60" s="2"/>
      <c r="AX60" s="2" t="s">
        <v>106</v>
      </c>
      <c r="AY60" s="2" t="s">
        <v>1092</v>
      </c>
      <c r="AZ60" s="2" t="s">
        <v>100</v>
      </c>
      <c r="BA60" s="2" t="s">
        <v>1093</v>
      </c>
      <c r="BB60" s="2" t="s">
        <v>286</v>
      </c>
      <c r="BC60" s="2" t="s">
        <v>79</v>
      </c>
      <c r="BD60" s="2" t="s">
        <v>1063</v>
      </c>
      <c r="BE60" s="2" t="s">
        <v>1094</v>
      </c>
      <c r="BF60" s="2" t="s">
        <v>153</v>
      </c>
      <c r="BG60" s="2"/>
      <c r="BH60" s="2" t="s">
        <v>80</v>
      </c>
      <c r="BI60" s="2" t="s">
        <v>79</v>
      </c>
      <c r="BJ60" s="2" t="s">
        <v>206</v>
      </c>
      <c r="BK60" s="2" t="s">
        <v>1095</v>
      </c>
      <c r="BL60" s="2" t="s">
        <v>79</v>
      </c>
      <c r="BM60" s="2" t="s">
        <v>172</v>
      </c>
    </row>
    <row r="61" spans="1:65" ht="409.5" x14ac:dyDescent="0.25">
      <c r="A61" s="2" t="s">
        <v>1096</v>
      </c>
      <c r="B61" s="2">
        <v>2019</v>
      </c>
      <c r="C61" s="2" t="s">
        <v>111</v>
      </c>
      <c r="D61" s="2" t="s">
        <v>79</v>
      </c>
      <c r="E61" s="2" t="s">
        <v>79</v>
      </c>
      <c r="F61" s="2" t="s">
        <v>79</v>
      </c>
      <c r="G61" s="2" t="s">
        <v>92</v>
      </c>
      <c r="H61" s="2" t="s">
        <v>79</v>
      </c>
      <c r="I61" s="2" t="s">
        <v>92</v>
      </c>
      <c r="J61" s="2" t="s">
        <v>889</v>
      </c>
      <c r="K61" s="2" t="s">
        <v>80</v>
      </c>
      <c r="L61" s="2" t="s">
        <v>1098</v>
      </c>
      <c r="M61" s="2" t="s">
        <v>1099</v>
      </c>
      <c r="N61" s="2" t="s">
        <v>143</v>
      </c>
      <c r="O61" s="2" t="s">
        <v>106</v>
      </c>
      <c r="P61" s="2" t="s">
        <v>194</v>
      </c>
      <c r="Q61" s="2" t="s">
        <v>1100</v>
      </c>
      <c r="R61" s="2"/>
      <c r="S61" s="2" t="s">
        <v>155</v>
      </c>
      <c r="T61" s="2" t="s">
        <v>80</v>
      </c>
      <c r="U61" s="2"/>
      <c r="V61" s="2" t="s">
        <v>92</v>
      </c>
      <c r="W61" s="2" t="s">
        <v>465</v>
      </c>
      <c r="X61" s="2" t="s">
        <v>1101</v>
      </c>
      <c r="Y61" s="2" t="s">
        <v>95</v>
      </c>
      <c r="Z61" s="2" t="s">
        <v>1102</v>
      </c>
      <c r="AA61" s="2" t="s">
        <v>1103</v>
      </c>
      <c r="AB61" s="2" t="s">
        <v>80</v>
      </c>
      <c r="AC61" s="2"/>
      <c r="AD61" s="2"/>
      <c r="AE61" s="2"/>
      <c r="AF61" s="2" t="s">
        <v>79</v>
      </c>
      <c r="AG61" s="2" t="s">
        <v>1104</v>
      </c>
      <c r="AH61" s="2" t="s">
        <v>1097</v>
      </c>
      <c r="AI61" s="2" t="s">
        <v>82</v>
      </c>
      <c r="AJ61" s="2">
        <v>8.5</v>
      </c>
      <c r="AK61" s="2" t="s">
        <v>84</v>
      </c>
      <c r="AL61" s="2" t="s">
        <v>84</v>
      </c>
      <c r="AM61" s="2" t="s">
        <v>84</v>
      </c>
      <c r="AN61" s="2" t="s">
        <v>84</v>
      </c>
      <c r="AO61" s="2" t="s">
        <v>84</v>
      </c>
      <c r="AP61" s="2" t="s">
        <v>84</v>
      </c>
      <c r="AQ61" s="2" t="s">
        <v>84</v>
      </c>
      <c r="AR61" s="2" t="s">
        <v>86</v>
      </c>
      <c r="AS61" s="2" t="s">
        <v>84</v>
      </c>
      <c r="AT61" s="2" t="s">
        <v>85</v>
      </c>
      <c r="AU61" s="2" t="s">
        <v>106</v>
      </c>
      <c r="AV61" s="2" t="s">
        <v>80</v>
      </c>
      <c r="AW61" s="2"/>
      <c r="AX61" s="2" t="s">
        <v>106</v>
      </c>
      <c r="AY61" s="2" t="s">
        <v>1105</v>
      </c>
      <c r="AZ61" s="2" t="s">
        <v>100</v>
      </c>
      <c r="BA61" s="2" t="s">
        <v>1106</v>
      </c>
      <c r="BB61" s="2" t="s">
        <v>286</v>
      </c>
      <c r="BC61" s="2" t="s">
        <v>79</v>
      </c>
      <c r="BD61" s="2" t="s">
        <v>756</v>
      </c>
      <c r="BE61" s="2" t="s">
        <v>1107</v>
      </c>
      <c r="BF61" s="2" t="s">
        <v>1108</v>
      </c>
      <c r="BG61" s="2"/>
      <c r="BH61" s="2" t="s">
        <v>80</v>
      </c>
      <c r="BI61" s="2" t="s">
        <v>79</v>
      </c>
      <c r="BJ61" s="2" t="s">
        <v>206</v>
      </c>
      <c r="BK61" s="2" t="s">
        <v>1109</v>
      </c>
      <c r="BL61" s="2" t="s">
        <v>79</v>
      </c>
      <c r="BM61" s="2" t="s">
        <v>109</v>
      </c>
    </row>
    <row r="62" spans="1:65" ht="409.5" x14ac:dyDescent="0.25">
      <c r="A62" s="2" t="s">
        <v>1110</v>
      </c>
      <c r="B62" s="2">
        <v>2023</v>
      </c>
      <c r="C62" s="2" t="s">
        <v>111</v>
      </c>
      <c r="D62" s="2" t="s">
        <v>79</v>
      </c>
      <c r="E62" s="2" t="s">
        <v>79</v>
      </c>
      <c r="F62" s="2" t="s">
        <v>79</v>
      </c>
      <c r="G62" s="2" t="s">
        <v>92</v>
      </c>
      <c r="H62" s="2" t="s">
        <v>79</v>
      </c>
      <c r="I62" s="2" t="s">
        <v>92</v>
      </c>
      <c r="J62" s="2" t="s">
        <v>1000</v>
      </c>
      <c r="K62" s="2" t="s">
        <v>80</v>
      </c>
      <c r="L62" s="2" t="s">
        <v>1112</v>
      </c>
      <c r="M62" s="2" t="s">
        <v>1113</v>
      </c>
      <c r="N62" s="2" t="s">
        <v>143</v>
      </c>
      <c r="O62" s="2" t="s">
        <v>79</v>
      </c>
      <c r="P62" s="2" t="s">
        <v>116</v>
      </c>
      <c r="Q62" s="2" t="s">
        <v>1114</v>
      </c>
      <c r="R62" s="2"/>
      <c r="S62" s="2" t="s">
        <v>155</v>
      </c>
      <c r="T62" s="2" t="s">
        <v>80</v>
      </c>
      <c r="U62" s="2"/>
      <c r="V62" s="2" t="s">
        <v>92</v>
      </c>
      <c r="W62" s="2" t="s">
        <v>465</v>
      </c>
      <c r="X62" s="2" t="s">
        <v>1115</v>
      </c>
      <c r="Y62" s="2" t="s">
        <v>95</v>
      </c>
      <c r="Z62" s="2" t="s">
        <v>1116</v>
      </c>
      <c r="AA62" s="2" t="s">
        <v>1117</v>
      </c>
      <c r="AB62" s="2" t="s">
        <v>80</v>
      </c>
      <c r="AC62" s="2"/>
      <c r="AD62" s="2"/>
      <c r="AE62" s="2"/>
      <c r="AF62" s="2" t="s">
        <v>79</v>
      </c>
      <c r="AG62" s="2" t="s">
        <v>1118</v>
      </c>
      <c r="AH62" s="2" t="s">
        <v>1111</v>
      </c>
      <c r="AI62" s="2" t="s">
        <v>82</v>
      </c>
      <c r="AJ62" s="2">
        <v>8.5</v>
      </c>
      <c r="AK62" s="2" t="s">
        <v>84</v>
      </c>
      <c r="AL62" s="2" t="s">
        <v>84</v>
      </c>
      <c r="AM62" s="2" t="s">
        <v>84</v>
      </c>
      <c r="AN62" s="2" t="s">
        <v>84</v>
      </c>
      <c r="AO62" s="2" t="s">
        <v>84</v>
      </c>
      <c r="AP62" s="2" t="s">
        <v>84</v>
      </c>
      <c r="AQ62" s="2" t="s">
        <v>84</v>
      </c>
      <c r="AR62" s="2" t="s">
        <v>86</v>
      </c>
      <c r="AS62" s="2" t="s">
        <v>84</v>
      </c>
      <c r="AT62" s="2" t="s">
        <v>85</v>
      </c>
      <c r="AU62" s="2" t="s">
        <v>106</v>
      </c>
      <c r="AV62" s="2" t="s">
        <v>80</v>
      </c>
      <c r="AW62" s="2"/>
      <c r="AX62" s="2" t="s">
        <v>106</v>
      </c>
      <c r="AY62" s="2" t="s">
        <v>1119</v>
      </c>
      <c r="AZ62" s="2" t="s">
        <v>100</v>
      </c>
      <c r="BA62" s="2" t="s">
        <v>1120</v>
      </c>
      <c r="BB62" s="2" t="s">
        <v>286</v>
      </c>
      <c r="BC62" s="2" t="s">
        <v>79</v>
      </c>
      <c r="BD62" s="2" t="s">
        <v>168</v>
      </c>
      <c r="BE62" s="2" t="s">
        <v>1121</v>
      </c>
      <c r="BF62" s="2" t="s">
        <v>153</v>
      </c>
      <c r="BG62" s="2" t="s">
        <v>1122</v>
      </c>
      <c r="BH62" s="2" t="s">
        <v>92</v>
      </c>
      <c r="BI62" s="2" t="s">
        <v>79</v>
      </c>
      <c r="BJ62" s="2" t="s">
        <v>107</v>
      </c>
      <c r="BK62" s="2" t="s">
        <v>1123</v>
      </c>
      <c r="BL62" s="2" t="s">
        <v>79</v>
      </c>
      <c r="BM62" s="2" t="s">
        <v>109</v>
      </c>
    </row>
    <row r="63" spans="1:65" ht="409.5" x14ac:dyDescent="0.25">
      <c r="A63" s="2" t="s">
        <v>1124</v>
      </c>
      <c r="B63" s="2">
        <v>2023</v>
      </c>
      <c r="C63" s="2" t="s">
        <v>111</v>
      </c>
      <c r="D63" s="2" t="s">
        <v>80</v>
      </c>
      <c r="E63" s="2" t="s">
        <v>79</v>
      </c>
      <c r="F63" s="2" t="s">
        <v>80</v>
      </c>
      <c r="G63" s="2" t="s">
        <v>80</v>
      </c>
      <c r="H63" s="2" t="s">
        <v>92</v>
      </c>
      <c r="I63" s="2" t="s">
        <v>80</v>
      </c>
      <c r="J63" s="2" t="s">
        <v>714</v>
      </c>
      <c r="K63" s="2" t="s">
        <v>80</v>
      </c>
      <c r="L63" s="2" t="s">
        <v>1126</v>
      </c>
      <c r="M63" s="2" t="s">
        <v>1127</v>
      </c>
      <c r="N63" s="2" t="s">
        <v>143</v>
      </c>
      <c r="O63" s="2" t="s">
        <v>80</v>
      </c>
      <c r="P63" s="2" t="s">
        <v>90</v>
      </c>
      <c r="Q63" s="2"/>
      <c r="R63" s="2"/>
      <c r="S63" s="2"/>
      <c r="T63" s="2" t="s">
        <v>80</v>
      </c>
      <c r="U63" s="2"/>
      <c r="V63" s="2" t="s">
        <v>92</v>
      </c>
      <c r="W63" s="2" t="s">
        <v>465</v>
      </c>
      <c r="X63" s="2" t="s">
        <v>1128</v>
      </c>
      <c r="Y63" s="2" t="s">
        <v>95</v>
      </c>
      <c r="Z63" s="2" t="s">
        <v>1129</v>
      </c>
      <c r="AA63" s="2" t="s">
        <v>1130</v>
      </c>
      <c r="AB63" s="2" t="s">
        <v>80</v>
      </c>
      <c r="AC63" s="2"/>
      <c r="AD63" s="2"/>
      <c r="AE63" s="2"/>
      <c r="AF63" s="2" t="s">
        <v>79</v>
      </c>
      <c r="AG63" s="2" t="s">
        <v>1131</v>
      </c>
      <c r="AH63" s="2" t="s">
        <v>1125</v>
      </c>
      <c r="AI63" s="2" t="s">
        <v>82</v>
      </c>
      <c r="AJ63" s="2">
        <v>6.5</v>
      </c>
      <c r="AK63" s="2" t="s">
        <v>84</v>
      </c>
      <c r="AL63" s="2" t="s">
        <v>86</v>
      </c>
      <c r="AM63" s="2" t="s">
        <v>84</v>
      </c>
      <c r="AN63" s="2" t="s">
        <v>84</v>
      </c>
      <c r="AO63" s="2" t="s">
        <v>84</v>
      </c>
      <c r="AP63" s="2" t="s">
        <v>84</v>
      </c>
      <c r="AQ63" s="2" t="s">
        <v>85</v>
      </c>
      <c r="AR63" s="2" t="s">
        <v>86</v>
      </c>
      <c r="AS63" s="2" t="s">
        <v>84</v>
      </c>
      <c r="AT63" s="2" t="s">
        <v>86</v>
      </c>
      <c r="AU63" s="2"/>
      <c r="AV63" s="2" t="s">
        <v>80</v>
      </c>
      <c r="AW63" s="2"/>
      <c r="AX63" s="2"/>
      <c r="AY63" s="2"/>
      <c r="AZ63" s="2" t="s">
        <v>100</v>
      </c>
      <c r="BA63" s="2" t="s">
        <v>1132</v>
      </c>
      <c r="BB63" s="2" t="s">
        <v>102</v>
      </c>
      <c r="BC63" s="2" t="s">
        <v>79</v>
      </c>
      <c r="BD63" s="2"/>
      <c r="BE63" s="2" t="s">
        <v>1133</v>
      </c>
      <c r="BF63" s="2" t="s">
        <v>153</v>
      </c>
      <c r="BG63" s="2"/>
      <c r="BH63" s="2" t="s">
        <v>80</v>
      </c>
      <c r="BI63" s="2" t="s">
        <v>79</v>
      </c>
      <c r="BJ63" s="2" t="s">
        <v>107</v>
      </c>
      <c r="BK63" s="2" t="s">
        <v>1134</v>
      </c>
      <c r="BL63" s="2" t="s">
        <v>79</v>
      </c>
      <c r="BM63" s="2" t="s">
        <v>109</v>
      </c>
    </row>
    <row r="64" spans="1:65" ht="409.5" x14ac:dyDescent="0.25">
      <c r="A64" s="2" t="s">
        <v>1135</v>
      </c>
      <c r="B64" s="2">
        <v>2023</v>
      </c>
      <c r="C64" s="2" t="s">
        <v>111</v>
      </c>
      <c r="D64" s="2" t="s">
        <v>80</v>
      </c>
      <c r="E64" s="2" t="s">
        <v>79</v>
      </c>
      <c r="F64" s="2" t="s">
        <v>80</v>
      </c>
      <c r="G64" s="2" t="s">
        <v>80</v>
      </c>
      <c r="H64" s="2" t="s">
        <v>92</v>
      </c>
      <c r="I64" s="2" t="s">
        <v>80</v>
      </c>
      <c r="J64" s="2" t="s">
        <v>271</v>
      </c>
      <c r="K64" s="2" t="s">
        <v>80</v>
      </c>
      <c r="L64" s="2" t="s">
        <v>1137</v>
      </c>
      <c r="M64" s="2" t="s">
        <v>1138</v>
      </c>
      <c r="N64" s="2" t="s">
        <v>143</v>
      </c>
      <c r="O64" s="2" t="s">
        <v>106</v>
      </c>
      <c r="P64" s="2" t="s">
        <v>90</v>
      </c>
      <c r="Q64" s="2"/>
      <c r="R64" s="2"/>
      <c r="S64" s="2"/>
      <c r="T64" s="2" t="s">
        <v>80</v>
      </c>
      <c r="U64" s="2"/>
      <c r="V64" s="2" t="s">
        <v>92</v>
      </c>
      <c r="W64" s="2" t="s">
        <v>656</v>
      </c>
      <c r="X64" s="2" t="s">
        <v>1139</v>
      </c>
      <c r="Y64" s="2" t="s">
        <v>95</v>
      </c>
      <c r="Z64" s="2" t="s">
        <v>1140</v>
      </c>
      <c r="AA64" s="2" t="s">
        <v>1141</v>
      </c>
      <c r="AB64" s="2" t="s">
        <v>80</v>
      </c>
      <c r="AC64" s="2"/>
      <c r="AD64" s="2"/>
      <c r="AE64" s="2"/>
      <c r="AF64" s="2" t="s">
        <v>79</v>
      </c>
      <c r="AG64" s="2" t="s">
        <v>1142</v>
      </c>
      <c r="AH64" s="2" t="s">
        <v>1136</v>
      </c>
      <c r="AI64" s="2" t="s">
        <v>82</v>
      </c>
      <c r="AJ64" s="2">
        <v>4.5</v>
      </c>
      <c r="AK64" s="2" t="s">
        <v>84</v>
      </c>
      <c r="AL64" s="2" t="s">
        <v>86</v>
      </c>
      <c r="AM64" s="2" t="s">
        <v>85</v>
      </c>
      <c r="AN64" s="2" t="s">
        <v>86</v>
      </c>
      <c r="AO64" s="2" t="s">
        <v>84</v>
      </c>
      <c r="AP64" s="2" t="s">
        <v>84</v>
      </c>
      <c r="AQ64" s="2" t="s">
        <v>86</v>
      </c>
      <c r="AR64" s="2" t="s">
        <v>86</v>
      </c>
      <c r="AS64" s="2" t="s">
        <v>84</v>
      </c>
      <c r="AT64" s="2" t="s">
        <v>86</v>
      </c>
      <c r="AU64" s="2"/>
      <c r="AV64" s="2" t="s">
        <v>80</v>
      </c>
      <c r="AW64" s="2"/>
      <c r="AX64" s="2"/>
      <c r="AY64" s="2"/>
      <c r="AZ64" s="2" t="s">
        <v>1143</v>
      </c>
      <c r="BA64" s="2" t="s">
        <v>1144</v>
      </c>
      <c r="BB64" s="2" t="s">
        <v>514</v>
      </c>
      <c r="BC64" s="2" t="s">
        <v>79</v>
      </c>
      <c r="BD64" s="2"/>
      <c r="BE64" s="2" t="s">
        <v>1145</v>
      </c>
      <c r="BF64" s="2" t="s">
        <v>153</v>
      </c>
      <c r="BG64" s="2"/>
      <c r="BH64" s="2" t="s">
        <v>106</v>
      </c>
      <c r="BI64" s="2" t="s">
        <v>106</v>
      </c>
      <c r="BJ64" s="2" t="s">
        <v>107</v>
      </c>
      <c r="BK64" s="2" t="s">
        <v>1146</v>
      </c>
      <c r="BL64" s="2" t="s">
        <v>79</v>
      </c>
      <c r="BM64" s="2" t="s">
        <v>172</v>
      </c>
    </row>
    <row r="65" spans="1:65" ht="409.5" x14ac:dyDescent="0.25">
      <c r="A65" s="2" t="s">
        <v>1147</v>
      </c>
      <c r="B65" s="2">
        <v>2023</v>
      </c>
      <c r="C65" s="2" t="s">
        <v>111</v>
      </c>
      <c r="D65" s="2" t="s">
        <v>79</v>
      </c>
      <c r="E65" s="2" t="s">
        <v>79</v>
      </c>
      <c r="F65" s="2" t="s">
        <v>79</v>
      </c>
      <c r="G65" s="2" t="s">
        <v>92</v>
      </c>
      <c r="H65" s="2" t="s">
        <v>79</v>
      </c>
      <c r="I65" s="2" t="s">
        <v>92</v>
      </c>
      <c r="J65" s="2" t="s">
        <v>613</v>
      </c>
      <c r="K65" s="2" t="s">
        <v>80</v>
      </c>
      <c r="L65" s="2" t="s">
        <v>1149</v>
      </c>
      <c r="M65" s="2" t="s">
        <v>1150</v>
      </c>
      <c r="N65" s="2" t="s">
        <v>143</v>
      </c>
      <c r="O65" s="2" t="s">
        <v>106</v>
      </c>
      <c r="P65" s="2" t="s">
        <v>90</v>
      </c>
      <c r="Q65" s="2" t="s">
        <v>1151</v>
      </c>
      <c r="R65" s="2"/>
      <c r="S65" s="2" t="s">
        <v>155</v>
      </c>
      <c r="T65" s="2" t="s">
        <v>80</v>
      </c>
      <c r="U65" s="2"/>
      <c r="V65" s="2" t="s">
        <v>92</v>
      </c>
      <c r="W65" s="2" t="s">
        <v>243</v>
      </c>
      <c r="X65" s="2" t="s">
        <v>1152</v>
      </c>
      <c r="Y65" s="2" t="s">
        <v>95</v>
      </c>
      <c r="Z65" s="2" t="s">
        <v>1153</v>
      </c>
      <c r="AA65" s="2" t="s">
        <v>1154</v>
      </c>
      <c r="AB65" s="2" t="s">
        <v>80</v>
      </c>
      <c r="AC65" s="2"/>
      <c r="AD65" s="2"/>
      <c r="AE65" s="2"/>
      <c r="AF65" s="2" t="s">
        <v>79</v>
      </c>
      <c r="AG65" s="2" t="s">
        <v>1155</v>
      </c>
      <c r="AH65" s="2" t="s">
        <v>1148</v>
      </c>
      <c r="AI65" s="2" t="s">
        <v>82</v>
      </c>
      <c r="AJ65" s="2">
        <v>9.5</v>
      </c>
      <c r="AK65" s="2" t="s">
        <v>84</v>
      </c>
      <c r="AL65" s="2" t="s">
        <v>84</v>
      </c>
      <c r="AM65" s="2" t="s">
        <v>84</v>
      </c>
      <c r="AN65" s="2" t="s">
        <v>84</v>
      </c>
      <c r="AO65" s="2" t="s">
        <v>84</v>
      </c>
      <c r="AP65" s="2" t="s">
        <v>84</v>
      </c>
      <c r="AQ65" s="2" t="s">
        <v>84</v>
      </c>
      <c r="AR65" s="2" t="s">
        <v>84</v>
      </c>
      <c r="AS65" s="2" t="s">
        <v>84</v>
      </c>
      <c r="AT65" s="2" t="s">
        <v>85</v>
      </c>
      <c r="AU65" s="2" t="s">
        <v>106</v>
      </c>
      <c r="AV65" s="2" t="s">
        <v>80</v>
      </c>
      <c r="AW65" s="2"/>
      <c r="AX65" s="2" t="s">
        <v>106</v>
      </c>
      <c r="AY65" s="2" t="s">
        <v>1156</v>
      </c>
      <c r="AZ65" s="2" t="s">
        <v>303</v>
      </c>
      <c r="BA65" s="2" t="s">
        <v>1157</v>
      </c>
      <c r="BB65" s="2" t="s">
        <v>143</v>
      </c>
      <c r="BC65" s="2" t="s">
        <v>79</v>
      </c>
      <c r="BD65" s="2" t="s">
        <v>364</v>
      </c>
      <c r="BE65" s="2" t="s">
        <v>1158</v>
      </c>
      <c r="BF65" s="2" t="s">
        <v>104</v>
      </c>
      <c r="BG65" s="2"/>
      <c r="BH65" s="2" t="s">
        <v>80</v>
      </c>
      <c r="BI65" s="2" t="s">
        <v>79</v>
      </c>
      <c r="BJ65" s="2" t="s">
        <v>429</v>
      </c>
      <c r="BK65" s="2" t="s">
        <v>1159</v>
      </c>
      <c r="BL65" s="2" t="s">
        <v>79</v>
      </c>
      <c r="BM65" s="2" t="s">
        <v>172</v>
      </c>
    </row>
    <row r="66" spans="1:65" ht="409.5" x14ac:dyDescent="0.25">
      <c r="A66" s="2" t="s">
        <v>1160</v>
      </c>
      <c r="B66" s="2">
        <v>2024</v>
      </c>
      <c r="C66" s="2" t="s">
        <v>111</v>
      </c>
      <c r="D66" s="2" t="s">
        <v>79</v>
      </c>
      <c r="E66" s="2" t="s">
        <v>79</v>
      </c>
      <c r="F66" s="2" t="s">
        <v>79</v>
      </c>
      <c r="G66" s="2" t="s">
        <v>92</v>
      </c>
      <c r="H66" s="2" t="s">
        <v>79</v>
      </c>
      <c r="I66" s="2" t="s">
        <v>80</v>
      </c>
      <c r="J66" s="2" t="s">
        <v>936</v>
      </c>
      <c r="K66" s="2" t="s">
        <v>80</v>
      </c>
      <c r="L66" s="2" t="s">
        <v>1162</v>
      </c>
      <c r="M66" s="2" t="s">
        <v>1163</v>
      </c>
      <c r="N66" s="2" t="s">
        <v>842</v>
      </c>
      <c r="O66" s="2" t="s">
        <v>80</v>
      </c>
      <c r="P66" s="2" t="s">
        <v>116</v>
      </c>
      <c r="Q66" s="2" t="s">
        <v>1164</v>
      </c>
      <c r="R66" s="2" t="s">
        <v>143</v>
      </c>
      <c r="S66" s="2" t="s">
        <v>1165</v>
      </c>
      <c r="T66" s="2" t="s">
        <v>79</v>
      </c>
      <c r="U66" s="2" t="s">
        <v>1166</v>
      </c>
      <c r="V66" s="2" t="s">
        <v>92</v>
      </c>
      <c r="W66" s="2" t="s">
        <v>909</v>
      </c>
      <c r="X66" s="2" t="s">
        <v>1167</v>
      </c>
      <c r="Y66" s="2" t="s">
        <v>95</v>
      </c>
      <c r="Z66" s="2" t="s">
        <v>1168</v>
      </c>
      <c r="AA66" s="2" t="s">
        <v>1169</v>
      </c>
      <c r="AB66" s="2" t="s">
        <v>80</v>
      </c>
      <c r="AC66" s="2"/>
      <c r="AD66" s="2"/>
      <c r="AE66" s="2"/>
      <c r="AF66" s="2" t="s">
        <v>79</v>
      </c>
      <c r="AG66" s="2" t="s">
        <v>1170</v>
      </c>
      <c r="AH66" s="2" t="s">
        <v>1161</v>
      </c>
      <c r="AI66" s="2" t="s">
        <v>82</v>
      </c>
      <c r="AJ66" s="2">
        <v>10</v>
      </c>
      <c r="AK66" s="2" t="s">
        <v>84</v>
      </c>
      <c r="AL66" s="2" t="s">
        <v>84</v>
      </c>
      <c r="AM66" s="2" t="s">
        <v>84</v>
      </c>
      <c r="AN66" s="2" t="s">
        <v>84</v>
      </c>
      <c r="AO66" s="2" t="s">
        <v>84</v>
      </c>
      <c r="AP66" s="2" t="s">
        <v>84</v>
      </c>
      <c r="AQ66" s="2" t="s">
        <v>84</v>
      </c>
      <c r="AR66" s="2" t="s">
        <v>84</v>
      </c>
      <c r="AS66" s="2" t="s">
        <v>84</v>
      </c>
      <c r="AT66" s="2" t="s">
        <v>84</v>
      </c>
      <c r="AU66" s="2" t="s">
        <v>106</v>
      </c>
      <c r="AV66" s="2" t="s">
        <v>80</v>
      </c>
      <c r="AW66" s="2"/>
      <c r="AX66" s="2" t="s">
        <v>106</v>
      </c>
      <c r="AY66" s="2" t="s">
        <v>1171</v>
      </c>
      <c r="AZ66" s="2" t="s">
        <v>100</v>
      </c>
      <c r="BA66" s="2" t="s">
        <v>1172</v>
      </c>
      <c r="BB66" s="2" t="s">
        <v>102</v>
      </c>
      <c r="BC66" s="2" t="s">
        <v>79</v>
      </c>
      <c r="BD66" s="2"/>
      <c r="BE66" s="2" t="s">
        <v>1173</v>
      </c>
      <c r="BF66" s="2" t="s">
        <v>856</v>
      </c>
      <c r="BG66" s="2"/>
      <c r="BH66" s="2" t="s">
        <v>80</v>
      </c>
      <c r="BI66" s="2" t="s">
        <v>79</v>
      </c>
      <c r="BJ66" s="2" t="s">
        <v>107</v>
      </c>
      <c r="BK66" s="2" t="s">
        <v>1174</v>
      </c>
      <c r="BL66" s="2" t="s">
        <v>79</v>
      </c>
      <c r="BM66" s="2" t="s">
        <v>109</v>
      </c>
    </row>
    <row r="67" spans="1:65" ht="409.5" x14ac:dyDescent="0.25">
      <c r="A67" s="2" t="s">
        <v>1175</v>
      </c>
      <c r="B67" s="2">
        <v>2024</v>
      </c>
      <c r="C67" s="2" t="s">
        <v>566</v>
      </c>
      <c r="D67" s="2" t="s">
        <v>79</v>
      </c>
      <c r="E67" s="2" t="s">
        <v>79</v>
      </c>
      <c r="F67" s="2" t="s">
        <v>79</v>
      </c>
      <c r="G67" s="2" t="s">
        <v>92</v>
      </c>
      <c r="H67" s="2" t="s">
        <v>79</v>
      </c>
      <c r="I67" s="2" t="s">
        <v>92</v>
      </c>
      <c r="J67" s="2" t="s">
        <v>714</v>
      </c>
      <c r="K67" s="2" t="s">
        <v>80</v>
      </c>
      <c r="L67" s="2" t="s">
        <v>1177</v>
      </c>
      <c r="M67" s="2" t="s">
        <v>1178</v>
      </c>
      <c r="N67" s="2" t="s">
        <v>478</v>
      </c>
      <c r="O67" s="2" t="s">
        <v>80</v>
      </c>
      <c r="P67" s="2" t="s">
        <v>116</v>
      </c>
      <c r="Q67" s="2" t="s">
        <v>1179</v>
      </c>
      <c r="R67" s="2" t="s">
        <v>143</v>
      </c>
      <c r="S67" s="2" t="s">
        <v>844</v>
      </c>
      <c r="T67" s="2" t="s">
        <v>79</v>
      </c>
      <c r="U67" s="2" t="s">
        <v>1180</v>
      </c>
      <c r="V67" s="2" t="s">
        <v>92</v>
      </c>
      <c r="W67" s="2" t="s">
        <v>465</v>
      </c>
      <c r="X67" s="2" t="s">
        <v>1181</v>
      </c>
      <c r="Y67" s="2" t="s">
        <v>95</v>
      </c>
      <c r="Z67" s="2" t="s">
        <v>1182</v>
      </c>
      <c r="AA67" s="2" t="s">
        <v>1183</v>
      </c>
      <c r="AB67" s="2" t="s">
        <v>80</v>
      </c>
      <c r="AC67" s="2"/>
      <c r="AD67" s="2"/>
      <c r="AE67" s="2"/>
      <c r="AF67" s="2" t="s">
        <v>79</v>
      </c>
      <c r="AG67" s="2" t="s">
        <v>1184</v>
      </c>
      <c r="AH67" s="2" t="s">
        <v>1176</v>
      </c>
      <c r="AI67" s="2" t="s">
        <v>82</v>
      </c>
      <c r="AJ67" s="2">
        <v>9</v>
      </c>
      <c r="AK67" s="2" t="s">
        <v>84</v>
      </c>
      <c r="AL67" s="2" t="s">
        <v>84</v>
      </c>
      <c r="AM67" s="2" t="s">
        <v>84</v>
      </c>
      <c r="AN67" s="2" t="s">
        <v>84</v>
      </c>
      <c r="AO67" s="2" t="s">
        <v>86</v>
      </c>
      <c r="AP67" s="2" t="s">
        <v>84</v>
      </c>
      <c r="AQ67" s="2" t="s">
        <v>84</v>
      </c>
      <c r="AR67" s="2" t="s">
        <v>84</v>
      </c>
      <c r="AS67" s="2" t="s">
        <v>84</v>
      </c>
      <c r="AT67" s="2" t="s">
        <v>84</v>
      </c>
      <c r="AU67" s="2" t="s">
        <v>106</v>
      </c>
      <c r="AV67" s="2" t="s">
        <v>80</v>
      </c>
      <c r="AW67" s="2"/>
      <c r="AX67" s="2" t="s">
        <v>106</v>
      </c>
      <c r="AY67" s="2" t="s">
        <v>1185</v>
      </c>
      <c r="AZ67" s="2" t="s">
        <v>100</v>
      </c>
      <c r="BA67" s="2" t="s">
        <v>1186</v>
      </c>
      <c r="BB67" s="2" t="s">
        <v>102</v>
      </c>
      <c r="BC67" s="2" t="s">
        <v>79</v>
      </c>
      <c r="BD67" s="2"/>
      <c r="BE67" s="2" t="s">
        <v>1187</v>
      </c>
      <c r="BF67" s="2" t="s">
        <v>648</v>
      </c>
      <c r="BG67" s="2"/>
      <c r="BH67" s="2" t="s">
        <v>80</v>
      </c>
      <c r="BI67" s="2" t="s">
        <v>79</v>
      </c>
      <c r="BJ67" s="2" t="s">
        <v>107</v>
      </c>
      <c r="BK67" s="2" t="s">
        <v>1188</v>
      </c>
      <c r="BL67" s="2" t="s">
        <v>79</v>
      </c>
      <c r="BM67" s="2" t="s">
        <v>109</v>
      </c>
    </row>
    <row r="68" spans="1:65" ht="409.5" x14ac:dyDescent="0.25">
      <c r="A68" s="2" t="s">
        <v>1189</v>
      </c>
      <c r="B68" s="2">
        <v>2024</v>
      </c>
      <c r="C68" s="2" t="s">
        <v>78</v>
      </c>
      <c r="D68" s="2" t="s">
        <v>79</v>
      </c>
      <c r="E68" s="2" t="s">
        <v>79</v>
      </c>
      <c r="F68" s="2" t="s">
        <v>79</v>
      </c>
      <c r="G68" s="2" t="s">
        <v>92</v>
      </c>
      <c r="H68" s="2" t="s">
        <v>79</v>
      </c>
      <c r="I68" s="2" t="s">
        <v>92</v>
      </c>
      <c r="J68" s="2" t="s">
        <v>1190</v>
      </c>
      <c r="K68" s="2" t="s">
        <v>79</v>
      </c>
      <c r="L68" s="2" t="s">
        <v>1192</v>
      </c>
      <c r="M68" s="2" t="s">
        <v>1193</v>
      </c>
      <c r="N68" s="2" t="s">
        <v>89</v>
      </c>
      <c r="O68" s="2" t="s">
        <v>79</v>
      </c>
      <c r="P68" s="2" t="s">
        <v>90</v>
      </c>
      <c r="Q68" s="2" t="s">
        <v>1194</v>
      </c>
      <c r="R68" s="2"/>
      <c r="S68" s="2" t="s">
        <v>155</v>
      </c>
      <c r="T68" s="2" t="s">
        <v>80</v>
      </c>
      <c r="U68" s="2"/>
      <c r="V68" s="2" t="s">
        <v>92</v>
      </c>
      <c r="W68" s="2" t="s">
        <v>465</v>
      </c>
      <c r="X68" s="2" t="s">
        <v>1195</v>
      </c>
      <c r="Y68" s="2" t="s">
        <v>95</v>
      </c>
      <c r="Z68" s="2" t="s">
        <v>1196</v>
      </c>
      <c r="AA68" s="2" t="s">
        <v>1197</v>
      </c>
      <c r="AB68" s="2" t="s">
        <v>80</v>
      </c>
      <c r="AC68" s="2"/>
      <c r="AD68" s="2"/>
      <c r="AE68" s="2"/>
      <c r="AF68" s="2" t="s">
        <v>79</v>
      </c>
      <c r="AG68" s="2" t="s">
        <v>1198</v>
      </c>
      <c r="AH68" s="2" t="s">
        <v>1191</v>
      </c>
      <c r="AI68" s="2" t="s">
        <v>82</v>
      </c>
      <c r="AJ68" s="2">
        <v>8.5</v>
      </c>
      <c r="AK68" s="2" t="s">
        <v>84</v>
      </c>
      <c r="AL68" s="2" t="s">
        <v>84</v>
      </c>
      <c r="AM68" s="2" t="s">
        <v>84</v>
      </c>
      <c r="AN68" s="2" t="s">
        <v>84</v>
      </c>
      <c r="AO68" s="2" t="s">
        <v>84</v>
      </c>
      <c r="AP68" s="2" t="s">
        <v>84</v>
      </c>
      <c r="AQ68" s="2" t="s">
        <v>84</v>
      </c>
      <c r="AR68" s="2" t="s">
        <v>86</v>
      </c>
      <c r="AS68" s="2" t="s">
        <v>84</v>
      </c>
      <c r="AT68" s="2" t="s">
        <v>85</v>
      </c>
      <c r="AU68" s="2" t="s">
        <v>106</v>
      </c>
      <c r="AV68" s="2" t="s">
        <v>80</v>
      </c>
      <c r="AW68" s="2"/>
      <c r="AX68" s="2" t="s">
        <v>106</v>
      </c>
      <c r="AY68" s="2" t="s">
        <v>1199</v>
      </c>
      <c r="AZ68" s="2" t="s">
        <v>100</v>
      </c>
      <c r="BA68" s="2" t="s">
        <v>1200</v>
      </c>
      <c r="BB68" s="2" t="s">
        <v>202</v>
      </c>
      <c r="BC68" s="2" t="s">
        <v>79</v>
      </c>
      <c r="BD68" s="2"/>
      <c r="BE68" s="2" t="s">
        <v>1201</v>
      </c>
      <c r="BF68" s="2" t="s">
        <v>104</v>
      </c>
      <c r="BG68" s="2" t="s">
        <v>1202</v>
      </c>
      <c r="BH68" s="2" t="s">
        <v>79</v>
      </c>
      <c r="BI68" s="2" t="s">
        <v>79</v>
      </c>
      <c r="BJ68" s="2" t="s">
        <v>367</v>
      </c>
      <c r="BK68" s="2" t="s">
        <v>1203</v>
      </c>
      <c r="BL68" s="2" t="s">
        <v>79</v>
      </c>
      <c r="BM68" s="2" t="s">
        <v>109</v>
      </c>
    </row>
    <row r="69" spans="1:65" ht="409.5" x14ac:dyDescent="0.25">
      <c r="A69" s="2" t="s">
        <v>1204</v>
      </c>
      <c r="B69" s="2">
        <v>2024</v>
      </c>
      <c r="C69" s="2" t="s">
        <v>111</v>
      </c>
      <c r="D69" s="2" t="s">
        <v>79</v>
      </c>
      <c r="E69" s="2" t="s">
        <v>79</v>
      </c>
      <c r="F69" s="2" t="s">
        <v>79</v>
      </c>
      <c r="G69" s="2" t="s">
        <v>92</v>
      </c>
      <c r="H69" s="2" t="s">
        <v>79</v>
      </c>
      <c r="I69" s="2" t="s">
        <v>92</v>
      </c>
      <c r="J69" s="2" t="s">
        <v>1190</v>
      </c>
      <c r="K69" s="2" t="s">
        <v>79</v>
      </c>
      <c r="L69" s="2" t="s">
        <v>1206</v>
      </c>
      <c r="M69" s="2" t="s">
        <v>1207</v>
      </c>
      <c r="N69" s="2" t="s">
        <v>89</v>
      </c>
      <c r="O69" s="2" t="s">
        <v>79</v>
      </c>
      <c r="P69" s="2" t="s">
        <v>116</v>
      </c>
      <c r="Q69" s="2" t="s">
        <v>1208</v>
      </c>
      <c r="R69" s="2" t="s">
        <v>143</v>
      </c>
      <c r="S69" s="2" t="s">
        <v>1072</v>
      </c>
      <c r="T69" s="2" t="s">
        <v>79</v>
      </c>
      <c r="U69" s="2" t="s">
        <v>1209</v>
      </c>
      <c r="V69" s="2" t="s">
        <v>92</v>
      </c>
      <c r="W69" s="2" t="s">
        <v>465</v>
      </c>
      <c r="X69" s="2" t="s">
        <v>1210</v>
      </c>
      <c r="Y69" s="2" t="s">
        <v>95</v>
      </c>
      <c r="Z69" s="2" t="s">
        <v>1211</v>
      </c>
      <c r="AA69" s="2" t="s">
        <v>1212</v>
      </c>
      <c r="AB69" s="2" t="s">
        <v>80</v>
      </c>
      <c r="AC69" s="2"/>
      <c r="AD69" s="2"/>
      <c r="AE69" s="2"/>
      <c r="AF69" s="2" t="s">
        <v>79</v>
      </c>
      <c r="AG69" s="2" t="s">
        <v>1213</v>
      </c>
      <c r="AH69" s="2" t="s">
        <v>1205</v>
      </c>
      <c r="AI69" s="2" t="s">
        <v>82</v>
      </c>
      <c r="AJ69" s="2">
        <v>10</v>
      </c>
      <c r="AK69" s="2" t="s">
        <v>84</v>
      </c>
      <c r="AL69" s="2" t="s">
        <v>84</v>
      </c>
      <c r="AM69" s="2" t="s">
        <v>84</v>
      </c>
      <c r="AN69" s="2" t="s">
        <v>84</v>
      </c>
      <c r="AO69" s="2" t="s">
        <v>84</v>
      </c>
      <c r="AP69" s="2" t="s">
        <v>84</v>
      </c>
      <c r="AQ69" s="2" t="s">
        <v>84</v>
      </c>
      <c r="AR69" s="2" t="s">
        <v>84</v>
      </c>
      <c r="AS69" s="2" t="s">
        <v>84</v>
      </c>
      <c r="AT69" s="2" t="s">
        <v>84</v>
      </c>
      <c r="AU69" s="2" t="s">
        <v>106</v>
      </c>
      <c r="AV69" s="2" t="s">
        <v>80</v>
      </c>
      <c r="AW69" s="2"/>
      <c r="AX69" s="2" t="s">
        <v>106</v>
      </c>
      <c r="AY69" s="2" t="s">
        <v>1214</v>
      </c>
      <c r="AZ69" s="2" t="s">
        <v>100</v>
      </c>
      <c r="BA69" s="2" t="s">
        <v>1215</v>
      </c>
      <c r="BB69" s="2" t="s">
        <v>202</v>
      </c>
      <c r="BC69" s="2" t="s">
        <v>79</v>
      </c>
      <c r="BD69" s="2"/>
      <c r="BE69" s="2" t="s">
        <v>1216</v>
      </c>
      <c r="BF69" s="2" t="s">
        <v>153</v>
      </c>
      <c r="BG69" s="2" t="s">
        <v>1217</v>
      </c>
      <c r="BH69" s="2" t="s">
        <v>79</v>
      </c>
      <c r="BI69" s="2" t="s">
        <v>79</v>
      </c>
      <c r="BJ69" s="2" t="s">
        <v>107</v>
      </c>
      <c r="BK69" s="2" t="s">
        <v>1218</v>
      </c>
      <c r="BL69" s="2" t="s">
        <v>79</v>
      </c>
      <c r="BM69" s="2" t="s">
        <v>109</v>
      </c>
    </row>
    <row r="70" spans="1:65" ht="409.5" x14ac:dyDescent="0.25">
      <c r="A70" s="2" t="s">
        <v>1219</v>
      </c>
      <c r="B70" s="2">
        <v>2024</v>
      </c>
      <c r="C70" s="2" t="s">
        <v>111</v>
      </c>
      <c r="D70" s="2" t="s">
        <v>79</v>
      </c>
      <c r="E70" s="2" t="s">
        <v>79</v>
      </c>
      <c r="F70" s="2" t="s">
        <v>79</v>
      </c>
      <c r="G70" s="2" t="s">
        <v>92</v>
      </c>
      <c r="H70" s="2" t="s">
        <v>79</v>
      </c>
      <c r="I70" s="2" t="s">
        <v>92</v>
      </c>
      <c r="J70" s="2" t="s">
        <v>714</v>
      </c>
      <c r="K70" s="2" t="s">
        <v>80</v>
      </c>
      <c r="L70" s="2" t="s">
        <v>1221</v>
      </c>
      <c r="M70" s="2" t="s">
        <v>1222</v>
      </c>
      <c r="N70" s="2" t="s">
        <v>143</v>
      </c>
      <c r="O70" s="2" t="s">
        <v>106</v>
      </c>
      <c r="P70" s="2" t="s">
        <v>116</v>
      </c>
      <c r="Q70" s="2" t="s">
        <v>1223</v>
      </c>
      <c r="R70" s="2"/>
      <c r="S70" s="2" t="s">
        <v>155</v>
      </c>
      <c r="T70" s="2" t="s">
        <v>80</v>
      </c>
      <c r="U70" s="2"/>
      <c r="V70" s="2" t="s">
        <v>92</v>
      </c>
      <c r="W70" s="2" t="s">
        <v>118</v>
      </c>
      <c r="X70" s="2" t="s">
        <v>1224</v>
      </c>
      <c r="Y70" s="2" t="s">
        <v>95</v>
      </c>
      <c r="Z70" s="2" t="s">
        <v>1225</v>
      </c>
      <c r="AA70" s="2" t="s">
        <v>1226</v>
      </c>
      <c r="AB70" s="2" t="s">
        <v>80</v>
      </c>
      <c r="AC70" s="2"/>
      <c r="AD70" s="2"/>
      <c r="AE70" s="2"/>
      <c r="AF70" s="2" t="s">
        <v>79</v>
      </c>
      <c r="AG70" s="2" t="s">
        <v>1227</v>
      </c>
      <c r="AH70" s="2" t="s">
        <v>1220</v>
      </c>
      <c r="AI70" s="2" t="s">
        <v>82</v>
      </c>
      <c r="AJ70" s="2">
        <v>8.5</v>
      </c>
      <c r="AK70" s="2" t="s">
        <v>84</v>
      </c>
      <c r="AL70" s="2" t="s">
        <v>84</v>
      </c>
      <c r="AM70" s="2" t="s">
        <v>84</v>
      </c>
      <c r="AN70" s="2" t="s">
        <v>84</v>
      </c>
      <c r="AO70" s="2" t="s">
        <v>84</v>
      </c>
      <c r="AP70" s="2" t="s">
        <v>84</v>
      </c>
      <c r="AQ70" s="2" t="s">
        <v>84</v>
      </c>
      <c r="AR70" s="2" t="s">
        <v>86</v>
      </c>
      <c r="AS70" s="2" t="s">
        <v>84</v>
      </c>
      <c r="AT70" s="2" t="s">
        <v>85</v>
      </c>
      <c r="AU70" s="2" t="s">
        <v>106</v>
      </c>
      <c r="AV70" s="2" t="s">
        <v>80</v>
      </c>
      <c r="AW70" s="2"/>
      <c r="AX70" s="2" t="s">
        <v>106</v>
      </c>
      <c r="AY70" s="2" t="s">
        <v>1228</v>
      </c>
      <c r="AZ70" s="2" t="s">
        <v>100</v>
      </c>
      <c r="BA70" s="2" t="s">
        <v>1229</v>
      </c>
      <c r="BB70" s="2" t="s">
        <v>426</v>
      </c>
      <c r="BC70" s="2" t="s">
        <v>79</v>
      </c>
      <c r="BD70" s="2"/>
      <c r="BE70" s="2" t="s">
        <v>1230</v>
      </c>
      <c r="BF70" s="2" t="s">
        <v>153</v>
      </c>
      <c r="BG70" s="2" t="s">
        <v>1231</v>
      </c>
      <c r="BH70" s="2" t="s">
        <v>92</v>
      </c>
      <c r="BI70" s="2" t="s">
        <v>79</v>
      </c>
      <c r="BJ70" s="2" t="s">
        <v>107</v>
      </c>
      <c r="BK70" s="2" t="s">
        <v>1232</v>
      </c>
      <c r="BL70" s="2" t="s">
        <v>79</v>
      </c>
      <c r="BM70" s="2" t="s">
        <v>172</v>
      </c>
    </row>
    <row r="71" spans="1:65" ht="409.5" x14ac:dyDescent="0.25">
      <c r="A71" s="2" t="s">
        <v>1233</v>
      </c>
      <c r="B71" s="2">
        <v>2025</v>
      </c>
      <c r="C71" s="2" t="s">
        <v>111</v>
      </c>
      <c r="D71" s="2" t="s">
        <v>79</v>
      </c>
      <c r="E71" s="2" t="s">
        <v>79</v>
      </c>
      <c r="F71" s="2" t="s">
        <v>79</v>
      </c>
      <c r="G71" s="2" t="s">
        <v>92</v>
      </c>
      <c r="H71" s="2" t="s">
        <v>79</v>
      </c>
      <c r="I71" s="2" t="s">
        <v>92</v>
      </c>
      <c r="J71" s="2" t="s">
        <v>714</v>
      </c>
      <c r="K71" s="2" t="s">
        <v>80</v>
      </c>
      <c r="L71" s="2" t="s">
        <v>1235</v>
      </c>
      <c r="M71" s="2" t="s">
        <v>1236</v>
      </c>
      <c r="N71" s="2" t="s">
        <v>143</v>
      </c>
      <c r="O71" s="2" t="s">
        <v>106</v>
      </c>
      <c r="P71" s="2" t="s">
        <v>116</v>
      </c>
      <c r="Q71" s="2" t="s">
        <v>1237</v>
      </c>
      <c r="R71" s="2"/>
      <c r="S71" s="2" t="s">
        <v>155</v>
      </c>
      <c r="T71" s="2" t="s">
        <v>80</v>
      </c>
      <c r="U71" s="2"/>
      <c r="V71" s="2" t="s">
        <v>92</v>
      </c>
      <c r="W71" s="2" t="s">
        <v>118</v>
      </c>
      <c r="X71" s="2" t="s">
        <v>1238</v>
      </c>
      <c r="Y71" s="2" t="s">
        <v>95</v>
      </c>
      <c r="Z71" s="2" t="s">
        <v>1239</v>
      </c>
      <c r="AA71" s="2" t="s">
        <v>1240</v>
      </c>
      <c r="AB71" s="2" t="s">
        <v>80</v>
      </c>
      <c r="AC71" s="2"/>
      <c r="AD71" s="2"/>
      <c r="AE71" s="2"/>
      <c r="AF71" s="2" t="s">
        <v>79</v>
      </c>
      <c r="AG71" s="2" t="s">
        <v>1241</v>
      </c>
      <c r="AH71" s="2" t="s">
        <v>1234</v>
      </c>
      <c r="AI71" s="2" t="s">
        <v>82</v>
      </c>
      <c r="AJ71" s="2">
        <v>8.5</v>
      </c>
      <c r="AK71" s="2" t="s">
        <v>84</v>
      </c>
      <c r="AL71" s="2" t="s">
        <v>84</v>
      </c>
      <c r="AM71" s="2" t="s">
        <v>84</v>
      </c>
      <c r="AN71" s="2" t="s">
        <v>84</v>
      </c>
      <c r="AO71" s="2" t="s">
        <v>84</v>
      </c>
      <c r="AP71" s="2" t="s">
        <v>84</v>
      </c>
      <c r="AQ71" s="2" t="s">
        <v>84</v>
      </c>
      <c r="AR71" s="2" t="s">
        <v>86</v>
      </c>
      <c r="AS71" s="2" t="s">
        <v>84</v>
      </c>
      <c r="AT71" s="2" t="s">
        <v>85</v>
      </c>
      <c r="AU71" s="2" t="s">
        <v>106</v>
      </c>
      <c r="AV71" s="2" t="s">
        <v>80</v>
      </c>
      <c r="AW71" s="2"/>
      <c r="AX71" s="2" t="s">
        <v>106</v>
      </c>
      <c r="AY71" s="2" t="s">
        <v>1242</v>
      </c>
      <c r="AZ71" s="2" t="s">
        <v>100</v>
      </c>
      <c r="BA71" s="2" t="s">
        <v>1243</v>
      </c>
      <c r="BB71" s="2" t="s">
        <v>426</v>
      </c>
      <c r="BC71" s="2" t="s">
        <v>79</v>
      </c>
      <c r="BD71" s="2" t="s">
        <v>1244</v>
      </c>
      <c r="BE71" s="2" t="s">
        <v>1245</v>
      </c>
      <c r="BF71" s="2" t="s">
        <v>153</v>
      </c>
      <c r="BG71" s="2" t="s">
        <v>1246</v>
      </c>
      <c r="BH71" s="2" t="s">
        <v>92</v>
      </c>
      <c r="BI71" s="2" t="s">
        <v>79</v>
      </c>
      <c r="BJ71" s="2" t="s">
        <v>107</v>
      </c>
      <c r="BK71" s="2" t="s">
        <v>1247</v>
      </c>
      <c r="BL71" s="2" t="s">
        <v>79</v>
      </c>
      <c r="BM71" s="2" t="s">
        <v>172</v>
      </c>
    </row>
    <row r="72" spans="1:65" ht="409.5" x14ac:dyDescent="0.25">
      <c r="A72" s="2" t="s">
        <v>1248</v>
      </c>
      <c r="B72" s="2">
        <v>2025</v>
      </c>
      <c r="C72" s="2" t="s">
        <v>143</v>
      </c>
      <c r="D72" s="2" t="s">
        <v>79</v>
      </c>
      <c r="E72" s="2" t="s">
        <v>79</v>
      </c>
      <c r="F72" s="2" t="s">
        <v>80</v>
      </c>
      <c r="G72" s="2" t="s">
        <v>92</v>
      </c>
      <c r="H72" s="2" t="s">
        <v>92</v>
      </c>
      <c r="I72" s="2" t="s">
        <v>80</v>
      </c>
      <c r="J72" s="2" t="s">
        <v>714</v>
      </c>
      <c r="K72" s="2" t="s">
        <v>80</v>
      </c>
      <c r="L72" s="2" t="s">
        <v>1250</v>
      </c>
      <c r="M72" s="2" t="s">
        <v>1251</v>
      </c>
      <c r="N72" s="2" t="s">
        <v>89</v>
      </c>
      <c r="O72" s="2" t="s">
        <v>80</v>
      </c>
      <c r="P72" s="2" t="s">
        <v>116</v>
      </c>
      <c r="Q72" s="2" t="s">
        <v>1252</v>
      </c>
      <c r="R72" s="2"/>
      <c r="S72" s="2" t="s">
        <v>155</v>
      </c>
      <c r="T72" s="2" t="s">
        <v>80</v>
      </c>
      <c r="U72" s="2"/>
      <c r="V72" s="2" t="s">
        <v>92</v>
      </c>
      <c r="W72" s="2" t="s">
        <v>1253</v>
      </c>
      <c r="X72" s="2" t="s">
        <v>1254</v>
      </c>
      <c r="Y72" s="2" t="s">
        <v>95</v>
      </c>
      <c r="Z72" s="2" t="s">
        <v>1255</v>
      </c>
      <c r="AA72" s="2" t="s">
        <v>1256</v>
      </c>
      <c r="AB72" s="2" t="s">
        <v>80</v>
      </c>
      <c r="AC72" s="2"/>
      <c r="AD72" s="2"/>
      <c r="AE72" s="2"/>
      <c r="AF72" s="2" t="s">
        <v>79</v>
      </c>
      <c r="AG72" s="2" t="s">
        <v>1257</v>
      </c>
      <c r="AH72" s="2" t="s">
        <v>1249</v>
      </c>
      <c r="AI72" s="2" t="s">
        <v>82</v>
      </c>
      <c r="AJ72" s="2">
        <v>8</v>
      </c>
      <c r="AK72" s="2" t="s">
        <v>84</v>
      </c>
      <c r="AL72" s="2" t="s">
        <v>84</v>
      </c>
      <c r="AM72" s="2" t="s">
        <v>85</v>
      </c>
      <c r="AN72" s="2" t="s">
        <v>84</v>
      </c>
      <c r="AO72" s="2" t="s">
        <v>84</v>
      </c>
      <c r="AP72" s="2" t="s">
        <v>84</v>
      </c>
      <c r="AQ72" s="2" t="s">
        <v>84</v>
      </c>
      <c r="AR72" s="2" t="s">
        <v>86</v>
      </c>
      <c r="AS72" s="2" t="s">
        <v>84</v>
      </c>
      <c r="AT72" s="2" t="s">
        <v>85</v>
      </c>
      <c r="AU72" s="2" t="s">
        <v>106</v>
      </c>
      <c r="AV72" s="2" t="s">
        <v>80</v>
      </c>
      <c r="AW72" s="2"/>
      <c r="AX72" s="2" t="s">
        <v>106</v>
      </c>
      <c r="AY72" s="2"/>
      <c r="AZ72" s="2" t="s">
        <v>303</v>
      </c>
      <c r="BA72" s="2" t="s">
        <v>1258</v>
      </c>
      <c r="BB72" s="2" t="s">
        <v>1259</v>
      </c>
      <c r="BC72" s="2" t="s">
        <v>79</v>
      </c>
      <c r="BD72" s="2" t="s">
        <v>1244</v>
      </c>
      <c r="BE72" s="2" t="s">
        <v>1260</v>
      </c>
      <c r="BF72" s="2" t="s">
        <v>153</v>
      </c>
      <c r="BG72" s="2"/>
      <c r="BH72" s="2" t="s">
        <v>80</v>
      </c>
      <c r="BI72" s="2" t="s">
        <v>79</v>
      </c>
      <c r="BJ72" s="2" t="s">
        <v>107</v>
      </c>
      <c r="BK72" s="2" t="s">
        <v>1261</v>
      </c>
      <c r="BL72" s="2" t="s">
        <v>79</v>
      </c>
      <c r="BM72" s="2" t="s">
        <v>172</v>
      </c>
    </row>
    <row r="73" spans="1:65" ht="409.5" x14ac:dyDescent="0.25">
      <c r="A73" s="2" t="s">
        <v>1262</v>
      </c>
      <c r="B73" s="2">
        <v>2025</v>
      </c>
      <c r="C73" s="2" t="s">
        <v>78</v>
      </c>
      <c r="D73" s="2" t="s">
        <v>79</v>
      </c>
      <c r="E73" s="2" t="s">
        <v>79</v>
      </c>
      <c r="F73" s="2" t="s">
        <v>79</v>
      </c>
      <c r="G73" s="2" t="s">
        <v>92</v>
      </c>
      <c r="H73" s="2" t="s">
        <v>92</v>
      </c>
      <c r="I73" s="2" t="s">
        <v>79</v>
      </c>
      <c r="J73" s="2" t="s">
        <v>1263</v>
      </c>
      <c r="K73" s="2" t="s">
        <v>80</v>
      </c>
      <c r="L73" s="2" t="s">
        <v>1265</v>
      </c>
      <c r="M73" s="2" t="s">
        <v>1266</v>
      </c>
      <c r="N73" s="2" t="s">
        <v>89</v>
      </c>
      <c r="O73" s="2" t="s">
        <v>80</v>
      </c>
      <c r="P73" s="2" t="s">
        <v>116</v>
      </c>
      <c r="Q73" s="2" t="s">
        <v>1267</v>
      </c>
      <c r="R73" s="2" t="s">
        <v>143</v>
      </c>
      <c r="S73" s="2" t="s">
        <v>1268</v>
      </c>
      <c r="T73" s="2" t="s">
        <v>79</v>
      </c>
      <c r="U73" s="2" t="s">
        <v>1269</v>
      </c>
      <c r="V73" s="2" t="s">
        <v>92</v>
      </c>
      <c r="W73" s="2" t="s">
        <v>279</v>
      </c>
      <c r="X73" s="2" t="s">
        <v>1270</v>
      </c>
      <c r="Y73" s="2" t="s">
        <v>95</v>
      </c>
      <c r="Z73" s="2" t="s">
        <v>1271</v>
      </c>
      <c r="AA73" s="2" t="s">
        <v>1272</v>
      </c>
      <c r="AB73" s="2" t="s">
        <v>80</v>
      </c>
      <c r="AC73" s="2"/>
      <c r="AD73" s="2"/>
      <c r="AE73" s="2"/>
      <c r="AF73" s="2" t="s">
        <v>79</v>
      </c>
      <c r="AG73" s="2" t="s">
        <v>1273</v>
      </c>
      <c r="AH73" s="2" t="s">
        <v>1264</v>
      </c>
      <c r="AI73" s="2" t="s">
        <v>82</v>
      </c>
      <c r="AJ73" s="2">
        <v>8</v>
      </c>
      <c r="AK73" s="2" t="s">
        <v>84</v>
      </c>
      <c r="AL73" s="2" t="s">
        <v>84</v>
      </c>
      <c r="AM73" s="2" t="s">
        <v>85</v>
      </c>
      <c r="AN73" s="2" t="s">
        <v>84</v>
      </c>
      <c r="AO73" s="2" t="s">
        <v>86</v>
      </c>
      <c r="AP73" s="2" t="s">
        <v>84</v>
      </c>
      <c r="AQ73" s="2" t="s">
        <v>85</v>
      </c>
      <c r="AR73" s="2" t="s">
        <v>84</v>
      </c>
      <c r="AS73" s="2" t="s">
        <v>84</v>
      </c>
      <c r="AT73" s="2" t="s">
        <v>84</v>
      </c>
      <c r="AU73" s="2" t="s">
        <v>106</v>
      </c>
      <c r="AV73" s="2" t="s">
        <v>80</v>
      </c>
      <c r="AW73" s="2"/>
      <c r="AX73" s="2" t="s">
        <v>106</v>
      </c>
      <c r="AY73" s="2" t="s">
        <v>1274</v>
      </c>
      <c r="AZ73" s="2" t="s">
        <v>303</v>
      </c>
      <c r="BA73" s="2" t="s">
        <v>1275</v>
      </c>
      <c r="BB73" s="2" t="s">
        <v>1259</v>
      </c>
      <c r="BC73" s="2" t="s">
        <v>79</v>
      </c>
      <c r="BD73" s="2" t="s">
        <v>1276</v>
      </c>
      <c r="BE73" s="2" t="s">
        <v>1277</v>
      </c>
      <c r="BF73" s="2" t="s">
        <v>153</v>
      </c>
      <c r="BG73" s="2"/>
      <c r="BH73" s="2" t="s">
        <v>80</v>
      </c>
      <c r="BI73" s="2" t="s">
        <v>79</v>
      </c>
      <c r="BJ73" s="2" t="s">
        <v>289</v>
      </c>
      <c r="BK73" s="2" t="s">
        <v>1278</v>
      </c>
      <c r="BL73" s="2" t="s">
        <v>79</v>
      </c>
      <c r="BM73" s="2" t="s">
        <v>172</v>
      </c>
    </row>
    <row r="74" spans="1:65" ht="409.5" x14ac:dyDescent="0.25">
      <c r="A74" s="2" t="s">
        <v>1279</v>
      </c>
      <c r="B74" s="2">
        <v>2019</v>
      </c>
      <c r="C74" s="2" t="s">
        <v>111</v>
      </c>
      <c r="D74" s="2" t="s">
        <v>79</v>
      </c>
      <c r="E74" s="2" t="s">
        <v>79</v>
      </c>
      <c r="F74" s="2" t="s">
        <v>79</v>
      </c>
      <c r="G74" s="2" t="s">
        <v>92</v>
      </c>
      <c r="H74" s="2" t="s">
        <v>92</v>
      </c>
      <c r="I74" s="2" t="s">
        <v>92</v>
      </c>
      <c r="J74" s="2" t="s">
        <v>1280</v>
      </c>
      <c r="K74" s="2" t="s">
        <v>80</v>
      </c>
      <c r="L74" s="2" t="s">
        <v>1282</v>
      </c>
      <c r="M74" s="2" t="s">
        <v>1283</v>
      </c>
      <c r="N74" s="2" t="s">
        <v>143</v>
      </c>
      <c r="O74" s="2" t="s">
        <v>80</v>
      </c>
      <c r="P74" s="2" t="s">
        <v>194</v>
      </c>
      <c r="Q74" s="2" t="s">
        <v>1284</v>
      </c>
      <c r="R74" s="2" t="s">
        <v>1285</v>
      </c>
      <c r="S74" s="2" t="s">
        <v>1286</v>
      </c>
      <c r="T74" s="2" t="s">
        <v>79</v>
      </c>
      <c r="U74" s="2" t="s">
        <v>1287</v>
      </c>
      <c r="V74" s="2" t="s">
        <v>92</v>
      </c>
      <c r="W74" s="2" t="s">
        <v>1288</v>
      </c>
      <c r="X74" s="2" t="s">
        <v>1289</v>
      </c>
      <c r="Y74" s="2" t="s">
        <v>95</v>
      </c>
      <c r="Z74" s="2" t="s">
        <v>1290</v>
      </c>
      <c r="AA74" s="2" t="s">
        <v>1291</v>
      </c>
      <c r="AB74" s="2" t="s">
        <v>79</v>
      </c>
      <c r="AC74" s="2" t="s">
        <v>1292</v>
      </c>
      <c r="AD74" s="2" t="s">
        <v>1293</v>
      </c>
      <c r="AE74" s="2"/>
      <c r="AF74" s="2" t="s">
        <v>79</v>
      </c>
      <c r="AG74" s="2" t="s">
        <v>1294</v>
      </c>
      <c r="AH74" s="2" t="s">
        <v>1281</v>
      </c>
      <c r="AI74" s="2" t="s">
        <v>82</v>
      </c>
      <c r="AJ74" s="2">
        <v>8.5</v>
      </c>
      <c r="AK74" s="2" t="s">
        <v>84</v>
      </c>
      <c r="AL74" s="2" t="s">
        <v>84</v>
      </c>
      <c r="AM74" s="2" t="s">
        <v>84</v>
      </c>
      <c r="AN74" s="2" t="s">
        <v>86</v>
      </c>
      <c r="AO74" s="2" t="s">
        <v>84</v>
      </c>
      <c r="AP74" s="2" t="s">
        <v>84</v>
      </c>
      <c r="AQ74" s="2" t="s">
        <v>84</v>
      </c>
      <c r="AR74" s="2" t="s">
        <v>84</v>
      </c>
      <c r="AS74" s="2" t="s">
        <v>84</v>
      </c>
      <c r="AT74" s="2" t="s">
        <v>85</v>
      </c>
      <c r="AU74" s="2" t="s">
        <v>80</v>
      </c>
      <c r="AV74" s="2" t="s">
        <v>80</v>
      </c>
      <c r="AW74" s="2"/>
      <c r="AX74" s="2" t="s">
        <v>80</v>
      </c>
      <c r="AY74" s="2" t="s">
        <v>1295</v>
      </c>
      <c r="AZ74" s="2" t="s">
        <v>1143</v>
      </c>
      <c r="BA74" s="2" t="s">
        <v>1296</v>
      </c>
      <c r="BB74" s="2" t="s">
        <v>514</v>
      </c>
      <c r="BC74" s="2" t="s">
        <v>79</v>
      </c>
      <c r="BD74" s="2" t="s">
        <v>756</v>
      </c>
      <c r="BE74" s="2" t="s">
        <v>1297</v>
      </c>
      <c r="BF74" s="2" t="s">
        <v>648</v>
      </c>
      <c r="BG74" s="2"/>
      <c r="BH74" s="2" t="s">
        <v>80</v>
      </c>
      <c r="BI74" s="2" t="s">
        <v>79</v>
      </c>
      <c r="BJ74" s="2" t="s">
        <v>1298</v>
      </c>
      <c r="BK74" s="2" t="s">
        <v>1299</v>
      </c>
      <c r="BL74" s="2" t="s">
        <v>79</v>
      </c>
      <c r="BM74" s="2" t="s">
        <v>109</v>
      </c>
    </row>
    <row r="75" spans="1:65" ht="409.5" x14ac:dyDescent="0.25">
      <c r="A75" s="2" t="s">
        <v>1300</v>
      </c>
      <c r="B75" s="2">
        <v>2020</v>
      </c>
      <c r="C75" s="2" t="s">
        <v>111</v>
      </c>
      <c r="D75" s="2" t="s">
        <v>79</v>
      </c>
      <c r="E75" s="2" t="s">
        <v>79</v>
      </c>
      <c r="F75" s="2" t="s">
        <v>79</v>
      </c>
      <c r="G75" s="2" t="s">
        <v>92</v>
      </c>
      <c r="H75" s="2" t="s">
        <v>92</v>
      </c>
      <c r="I75" s="2" t="s">
        <v>79</v>
      </c>
      <c r="J75" s="2" t="s">
        <v>1301</v>
      </c>
      <c r="K75" s="2" t="s">
        <v>80</v>
      </c>
      <c r="L75" s="2" t="s">
        <v>1303</v>
      </c>
      <c r="M75" s="2" t="s">
        <v>1304</v>
      </c>
      <c r="N75" s="2" t="s">
        <v>143</v>
      </c>
      <c r="O75" s="2" t="s">
        <v>80</v>
      </c>
      <c r="P75" s="2" t="s">
        <v>194</v>
      </c>
      <c r="Q75" s="2" t="s">
        <v>1305</v>
      </c>
      <c r="R75" s="2" t="s">
        <v>1306</v>
      </c>
      <c r="S75" s="2" t="s">
        <v>1307</v>
      </c>
      <c r="T75" s="2" t="s">
        <v>79</v>
      </c>
      <c r="U75" s="2" t="s">
        <v>1308</v>
      </c>
      <c r="V75" s="2" t="s">
        <v>92</v>
      </c>
      <c r="W75" s="2" t="s">
        <v>553</v>
      </c>
      <c r="X75" s="2" t="s">
        <v>1309</v>
      </c>
      <c r="Y75" s="2" t="s">
        <v>95</v>
      </c>
      <c r="Z75" s="2"/>
      <c r="AA75" s="2"/>
      <c r="AB75" s="2" t="s">
        <v>79</v>
      </c>
      <c r="AC75" s="2" t="s">
        <v>1310</v>
      </c>
      <c r="AD75" s="2" t="s">
        <v>1311</v>
      </c>
      <c r="AE75" s="2"/>
      <c r="AF75" s="2" t="s">
        <v>80</v>
      </c>
      <c r="AG75" s="2" t="s">
        <v>1312</v>
      </c>
      <c r="AH75" s="2" t="s">
        <v>1302</v>
      </c>
      <c r="AI75" s="2" t="s">
        <v>82</v>
      </c>
      <c r="AJ75" s="2">
        <v>8.5</v>
      </c>
      <c r="AK75" s="2" t="s">
        <v>84</v>
      </c>
      <c r="AL75" s="2" t="s">
        <v>84</v>
      </c>
      <c r="AM75" s="2" t="s">
        <v>84</v>
      </c>
      <c r="AN75" s="2" t="s">
        <v>86</v>
      </c>
      <c r="AO75" s="2" t="s">
        <v>84</v>
      </c>
      <c r="AP75" s="2" t="s">
        <v>84</v>
      </c>
      <c r="AQ75" s="2" t="s">
        <v>84</v>
      </c>
      <c r="AR75" s="2" t="s">
        <v>84</v>
      </c>
      <c r="AS75" s="2" t="s">
        <v>84</v>
      </c>
      <c r="AT75" s="2" t="s">
        <v>85</v>
      </c>
      <c r="AU75" s="2" t="s">
        <v>80</v>
      </c>
      <c r="AV75" s="2" t="s">
        <v>80</v>
      </c>
      <c r="AW75" s="2"/>
      <c r="AX75" s="2" t="s">
        <v>80</v>
      </c>
      <c r="AY75" s="2" t="s">
        <v>1313</v>
      </c>
      <c r="AZ75" s="2" t="s">
        <v>303</v>
      </c>
      <c r="BA75" s="2" t="s">
        <v>1314</v>
      </c>
      <c r="BB75" s="2" t="s">
        <v>1315</v>
      </c>
      <c r="BC75" s="2" t="s">
        <v>79</v>
      </c>
      <c r="BD75" s="2" t="s">
        <v>756</v>
      </c>
      <c r="BE75" s="2" t="s">
        <v>1316</v>
      </c>
      <c r="BF75" s="2" t="s">
        <v>648</v>
      </c>
      <c r="BG75" s="2"/>
      <c r="BH75" s="2" t="s">
        <v>80</v>
      </c>
      <c r="BI75" s="2" t="s">
        <v>79</v>
      </c>
      <c r="BJ75" s="2" t="s">
        <v>1298</v>
      </c>
      <c r="BK75" s="2" t="s">
        <v>1317</v>
      </c>
      <c r="BL75" s="2" t="s">
        <v>79</v>
      </c>
      <c r="BM75" s="2" t="s">
        <v>109</v>
      </c>
    </row>
    <row r="76" spans="1:65" ht="409.5" x14ac:dyDescent="0.25">
      <c r="A76" s="2" t="s">
        <v>1318</v>
      </c>
      <c r="B76" s="2">
        <v>2020</v>
      </c>
      <c r="C76" s="2" t="s">
        <v>111</v>
      </c>
      <c r="D76" s="2" t="s">
        <v>79</v>
      </c>
      <c r="E76" s="2" t="s">
        <v>79</v>
      </c>
      <c r="F76" s="2" t="s">
        <v>80</v>
      </c>
      <c r="G76" s="2" t="s">
        <v>92</v>
      </c>
      <c r="H76" s="2" t="s">
        <v>79</v>
      </c>
      <c r="I76" s="2" t="s">
        <v>80</v>
      </c>
      <c r="J76" s="2" t="s">
        <v>271</v>
      </c>
      <c r="K76" s="2" t="s">
        <v>80</v>
      </c>
      <c r="L76" s="2" t="s">
        <v>1320</v>
      </c>
      <c r="M76" s="2" t="s">
        <v>1321</v>
      </c>
      <c r="N76" s="2" t="s">
        <v>89</v>
      </c>
      <c r="O76" s="2" t="s">
        <v>80</v>
      </c>
      <c r="P76" s="2" t="s">
        <v>116</v>
      </c>
      <c r="Q76" s="2" t="s">
        <v>1322</v>
      </c>
      <c r="R76" s="2"/>
      <c r="S76" s="2" t="s">
        <v>155</v>
      </c>
      <c r="T76" s="2" t="s">
        <v>80</v>
      </c>
      <c r="U76" s="2"/>
      <c r="V76" s="2" t="s">
        <v>92</v>
      </c>
      <c r="W76" s="2" t="s">
        <v>453</v>
      </c>
      <c r="X76" s="2" t="s">
        <v>1323</v>
      </c>
      <c r="Y76" s="2" t="s">
        <v>95</v>
      </c>
      <c r="Z76" s="2" t="s">
        <v>1324</v>
      </c>
      <c r="AA76" s="2" t="s">
        <v>1325</v>
      </c>
      <c r="AB76" s="2" t="s">
        <v>80</v>
      </c>
      <c r="AC76" s="2"/>
      <c r="AD76" s="2"/>
      <c r="AE76" s="2"/>
      <c r="AF76" s="2" t="s">
        <v>79</v>
      </c>
      <c r="AG76" s="2" t="s">
        <v>1326</v>
      </c>
      <c r="AH76" s="2" t="s">
        <v>1319</v>
      </c>
      <c r="AI76" s="2" t="s">
        <v>82</v>
      </c>
      <c r="AJ76" s="2">
        <v>8</v>
      </c>
      <c r="AK76" s="2" t="s">
        <v>84</v>
      </c>
      <c r="AL76" s="2" t="s">
        <v>84</v>
      </c>
      <c r="AM76" s="2" t="s">
        <v>84</v>
      </c>
      <c r="AN76" s="2" t="s">
        <v>84</v>
      </c>
      <c r="AO76" s="2" t="s">
        <v>84</v>
      </c>
      <c r="AP76" s="2" t="s">
        <v>84</v>
      </c>
      <c r="AQ76" s="2" t="s">
        <v>85</v>
      </c>
      <c r="AR76" s="2" t="s">
        <v>86</v>
      </c>
      <c r="AS76" s="2" t="s">
        <v>84</v>
      </c>
      <c r="AT76" s="2" t="s">
        <v>85</v>
      </c>
      <c r="AU76" s="2" t="s">
        <v>80</v>
      </c>
      <c r="AV76" s="2" t="s">
        <v>80</v>
      </c>
      <c r="AW76" s="2"/>
      <c r="AX76" s="2" t="s">
        <v>80</v>
      </c>
      <c r="AY76" s="2"/>
      <c r="AZ76" s="2" t="s">
        <v>100</v>
      </c>
      <c r="BA76" s="2" t="s">
        <v>1327</v>
      </c>
      <c r="BB76" s="2" t="s">
        <v>102</v>
      </c>
      <c r="BC76" s="2" t="s">
        <v>79</v>
      </c>
      <c r="BD76" s="2" t="s">
        <v>854</v>
      </c>
      <c r="BE76" s="2" t="s">
        <v>1328</v>
      </c>
      <c r="BF76" s="2" t="s">
        <v>153</v>
      </c>
      <c r="BG76" s="2"/>
      <c r="BH76" s="2" t="s">
        <v>80</v>
      </c>
      <c r="BI76" s="2" t="s">
        <v>106</v>
      </c>
      <c r="BJ76" s="2" t="s">
        <v>429</v>
      </c>
      <c r="BK76" s="2" t="s">
        <v>1329</v>
      </c>
      <c r="BL76" s="2" t="s">
        <v>79</v>
      </c>
      <c r="BM76" s="2" t="s">
        <v>109</v>
      </c>
    </row>
    <row r="77" spans="1:65" ht="409.5" x14ac:dyDescent="0.25">
      <c r="A77" s="2" t="s">
        <v>1330</v>
      </c>
      <c r="B77" s="2">
        <v>2019</v>
      </c>
      <c r="C77" s="2" t="s">
        <v>111</v>
      </c>
      <c r="D77" s="2" t="s">
        <v>79</v>
      </c>
      <c r="E77" s="2" t="s">
        <v>79</v>
      </c>
      <c r="F77" s="2" t="s">
        <v>80</v>
      </c>
      <c r="G77" s="2" t="s">
        <v>92</v>
      </c>
      <c r="H77" s="2" t="s">
        <v>79</v>
      </c>
      <c r="I77" s="2" t="s">
        <v>80</v>
      </c>
      <c r="J77" s="2" t="s">
        <v>271</v>
      </c>
      <c r="K77" s="2" t="s">
        <v>80</v>
      </c>
      <c r="L77" s="2" t="s">
        <v>1332</v>
      </c>
      <c r="M77" s="2" t="s">
        <v>1333</v>
      </c>
      <c r="N77" s="2" t="s">
        <v>89</v>
      </c>
      <c r="O77" s="2" t="s">
        <v>80</v>
      </c>
      <c r="P77" s="2" t="s">
        <v>116</v>
      </c>
      <c r="Q77" s="2" t="s">
        <v>1334</v>
      </c>
      <c r="R77" s="2"/>
      <c r="S77" s="2" t="s">
        <v>155</v>
      </c>
      <c r="T77" s="2" t="s">
        <v>80</v>
      </c>
      <c r="U77" s="2"/>
      <c r="V77" s="2" t="s">
        <v>92</v>
      </c>
      <c r="W77" s="2" t="s">
        <v>118</v>
      </c>
      <c r="X77" s="2" t="s">
        <v>1335</v>
      </c>
      <c r="Y77" s="2" t="s">
        <v>95</v>
      </c>
      <c r="Z77" s="2" t="s">
        <v>1336</v>
      </c>
      <c r="AA77" s="2" t="s">
        <v>1337</v>
      </c>
      <c r="AB77" s="2" t="s">
        <v>80</v>
      </c>
      <c r="AC77" s="2"/>
      <c r="AD77" s="2"/>
      <c r="AE77" s="2"/>
      <c r="AF77" s="2" t="s">
        <v>79</v>
      </c>
      <c r="AG77" s="2" t="s">
        <v>1338</v>
      </c>
      <c r="AH77" s="2" t="s">
        <v>1331</v>
      </c>
      <c r="AI77" s="2" t="s">
        <v>82</v>
      </c>
      <c r="AJ77" s="2">
        <v>8</v>
      </c>
      <c r="AK77" s="2" t="s">
        <v>84</v>
      </c>
      <c r="AL77" s="2" t="s">
        <v>84</v>
      </c>
      <c r="AM77" s="2" t="s">
        <v>84</v>
      </c>
      <c r="AN77" s="2" t="s">
        <v>84</v>
      </c>
      <c r="AO77" s="2" t="s">
        <v>84</v>
      </c>
      <c r="AP77" s="2" t="s">
        <v>84</v>
      </c>
      <c r="AQ77" s="2" t="s">
        <v>85</v>
      </c>
      <c r="AR77" s="2" t="s">
        <v>86</v>
      </c>
      <c r="AS77" s="2" t="s">
        <v>84</v>
      </c>
      <c r="AT77" s="2" t="s">
        <v>85</v>
      </c>
      <c r="AU77" s="2" t="s">
        <v>80</v>
      </c>
      <c r="AV77" s="2" t="s">
        <v>80</v>
      </c>
      <c r="AW77" s="2"/>
      <c r="AX77" s="2" t="s">
        <v>80</v>
      </c>
      <c r="AY77" s="2"/>
      <c r="AZ77" s="2" t="s">
        <v>100</v>
      </c>
      <c r="BA77" s="2" t="s">
        <v>1339</v>
      </c>
      <c r="BB77" s="2" t="s">
        <v>102</v>
      </c>
      <c r="BC77" s="2" t="s">
        <v>79</v>
      </c>
      <c r="BD77" s="2" t="s">
        <v>1340</v>
      </c>
      <c r="BE77" s="2" t="s">
        <v>1341</v>
      </c>
      <c r="BF77" s="2" t="s">
        <v>153</v>
      </c>
      <c r="BG77" s="2"/>
      <c r="BH77" s="2" t="s">
        <v>80</v>
      </c>
      <c r="BI77" s="2" t="s">
        <v>106</v>
      </c>
      <c r="BJ77" s="2" t="s">
        <v>107</v>
      </c>
      <c r="BK77" s="2" t="s">
        <v>1342</v>
      </c>
      <c r="BL77" s="2" t="s">
        <v>79</v>
      </c>
      <c r="BM77" s="2" t="s">
        <v>109</v>
      </c>
    </row>
    <row r="78" spans="1:65" ht="409.5" x14ac:dyDescent="0.25">
      <c r="A78" s="2" t="s">
        <v>1343</v>
      </c>
      <c r="B78" s="2">
        <v>2019</v>
      </c>
      <c r="C78" s="2" t="s">
        <v>111</v>
      </c>
      <c r="D78" s="2" t="s">
        <v>79</v>
      </c>
      <c r="E78" s="2" t="s">
        <v>79</v>
      </c>
      <c r="F78" s="2" t="s">
        <v>80</v>
      </c>
      <c r="G78" s="2"/>
      <c r="H78" s="2"/>
      <c r="I78" s="2"/>
      <c r="J78" s="2" t="s">
        <v>1344</v>
      </c>
      <c r="K78" s="2" t="s">
        <v>80</v>
      </c>
      <c r="L78" s="2" t="s">
        <v>1346</v>
      </c>
      <c r="M78" s="2" t="s">
        <v>1347</v>
      </c>
      <c r="N78" s="2" t="s">
        <v>89</v>
      </c>
      <c r="O78" s="2" t="s">
        <v>80</v>
      </c>
      <c r="P78" s="2" t="s">
        <v>116</v>
      </c>
      <c r="Q78" s="2" t="s">
        <v>1348</v>
      </c>
      <c r="R78" s="2"/>
      <c r="S78" s="2"/>
      <c r="T78" s="2" t="s">
        <v>80</v>
      </c>
      <c r="U78" s="2"/>
      <c r="V78" s="2" t="s">
        <v>92</v>
      </c>
      <c r="W78" s="2"/>
      <c r="X78" s="2" t="s">
        <v>1349</v>
      </c>
      <c r="Y78" s="2" t="s">
        <v>95</v>
      </c>
      <c r="Z78" s="2" t="s">
        <v>1350</v>
      </c>
      <c r="AA78" s="2" t="s">
        <v>1351</v>
      </c>
      <c r="AB78" s="2" t="s">
        <v>80</v>
      </c>
      <c r="AC78" s="2"/>
      <c r="AD78" s="2"/>
      <c r="AE78" s="2" t="s">
        <v>1352</v>
      </c>
      <c r="AF78" s="2" t="s">
        <v>79</v>
      </c>
      <c r="AG78" s="2" t="s">
        <v>1353</v>
      </c>
      <c r="AH78" s="2" t="s">
        <v>1345</v>
      </c>
      <c r="AI78" s="2" t="s">
        <v>82</v>
      </c>
      <c r="AJ78" s="2">
        <v>8.5</v>
      </c>
      <c r="AK78" s="2" t="s">
        <v>84</v>
      </c>
      <c r="AL78" s="2" t="s">
        <v>84</v>
      </c>
      <c r="AM78" s="2" t="s">
        <v>84</v>
      </c>
      <c r="AN78" s="2" t="s">
        <v>84</v>
      </c>
      <c r="AO78" s="2" t="s">
        <v>84</v>
      </c>
      <c r="AP78" s="2" t="s">
        <v>84</v>
      </c>
      <c r="AQ78" s="2" t="s">
        <v>85</v>
      </c>
      <c r="AR78" s="2" t="s">
        <v>86</v>
      </c>
      <c r="AS78" s="2" t="s">
        <v>84</v>
      </c>
      <c r="AT78" s="2" t="s">
        <v>84</v>
      </c>
      <c r="AU78" s="2" t="s">
        <v>80</v>
      </c>
      <c r="AV78" s="2" t="s">
        <v>80</v>
      </c>
      <c r="AW78" s="2"/>
      <c r="AX78" s="2" t="s">
        <v>80</v>
      </c>
      <c r="AY78" s="2"/>
      <c r="AZ78" s="2" t="s">
        <v>100</v>
      </c>
      <c r="BA78" s="2" t="s">
        <v>1354</v>
      </c>
      <c r="BB78" s="2" t="s">
        <v>102</v>
      </c>
      <c r="BC78" s="2" t="s">
        <v>79</v>
      </c>
      <c r="BD78" s="2"/>
      <c r="BE78" s="2" t="s">
        <v>1355</v>
      </c>
      <c r="BF78" s="2" t="s">
        <v>153</v>
      </c>
      <c r="BG78" s="2"/>
      <c r="BH78" s="2" t="s">
        <v>80</v>
      </c>
      <c r="BI78" s="2" t="s">
        <v>106</v>
      </c>
      <c r="BJ78" s="2" t="s">
        <v>107</v>
      </c>
      <c r="BK78" s="2" t="s">
        <v>1356</v>
      </c>
      <c r="BL78" s="2" t="s">
        <v>79</v>
      </c>
      <c r="BM78" s="2" t="s">
        <v>109</v>
      </c>
    </row>
    <row r="79" spans="1:65" ht="409.5" x14ac:dyDescent="0.25">
      <c r="A79" s="2" t="s">
        <v>1357</v>
      </c>
      <c r="B79" s="2">
        <v>2019</v>
      </c>
      <c r="C79" s="2" t="s">
        <v>111</v>
      </c>
      <c r="D79" s="2" t="s">
        <v>79</v>
      </c>
      <c r="E79" s="2" t="s">
        <v>79</v>
      </c>
      <c r="F79" s="2" t="s">
        <v>79</v>
      </c>
      <c r="G79" s="2"/>
      <c r="H79" s="2"/>
      <c r="I79" s="2"/>
      <c r="J79" s="2" t="s">
        <v>1344</v>
      </c>
      <c r="K79" s="2" t="s">
        <v>80</v>
      </c>
      <c r="L79" s="2" t="s">
        <v>1359</v>
      </c>
      <c r="M79" s="2" t="s">
        <v>1360</v>
      </c>
      <c r="N79" s="2" t="s">
        <v>89</v>
      </c>
      <c r="O79" s="2" t="s">
        <v>80</v>
      </c>
      <c r="P79" s="2" t="s">
        <v>116</v>
      </c>
      <c r="Q79" s="2" t="s">
        <v>1361</v>
      </c>
      <c r="R79" s="2"/>
      <c r="S79" s="2"/>
      <c r="T79" s="2" t="s">
        <v>80</v>
      </c>
      <c r="U79" s="2"/>
      <c r="V79" s="2" t="s">
        <v>92</v>
      </c>
      <c r="W79" s="2"/>
      <c r="X79" s="2" t="s">
        <v>1362</v>
      </c>
      <c r="Y79" s="2" t="s">
        <v>95</v>
      </c>
      <c r="Z79" s="2" t="s">
        <v>1363</v>
      </c>
      <c r="AA79" s="2" t="s">
        <v>1364</v>
      </c>
      <c r="AB79" s="2" t="s">
        <v>80</v>
      </c>
      <c r="AC79" s="2"/>
      <c r="AD79" s="2"/>
      <c r="AE79" s="2" t="s">
        <v>1365</v>
      </c>
      <c r="AF79" s="2" t="s">
        <v>79</v>
      </c>
      <c r="AG79" s="2" t="s">
        <v>1366</v>
      </c>
      <c r="AH79" s="2" t="s">
        <v>1358</v>
      </c>
      <c r="AI79" s="2" t="s">
        <v>82</v>
      </c>
      <c r="AJ79" s="2">
        <v>8.5</v>
      </c>
      <c r="AK79" s="2" t="s">
        <v>84</v>
      </c>
      <c r="AL79" s="2" t="s">
        <v>84</v>
      </c>
      <c r="AM79" s="2" t="s">
        <v>84</v>
      </c>
      <c r="AN79" s="2" t="s">
        <v>84</v>
      </c>
      <c r="AO79" s="2" t="s">
        <v>84</v>
      </c>
      <c r="AP79" s="2" t="s">
        <v>84</v>
      </c>
      <c r="AQ79" s="2" t="s">
        <v>84</v>
      </c>
      <c r="AR79" s="2" t="s">
        <v>86</v>
      </c>
      <c r="AS79" s="2" t="s">
        <v>84</v>
      </c>
      <c r="AT79" s="2" t="s">
        <v>85</v>
      </c>
      <c r="AU79" s="2" t="s">
        <v>80</v>
      </c>
      <c r="AV79" s="2" t="s">
        <v>80</v>
      </c>
      <c r="AW79" s="2"/>
      <c r="AX79" s="2" t="s">
        <v>80</v>
      </c>
      <c r="AY79" s="2" t="s">
        <v>1367</v>
      </c>
      <c r="AZ79" s="2" t="s">
        <v>303</v>
      </c>
      <c r="BA79" s="2" t="s">
        <v>1368</v>
      </c>
      <c r="BB79" s="2" t="s">
        <v>514</v>
      </c>
      <c r="BC79" s="2" t="s">
        <v>79</v>
      </c>
      <c r="BD79" s="2"/>
      <c r="BE79" s="2" t="s">
        <v>1369</v>
      </c>
      <c r="BF79" s="2" t="s">
        <v>153</v>
      </c>
      <c r="BG79" s="2"/>
      <c r="BH79" s="2" t="s">
        <v>80</v>
      </c>
      <c r="BI79" s="2" t="s">
        <v>79</v>
      </c>
      <c r="BJ79" s="2" t="s">
        <v>107</v>
      </c>
      <c r="BK79" s="2" t="s">
        <v>1370</v>
      </c>
      <c r="BL79" s="2" t="s">
        <v>79</v>
      </c>
      <c r="BM79" s="2" t="s">
        <v>268</v>
      </c>
    </row>
    <row r="80" spans="1:65" ht="409.5" x14ac:dyDescent="0.25">
      <c r="A80" s="2" t="s">
        <v>1371</v>
      </c>
      <c r="B80" s="2">
        <v>2020</v>
      </c>
      <c r="C80" s="2" t="s">
        <v>111</v>
      </c>
      <c r="D80" s="2" t="s">
        <v>79</v>
      </c>
      <c r="E80" s="2" t="s">
        <v>79</v>
      </c>
      <c r="F80" s="2" t="s">
        <v>80</v>
      </c>
      <c r="G80" s="2"/>
      <c r="H80" s="2"/>
      <c r="I80" s="2"/>
      <c r="J80" s="2" t="s">
        <v>1344</v>
      </c>
      <c r="K80" s="2" t="s">
        <v>80</v>
      </c>
      <c r="L80" s="2" t="s">
        <v>1373</v>
      </c>
      <c r="M80" s="2" t="s">
        <v>1374</v>
      </c>
      <c r="N80" s="2" t="s">
        <v>89</v>
      </c>
      <c r="O80" s="2" t="s">
        <v>80</v>
      </c>
      <c r="P80" s="2" t="s">
        <v>116</v>
      </c>
      <c r="Q80" s="2" t="s">
        <v>1375</v>
      </c>
      <c r="R80" s="2"/>
      <c r="S80" s="2"/>
      <c r="T80" s="2" t="s">
        <v>80</v>
      </c>
      <c r="U80" s="2"/>
      <c r="V80" s="2" t="s">
        <v>92</v>
      </c>
      <c r="W80" s="2"/>
      <c r="X80" s="2" t="s">
        <v>1376</v>
      </c>
      <c r="Y80" s="2" t="s">
        <v>95</v>
      </c>
      <c r="Z80" s="2" t="s">
        <v>1377</v>
      </c>
      <c r="AA80" s="2" t="s">
        <v>1378</v>
      </c>
      <c r="AB80" s="2" t="s">
        <v>80</v>
      </c>
      <c r="AC80" s="2"/>
      <c r="AD80" s="2"/>
      <c r="AE80" s="2" t="s">
        <v>1379</v>
      </c>
      <c r="AF80" s="2" t="s">
        <v>79</v>
      </c>
      <c r="AG80" s="2" t="s">
        <v>1380</v>
      </c>
      <c r="AH80" s="2" t="s">
        <v>1372</v>
      </c>
      <c r="AI80" s="2" t="s">
        <v>82</v>
      </c>
      <c r="AJ80" s="2">
        <v>8.5</v>
      </c>
      <c r="AK80" s="2" t="s">
        <v>84</v>
      </c>
      <c r="AL80" s="2" t="s">
        <v>84</v>
      </c>
      <c r="AM80" s="2" t="s">
        <v>84</v>
      </c>
      <c r="AN80" s="2" t="s">
        <v>84</v>
      </c>
      <c r="AO80" s="2" t="s">
        <v>84</v>
      </c>
      <c r="AP80" s="2" t="s">
        <v>84</v>
      </c>
      <c r="AQ80" s="2" t="s">
        <v>84</v>
      </c>
      <c r="AR80" s="2" t="s">
        <v>86</v>
      </c>
      <c r="AS80" s="2" t="s">
        <v>84</v>
      </c>
      <c r="AT80" s="2" t="s">
        <v>85</v>
      </c>
      <c r="AU80" s="2" t="s">
        <v>80</v>
      </c>
      <c r="AV80" s="2" t="s">
        <v>80</v>
      </c>
      <c r="AW80" s="2"/>
      <c r="AX80" s="2" t="s">
        <v>80</v>
      </c>
      <c r="AY80" s="2"/>
      <c r="AZ80" s="2" t="s">
        <v>100</v>
      </c>
      <c r="BA80" s="2" t="s">
        <v>1381</v>
      </c>
      <c r="BB80" s="2" t="s">
        <v>102</v>
      </c>
      <c r="BC80" s="2" t="s">
        <v>79</v>
      </c>
      <c r="BD80" s="2"/>
      <c r="BE80" s="2" t="s">
        <v>1382</v>
      </c>
      <c r="BF80" s="2" t="s">
        <v>153</v>
      </c>
      <c r="BG80" s="2"/>
      <c r="BH80" s="2" t="s">
        <v>80</v>
      </c>
      <c r="BI80" s="2" t="s">
        <v>79</v>
      </c>
      <c r="BJ80" s="2" t="s">
        <v>107</v>
      </c>
      <c r="BK80" s="2" t="s">
        <v>1383</v>
      </c>
      <c r="BL80" s="2" t="s">
        <v>79</v>
      </c>
      <c r="BM80" s="2" t="s">
        <v>109</v>
      </c>
    </row>
    <row r="81" spans="1:65" ht="409.5" x14ac:dyDescent="0.25">
      <c r="A81" s="2" t="s">
        <v>1384</v>
      </c>
      <c r="B81" s="2">
        <v>2025</v>
      </c>
      <c r="C81" s="2" t="s">
        <v>143</v>
      </c>
      <c r="D81" s="2" t="s">
        <v>79</v>
      </c>
      <c r="E81" s="2" t="s">
        <v>79</v>
      </c>
      <c r="F81" s="2" t="s">
        <v>79</v>
      </c>
      <c r="G81" s="2"/>
      <c r="H81" s="2"/>
      <c r="I81" s="2"/>
      <c r="J81" s="2" t="s">
        <v>1385</v>
      </c>
      <c r="K81" s="2" t="s">
        <v>92</v>
      </c>
      <c r="L81" s="2" t="s">
        <v>1387</v>
      </c>
      <c r="M81" s="2" t="s">
        <v>1388</v>
      </c>
      <c r="N81" s="2" t="s">
        <v>842</v>
      </c>
      <c r="O81" s="2" t="s">
        <v>106</v>
      </c>
      <c r="P81" s="2" t="s">
        <v>116</v>
      </c>
      <c r="Q81" s="2" t="s">
        <v>1389</v>
      </c>
      <c r="R81" s="2"/>
      <c r="S81" s="2"/>
      <c r="T81" s="2" t="s">
        <v>80</v>
      </c>
      <c r="U81" s="2"/>
      <c r="V81" s="2" t="s">
        <v>92</v>
      </c>
      <c r="W81" s="2"/>
      <c r="X81" s="2" t="s">
        <v>1390</v>
      </c>
      <c r="Y81" s="2" t="s">
        <v>95</v>
      </c>
      <c r="Z81" s="2" t="s">
        <v>1391</v>
      </c>
      <c r="AA81" s="2" t="s">
        <v>1392</v>
      </c>
      <c r="AB81" s="2" t="s">
        <v>80</v>
      </c>
      <c r="AC81" s="2"/>
      <c r="AD81" s="2"/>
      <c r="AE81" s="2" t="s">
        <v>1393</v>
      </c>
      <c r="AF81" s="2" t="s">
        <v>79</v>
      </c>
      <c r="AG81" s="2" t="s">
        <v>1394</v>
      </c>
      <c r="AH81" s="2" t="s">
        <v>1386</v>
      </c>
      <c r="AI81" s="2" t="s">
        <v>82</v>
      </c>
      <c r="AJ81" s="2">
        <v>9</v>
      </c>
      <c r="AK81" s="2" t="s">
        <v>84</v>
      </c>
      <c r="AL81" s="2" t="s">
        <v>84</v>
      </c>
      <c r="AM81" s="2" t="s">
        <v>84</v>
      </c>
      <c r="AN81" s="2" t="s">
        <v>84</v>
      </c>
      <c r="AO81" s="2" t="s">
        <v>84</v>
      </c>
      <c r="AP81" s="2" t="s">
        <v>84</v>
      </c>
      <c r="AQ81" s="2" t="s">
        <v>84</v>
      </c>
      <c r="AR81" s="2" t="s">
        <v>86</v>
      </c>
      <c r="AS81" s="2" t="s">
        <v>84</v>
      </c>
      <c r="AT81" s="2" t="s">
        <v>84</v>
      </c>
      <c r="AU81" s="2" t="s">
        <v>80</v>
      </c>
      <c r="AV81" s="2" t="s">
        <v>80</v>
      </c>
      <c r="AW81" s="2"/>
      <c r="AX81" s="2" t="s">
        <v>80</v>
      </c>
      <c r="AY81" s="2" t="s">
        <v>1395</v>
      </c>
      <c r="AZ81" s="2" t="s">
        <v>100</v>
      </c>
      <c r="BA81" s="2" t="s">
        <v>1396</v>
      </c>
      <c r="BB81" s="2" t="s">
        <v>102</v>
      </c>
      <c r="BC81" s="2" t="s">
        <v>79</v>
      </c>
      <c r="BD81" s="2"/>
      <c r="BE81" s="2" t="s">
        <v>1397</v>
      </c>
      <c r="BF81" s="2" t="s">
        <v>856</v>
      </c>
      <c r="BG81" s="2" t="s">
        <v>1398</v>
      </c>
      <c r="BH81" s="2" t="s">
        <v>79</v>
      </c>
      <c r="BI81" s="2" t="s">
        <v>79</v>
      </c>
      <c r="BJ81" s="2" t="s">
        <v>107</v>
      </c>
      <c r="BK81" s="2" t="s">
        <v>1399</v>
      </c>
      <c r="BL81" s="2" t="s">
        <v>79</v>
      </c>
      <c r="BM81" s="2" t="s">
        <v>172</v>
      </c>
    </row>
    <row r="82" spans="1:65" ht="375" x14ac:dyDescent="0.25">
      <c r="A82" s="2" t="s">
        <v>1400</v>
      </c>
      <c r="B82" s="2">
        <v>2018</v>
      </c>
      <c r="C82" s="2" t="s">
        <v>111</v>
      </c>
      <c r="D82" s="2" t="s">
        <v>80</v>
      </c>
      <c r="E82" s="2" t="s">
        <v>80</v>
      </c>
      <c r="F82" s="2" t="s">
        <v>79</v>
      </c>
      <c r="G82" s="2"/>
      <c r="H82" s="2"/>
      <c r="I82" s="2"/>
      <c r="J82" s="2"/>
      <c r="K82" s="2" t="s">
        <v>80</v>
      </c>
      <c r="L82" s="2" t="s">
        <v>1402</v>
      </c>
      <c r="M82" s="2"/>
      <c r="N82" s="2" t="s">
        <v>143</v>
      </c>
      <c r="O82" s="2"/>
      <c r="P82" s="2"/>
      <c r="Q82" s="2"/>
      <c r="R82" s="2"/>
      <c r="S82" s="2" t="s">
        <v>155</v>
      </c>
      <c r="T82" s="2" t="s">
        <v>79</v>
      </c>
      <c r="U82" s="2" t="s">
        <v>1403</v>
      </c>
      <c r="V82" s="2" t="s">
        <v>92</v>
      </c>
      <c r="W82" s="2" t="s">
        <v>213</v>
      </c>
      <c r="X82" s="2" t="s">
        <v>1404</v>
      </c>
      <c r="Y82" s="2" t="s">
        <v>95</v>
      </c>
      <c r="Z82" s="2"/>
      <c r="AA82" s="2"/>
      <c r="AB82" s="2" t="s">
        <v>80</v>
      </c>
      <c r="AC82" s="2"/>
      <c r="AD82" s="2"/>
      <c r="AE82" s="2"/>
      <c r="AF82" s="2" t="s">
        <v>80</v>
      </c>
      <c r="AG82" s="2"/>
      <c r="AH82" s="2" t="s">
        <v>1401</v>
      </c>
      <c r="AI82" s="2" t="s">
        <v>82</v>
      </c>
      <c r="AJ82" s="2">
        <v>7</v>
      </c>
      <c r="AK82" s="2" t="s">
        <v>84</v>
      </c>
      <c r="AL82" s="2" t="s">
        <v>84</v>
      </c>
      <c r="AM82" s="2" t="s">
        <v>85</v>
      </c>
      <c r="AN82" s="2" t="s">
        <v>86</v>
      </c>
      <c r="AO82" s="2" t="s">
        <v>84</v>
      </c>
      <c r="AP82" s="2" t="s">
        <v>84</v>
      </c>
      <c r="AQ82" s="2" t="s">
        <v>84</v>
      </c>
      <c r="AR82" s="2" t="s">
        <v>84</v>
      </c>
      <c r="AS82" s="2" t="s">
        <v>86</v>
      </c>
      <c r="AT82" s="2" t="s">
        <v>85</v>
      </c>
      <c r="AU82" s="2"/>
      <c r="AV82" s="2" t="s">
        <v>80</v>
      </c>
      <c r="AW82" s="2"/>
      <c r="AX82" s="2"/>
      <c r="AY82" s="2" t="s">
        <v>1405</v>
      </c>
      <c r="AZ82" s="2" t="s">
        <v>1143</v>
      </c>
      <c r="BA82" s="2" t="s">
        <v>1406</v>
      </c>
      <c r="BB82" s="2" t="s">
        <v>514</v>
      </c>
      <c r="BC82" s="2" t="s">
        <v>79</v>
      </c>
      <c r="BD82" s="2" t="s">
        <v>1407</v>
      </c>
      <c r="BE82" s="2" t="s">
        <v>1408</v>
      </c>
      <c r="BF82" s="2" t="s">
        <v>648</v>
      </c>
      <c r="BG82" s="2"/>
      <c r="BH82" s="2" t="s">
        <v>80</v>
      </c>
      <c r="BI82" s="2" t="s">
        <v>106</v>
      </c>
      <c r="BJ82" s="2"/>
      <c r="BK82" s="2" t="s">
        <v>1409</v>
      </c>
      <c r="BL82" s="2" t="s">
        <v>79</v>
      </c>
      <c r="BM82" s="2" t="s">
        <v>109</v>
      </c>
    </row>
    <row r="83" spans="1:65" ht="409.5" x14ac:dyDescent="0.25">
      <c r="A83" s="2" t="s">
        <v>1410</v>
      </c>
      <c r="B83" s="2">
        <v>1966</v>
      </c>
      <c r="C83" s="2" t="s">
        <v>111</v>
      </c>
      <c r="D83" s="2" t="s">
        <v>79</v>
      </c>
      <c r="E83" s="2" t="s">
        <v>79</v>
      </c>
      <c r="F83" s="2" t="s">
        <v>79</v>
      </c>
      <c r="G83" s="2"/>
      <c r="H83" s="2"/>
      <c r="I83" s="2"/>
      <c r="J83" s="2" t="s">
        <v>81</v>
      </c>
      <c r="K83" s="2" t="s">
        <v>92</v>
      </c>
      <c r="L83" s="2" t="s">
        <v>1412</v>
      </c>
      <c r="M83" s="2" t="s">
        <v>1413</v>
      </c>
      <c r="N83" s="2" t="s">
        <v>89</v>
      </c>
      <c r="O83" s="2" t="s">
        <v>79</v>
      </c>
      <c r="P83" s="2" t="s">
        <v>194</v>
      </c>
      <c r="Q83" s="2" t="s">
        <v>1414</v>
      </c>
      <c r="R83" s="2"/>
      <c r="S83" s="2"/>
      <c r="T83" s="2" t="s">
        <v>80</v>
      </c>
      <c r="U83" s="2"/>
      <c r="V83" s="2" t="s">
        <v>92</v>
      </c>
      <c r="W83" s="2" t="s">
        <v>357</v>
      </c>
      <c r="X83" s="2" t="s">
        <v>1415</v>
      </c>
      <c r="Y83" s="2" t="s">
        <v>95</v>
      </c>
      <c r="Z83" s="2" t="s">
        <v>1416</v>
      </c>
      <c r="AA83" s="2" t="s">
        <v>1417</v>
      </c>
      <c r="AB83" s="2" t="s">
        <v>80</v>
      </c>
      <c r="AC83" s="2"/>
      <c r="AD83" s="2"/>
      <c r="AE83" s="2"/>
      <c r="AF83" s="2" t="s">
        <v>79</v>
      </c>
      <c r="AG83" s="2" t="s">
        <v>1418</v>
      </c>
      <c r="AH83" s="2" t="s">
        <v>1411</v>
      </c>
      <c r="AI83" s="2" t="s">
        <v>82</v>
      </c>
      <c r="AJ83" s="2">
        <v>6.5</v>
      </c>
      <c r="AK83" s="2" t="s">
        <v>84</v>
      </c>
      <c r="AL83" s="2" t="s">
        <v>86</v>
      </c>
      <c r="AM83" s="2" t="s">
        <v>84</v>
      </c>
      <c r="AN83" s="2" t="s">
        <v>84</v>
      </c>
      <c r="AO83" s="2" t="s">
        <v>84</v>
      </c>
      <c r="AP83" s="2" t="s">
        <v>84</v>
      </c>
      <c r="AQ83" s="2" t="s">
        <v>86</v>
      </c>
      <c r="AR83" s="2" t="s">
        <v>86</v>
      </c>
      <c r="AS83" s="2" t="s">
        <v>84</v>
      </c>
      <c r="AT83" s="2" t="s">
        <v>85</v>
      </c>
      <c r="AU83" s="2"/>
      <c r="AV83" s="2" t="s">
        <v>80</v>
      </c>
      <c r="AW83" s="2"/>
      <c r="AX83" s="2"/>
      <c r="AY83" s="2" t="s">
        <v>1419</v>
      </c>
      <c r="AZ83" s="2" t="s">
        <v>100</v>
      </c>
      <c r="BA83" s="2" t="s">
        <v>1420</v>
      </c>
      <c r="BB83" s="2" t="s">
        <v>102</v>
      </c>
      <c r="BC83" s="2" t="s">
        <v>79</v>
      </c>
      <c r="BD83" s="2"/>
      <c r="BE83" s="2" t="s">
        <v>1421</v>
      </c>
      <c r="BF83" s="2" t="s">
        <v>104</v>
      </c>
      <c r="BG83" s="2" t="s">
        <v>1422</v>
      </c>
      <c r="BH83" s="2" t="s">
        <v>80</v>
      </c>
      <c r="BI83" s="2" t="s">
        <v>80</v>
      </c>
      <c r="BJ83" s="2" t="s">
        <v>107</v>
      </c>
      <c r="BK83" s="2" t="s">
        <v>1423</v>
      </c>
      <c r="BL83" s="2" t="s">
        <v>79</v>
      </c>
      <c r="BM83" s="2" t="s">
        <v>1424</v>
      </c>
    </row>
    <row r="84" spans="1:65" ht="409.5" x14ac:dyDescent="0.25">
      <c r="A84" s="2" t="s">
        <v>1425</v>
      </c>
      <c r="B84" s="2">
        <v>1994</v>
      </c>
      <c r="C84" s="2" t="s">
        <v>111</v>
      </c>
      <c r="D84" s="2" t="s">
        <v>79</v>
      </c>
      <c r="E84" s="2" t="s">
        <v>80</v>
      </c>
      <c r="F84" s="2" t="s">
        <v>79</v>
      </c>
      <c r="G84" s="2"/>
      <c r="H84" s="2"/>
      <c r="I84" s="2"/>
      <c r="J84" s="2"/>
      <c r="K84" s="2" t="s">
        <v>80</v>
      </c>
      <c r="L84" s="2" t="s">
        <v>1427</v>
      </c>
      <c r="M84" s="2"/>
      <c r="N84" s="2" t="s">
        <v>143</v>
      </c>
      <c r="O84" s="2" t="s">
        <v>80</v>
      </c>
      <c r="P84" s="2"/>
      <c r="Q84" s="2" t="s">
        <v>1428</v>
      </c>
      <c r="R84" s="2"/>
      <c r="S84" s="2"/>
      <c r="T84" s="2" t="s">
        <v>80</v>
      </c>
      <c r="U84" s="2"/>
      <c r="V84" s="2"/>
      <c r="W84" s="2" t="s">
        <v>1429</v>
      </c>
      <c r="X84" s="2" t="s">
        <v>1430</v>
      </c>
      <c r="Y84" s="2" t="s">
        <v>95</v>
      </c>
      <c r="Z84" s="2"/>
      <c r="AA84" s="2"/>
      <c r="AB84" s="2" t="s">
        <v>80</v>
      </c>
      <c r="AC84" s="2"/>
      <c r="AD84" s="2"/>
      <c r="AE84" s="2"/>
      <c r="AF84" s="2" t="s">
        <v>80</v>
      </c>
      <c r="AG84" s="2" t="s">
        <v>1431</v>
      </c>
      <c r="AH84" s="2" t="s">
        <v>1426</v>
      </c>
      <c r="AI84" s="2" t="s">
        <v>82</v>
      </c>
      <c r="AJ84" s="2">
        <v>6.5</v>
      </c>
      <c r="AK84" s="2" t="s">
        <v>84</v>
      </c>
      <c r="AL84" s="2" t="s">
        <v>84</v>
      </c>
      <c r="AM84" s="2" t="s">
        <v>84</v>
      </c>
      <c r="AN84" s="2" t="s">
        <v>86</v>
      </c>
      <c r="AO84" s="2" t="s">
        <v>84</v>
      </c>
      <c r="AP84" s="2" t="s">
        <v>84</v>
      </c>
      <c r="AQ84" s="2" t="s">
        <v>84</v>
      </c>
      <c r="AR84" s="2" t="s">
        <v>86</v>
      </c>
      <c r="AS84" s="2" t="s">
        <v>86</v>
      </c>
      <c r="AT84" s="2" t="s">
        <v>85</v>
      </c>
      <c r="AU84" s="2"/>
      <c r="AV84" s="2" t="s">
        <v>80</v>
      </c>
      <c r="AW84" s="2"/>
      <c r="AX84" s="2"/>
      <c r="AY84" s="2" t="s">
        <v>1432</v>
      </c>
      <c r="AZ84" s="2" t="s">
        <v>303</v>
      </c>
      <c r="BA84" s="2" t="s">
        <v>1433</v>
      </c>
      <c r="BB84" s="2" t="s">
        <v>514</v>
      </c>
      <c r="BC84" s="2" t="s">
        <v>79</v>
      </c>
      <c r="BD84" s="2" t="s">
        <v>1434</v>
      </c>
      <c r="BE84" s="2" t="s">
        <v>1435</v>
      </c>
      <c r="BF84" s="2" t="s">
        <v>648</v>
      </c>
      <c r="BG84" s="2"/>
      <c r="BH84" s="2" t="s">
        <v>80</v>
      </c>
      <c r="BI84" s="2" t="s">
        <v>79</v>
      </c>
      <c r="BJ84" s="2"/>
      <c r="BK84" s="2"/>
      <c r="BL84" s="2" t="s">
        <v>80</v>
      </c>
      <c r="BM84" s="2" t="s">
        <v>172</v>
      </c>
    </row>
    <row r="85" spans="1:65" ht="405" x14ac:dyDescent="0.25">
      <c r="A85" s="2" t="s">
        <v>1436</v>
      </c>
      <c r="B85" s="2">
        <v>1999</v>
      </c>
      <c r="C85" s="2" t="s">
        <v>111</v>
      </c>
      <c r="D85" s="2" t="s">
        <v>79</v>
      </c>
      <c r="E85" s="2" t="s">
        <v>80</v>
      </c>
      <c r="F85" s="2" t="s">
        <v>79</v>
      </c>
      <c r="G85" s="2"/>
      <c r="H85" s="2"/>
      <c r="I85" s="2"/>
      <c r="J85" s="2"/>
      <c r="K85" s="2" t="s">
        <v>80</v>
      </c>
      <c r="L85" s="2" t="s">
        <v>1438</v>
      </c>
      <c r="M85" s="2"/>
      <c r="N85" s="2" t="s">
        <v>143</v>
      </c>
      <c r="O85" s="2" t="s">
        <v>80</v>
      </c>
      <c r="P85" s="2"/>
      <c r="Q85" s="2" t="s">
        <v>1439</v>
      </c>
      <c r="R85" s="2"/>
      <c r="S85" s="2"/>
      <c r="T85" s="2" t="s">
        <v>80</v>
      </c>
      <c r="U85" s="2"/>
      <c r="V85" s="2"/>
      <c r="W85" s="2" t="s">
        <v>639</v>
      </c>
      <c r="X85" s="2" t="s">
        <v>1440</v>
      </c>
      <c r="Y85" s="2" t="s">
        <v>95</v>
      </c>
      <c r="Z85" s="2"/>
      <c r="AA85" s="2"/>
      <c r="AB85" s="2" t="s">
        <v>80</v>
      </c>
      <c r="AC85" s="2"/>
      <c r="AD85" s="2"/>
      <c r="AE85" s="2"/>
      <c r="AF85" s="2" t="s">
        <v>80</v>
      </c>
      <c r="AG85" s="2" t="s">
        <v>1441</v>
      </c>
      <c r="AH85" s="2" t="s">
        <v>1437</v>
      </c>
      <c r="AI85" s="2" t="s">
        <v>82</v>
      </c>
      <c r="AJ85" s="2">
        <v>6.5</v>
      </c>
      <c r="AK85" s="2" t="s">
        <v>84</v>
      </c>
      <c r="AL85" s="2" t="s">
        <v>84</v>
      </c>
      <c r="AM85" s="2" t="s">
        <v>84</v>
      </c>
      <c r="AN85" s="2" t="s">
        <v>86</v>
      </c>
      <c r="AO85" s="2" t="s">
        <v>84</v>
      </c>
      <c r="AP85" s="2" t="s">
        <v>84</v>
      </c>
      <c r="AQ85" s="2" t="s">
        <v>84</v>
      </c>
      <c r="AR85" s="2" t="s">
        <v>86</v>
      </c>
      <c r="AS85" s="2" t="s">
        <v>86</v>
      </c>
      <c r="AT85" s="2" t="s">
        <v>85</v>
      </c>
      <c r="AU85" s="2"/>
      <c r="AV85" s="2" t="s">
        <v>80</v>
      </c>
      <c r="AW85" s="2"/>
      <c r="AX85" s="2"/>
      <c r="AY85" s="2" t="s">
        <v>1442</v>
      </c>
      <c r="AZ85" s="2" t="s">
        <v>303</v>
      </c>
      <c r="BA85" s="2" t="s">
        <v>1443</v>
      </c>
      <c r="BB85" s="2" t="s">
        <v>514</v>
      </c>
      <c r="BC85" s="2" t="s">
        <v>79</v>
      </c>
      <c r="BD85" s="2" t="s">
        <v>1434</v>
      </c>
      <c r="BE85" s="2" t="s">
        <v>1444</v>
      </c>
      <c r="BF85" s="2" t="s">
        <v>648</v>
      </c>
      <c r="BG85" s="2"/>
      <c r="BH85" s="2" t="s">
        <v>80</v>
      </c>
      <c r="BI85" s="2" t="s">
        <v>79</v>
      </c>
      <c r="BJ85" s="2"/>
      <c r="BK85" s="2"/>
      <c r="BL85" s="2" t="s">
        <v>80</v>
      </c>
      <c r="BM85" s="2" t="s">
        <v>172</v>
      </c>
    </row>
    <row r="86" spans="1:65" ht="405" x14ac:dyDescent="0.25">
      <c r="A86" s="2" t="s">
        <v>1445</v>
      </c>
      <c r="B86" s="2">
        <v>2004</v>
      </c>
      <c r="C86" s="2" t="s">
        <v>189</v>
      </c>
      <c r="D86" s="2" t="s">
        <v>79</v>
      </c>
      <c r="E86" s="2" t="s">
        <v>80</v>
      </c>
      <c r="F86" s="2" t="s">
        <v>79</v>
      </c>
      <c r="G86" s="2"/>
      <c r="H86" s="2"/>
      <c r="I86" s="2"/>
      <c r="J86" s="2"/>
      <c r="K86" s="2" t="s">
        <v>80</v>
      </c>
      <c r="L86" s="2" t="s">
        <v>1447</v>
      </c>
      <c r="M86" s="2"/>
      <c r="N86" s="2" t="s">
        <v>89</v>
      </c>
      <c r="O86" s="2" t="s">
        <v>80</v>
      </c>
      <c r="P86" s="2"/>
      <c r="Q86" s="2" t="s">
        <v>1448</v>
      </c>
      <c r="R86" s="2"/>
      <c r="S86" s="2"/>
      <c r="T86" s="2" t="s">
        <v>80</v>
      </c>
      <c r="U86" s="2"/>
      <c r="V86" s="2" t="s">
        <v>92</v>
      </c>
      <c r="W86" s="2" t="s">
        <v>357</v>
      </c>
      <c r="X86" s="2" t="s">
        <v>1449</v>
      </c>
      <c r="Y86" s="2" t="s">
        <v>95</v>
      </c>
      <c r="Z86" s="2" t="s">
        <v>1450</v>
      </c>
      <c r="AA86" s="2" t="s">
        <v>1451</v>
      </c>
      <c r="AB86" s="2" t="s">
        <v>80</v>
      </c>
      <c r="AC86" s="2"/>
      <c r="AD86" s="2"/>
      <c r="AE86" s="2"/>
      <c r="AF86" s="2" t="s">
        <v>79</v>
      </c>
      <c r="AG86" s="2" t="s">
        <v>1452</v>
      </c>
      <c r="AH86" s="2" t="s">
        <v>1446</v>
      </c>
      <c r="AI86" s="2" t="s">
        <v>82</v>
      </c>
      <c r="AJ86" s="2">
        <v>9</v>
      </c>
      <c r="AK86" s="2" t="s">
        <v>84</v>
      </c>
      <c r="AL86" s="2" t="s">
        <v>84</v>
      </c>
      <c r="AM86" s="2" t="s">
        <v>84</v>
      </c>
      <c r="AN86" s="2" t="s">
        <v>84</v>
      </c>
      <c r="AO86" s="2" t="s">
        <v>84</v>
      </c>
      <c r="AP86" s="2" t="s">
        <v>84</v>
      </c>
      <c r="AQ86" s="2" t="s">
        <v>84</v>
      </c>
      <c r="AR86" s="2" t="s">
        <v>86</v>
      </c>
      <c r="AS86" s="2" t="s">
        <v>84</v>
      </c>
      <c r="AT86" s="2" t="s">
        <v>84</v>
      </c>
      <c r="AU86" s="2"/>
      <c r="AV86" s="2" t="s">
        <v>80</v>
      </c>
      <c r="AW86" s="2"/>
      <c r="AX86" s="2"/>
      <c r="AY86" s="2" t="s">
        <v>1453</v>
      </c>
      <c r="AZ86" s="2" t="s">
        <v>303</v>
      </c>
      <c r="BA86" s="2" t="s">
        <v>1454</v>
      </c>
      <c r="BB86" s="2" t="s">
        <v>143</v>
      </c>
      <c r="BC86" s="2" t="s">
        <v>79</v>
      </c>
      <c r="BD86" s="2"/>
      <c r="BE86" s="2" t="s">
        <v>1455</v>
      </c>
      <c r="BF86" s="2" t="s">
        <v>153</v>
      </c>
      <c r="BG86" s="2"/>
      <c r="BH86" s="2" t="s">
        <v>80</v>
      </c>
      <c r="BI86" s="2" t="s">
        <v>79</v>
      </c>
      <c r="BJ86" s="2" t="s">
        <v>206</v>
      </c>
      <c r="BK86" s="2" t="s">
        <v>1456</v>
      </c>
      <c r="BL86" s="2" t="s">
        <v>79</v>
      </c>
      <c r="BM86" s="2" t="s">
        <v>172</v>
      </c>
    </row>
    <row r="87" spans="1:65" ht="409.5" x14ac:dyDescent="0.25">
      <c r="A87" s="2" t="s">
        <v>1457</v>
      </c>
      <c r="B87" s="2">
        <v>2015</v>
      </c>
      <c r="C87" s="2" t="s">
        <v>111</v>
      </c>
      <c r="D87" s="2" t="s">
        <v>79</v>
      </c>
      <c r="E87" s="2" t="s">
        <v>80</v>
      </c>
      <c r="F87" s="2" t="s">
        <v>79</v>
      </c>
      <c r="G87" s="2"/>
      <c r="H87" s="2"/>
      <c r="I87" s="2"/>
      <c r="J87" s="2"/>
      <c r="K87" s="2" t="s">
        <v>80</v>
      </c>
      <c r="L87" s="2" t="s">
        <v>1459</v>
      </c>
      <c r="M87" s="2"/>
      <c r="N87" s="2" t="s">
        <v>143</v>
      </c>
      <c r="O87" s="2" t="s">
        <v>80</v>
      </c>
      <c r="P87" s="2"/>
      <c r="Q87" s="2" t="s">
        <v>1460</v>
      </c>
      <c r="R87" s="2"/>
      <c r="S87" s="2"/>
      <c r="T87" s="2" t="s">
        <v>80</v>
      </c>
      <c r="U87" s="2"/>
      <c r="V87" s="2"/>
      <c r="W87" s="2" t="s">
        <v>93</v>
      </c>
      <c r="X87" s="2" t="s">
        <v>1461</v>
      </c>
      <c r="Y87" s="2" t="s">
        <v>95</v>
      </c>
      <c r="Z87" s="2"/>
      <c r="AA87" s="2"/>
      <c r="AB87" s="2" t="s">
        <v>80</v>
      </c>
      <c r="AC87" s="2"/>
      <c r="AD87" s="2"/>
      <c r="AE87" s="2"/>
      <c r="AF87" s="2" t="s">
        <v>80</v>
      </c>
      <c r="AG87" s="2" t="s">
        <v>1462</v>
      </c>
      <c r="AH87" s="2" t="s">
        <v>1458</v>
      </c>
      <c r="AI87" s="2" t="s">
        <v>82</v>
      </c>
      <c r="AJ87" s="2">
        <v>7.5</v>
      </c>
      <c r="AK87" s="2" t="s">
        <v>84</v>
      </c>
      <c r="AL87" s="2" t="s">
        <v>84</v>
      </c>
      <c r="AM87" s="2" t="s">
        <v>84</v>
      </c>
      <c r="AN87" s="2" t="s">
        <v>86</v>
      </c>
      <c r="AO87" s="2" t="s">
        <v>84</v>
      </c>
      <c r="AP87" s="2" t="s">
        <v>84</v>
      </c>
      <c r="AQ87" s="2" t="s">
        <v>84</v>
      </c>
      <c r="AR87" s="2" t="s">
        <v>86</v>
      </c>
      <c r="AS87" s="2" t="s">
        <v>85</v>
      </c>
      <c r="AT87" s="2" t="s">
        <v>84</v>
      </c>
      <c r="AU87" s="2"/>
      <c r="AV87" s="2" t="s">
        <v>80</v>
      </c>
      <c r="AW87" s="2"/>
      <c r="AX87" s="2"/>
      <c r="AY87" s="2" t="s">
        <v>1463</v>
      </c>
      <c r="AZ87" s="2" t="s">
        <v>303</v>
      </c>
      <c r="BA87" s="2" t="s">
        <v>1464</v>
      </c>
      <c r="BB87" s="2" t="s">
        <v>514</v>
      </c>
      <c r="BC87" s="2" t="s">
        <v>79</v>
      </c>
      <c r="BD87" s="2" t="s">
        <v>1434</v>
      </c>
      <c r="BE87" s="2" t="s">
        <v>1465</v>
      </c>
      <c r="BF87" s="2" t="s">
        <v>648</v>
      </c>
      <c r="BG87" s="2"/>
      <c r="BH87" s="2" t="s">
        <v>80</v>
      </c>
      <c r="BI87" s="2" t="s">
        <v>79</v>
      </c>
      <c r="BJ87" s="2"/>
      <c r="BK87" s="2"/>
      <c r="BL87" s="2" t="s">
        <v>80</v>
      </c>
      <c r="BM87" s="2" t="s">
        <v>172</v>
      </c>
    </row>
    <row r="88" spans="1:65" ht="409.5" x14ac:dyDescent="0.25">
      <c r="A88" s="2" t="s">
        <v>1466</v>
      </c>
      <c r="B88" s="2">
        <v>2014</v>
      </c>
      <c r="C88" s="2" t="s">
        <v>111</v>
      </c>
      <c r="D88" s="2" t="s">
        <v>79</v>
      </c>
      <c r="E88" s="2" t="s">
        <v>80</v>
      </c>
      <c r="F88" s="2" t="s">
        <v>79</v>
      </c>
      <c r="G88" s="2"/>
      <c r="H88" s="2"/>
      <c r="I88" s="2"/>
      <c r="J88" s="2"/>
      <c r="K88" s="2" t="s">
        <v>80</v>
      </c>
      <c r="L88" s="2" t="s">
        <v>1468</v>
      </c>
      <c r="M88" s="2"/>
      <c r="N88" s="2" t="s">
        <v>143</v>
      </c>
      <c r="O88" s="2" t="s">
        <v>80</v>
      </c>
      <c r="P88" s="2"/>
      <c r="Q88" s="2" t="s">
        <v>1469</v>
      </c>
      <c r="R88" s="2"/>
      <c r="S88" s="2"/>
      <c r="T88" s="2" t="s">
        <v>80</v>
      </c>
      <c r="U88" s="2"/>
      <c r="V88" s="2"/>
      <c r="W88" s="2" t="s">
        <v>118</v>
      </c>
      <c r="X88" s="2" t="s">
        <v>1470</v>
      </c>
      <c r="Y88" s="2" t="s">
        <v>95</v>
      </c>
      <c r="Z88" s="2"/>
      <c r="AA88" s="2"/>
      <c r="AB88" s="2" t="s">
        <v>80</v>
      </c>
      <c r="AC88" s="2"/>
      <c r="AD88" s="2"/>
      <c r="AE88" s="2"/>
      <c r="AF88" s="2" t="s">
        <v>80</v>
      </c>
      <c r="AG88" s="2" t="s">
        <v>1471</v>
      </c>
      <c r="AH88" s="2" t="s">
        <v>1467</v>
      </c>
      <c r="AI88" s="2" t="s">
        <v>82</v>
      </c>
      <c r="AJ88" s="2">
        <v>6.5</v>
      </c>
      <c r="AK88" s="2" t="s">
        <v>84</v>
      </c>
      <c r="AL88" s="2" t="s">
        <v>84</v>
      </c>
      <c r="AM88" s="2" t="s">
        <v>84</v>
      </c>
      <c r="AN88" s="2" t="s">
        <v>86</v>
      </c>
      <c r="AO88" s="2" t="s">
        <v>84</v>
      </c>
      <c r="AP88" s="2" t="s">
        <v>84</v>
      </c>
      <c r="AQ88" s="2" t="s">
        <v>84</v>
      </c>
      <c r="AR88" s="2" t="s">
        <v>86</v>
      </c>
      <c r="AS88" s="2" t="s">
        <v>86</v>
      </c>
      <c r="AT88" s="2" t="s">
        <v>85</v>
      </c>
      <c r="AU88" s="2"/>
      <c r="AV88" s="2" t="s">
        <v>80</v>
      </c>
      <c r="AW88" s="2"/>
      <c r="AX88" s="2"/>
      <c r="AY88" s="2" t="s">
        <v>1472</v>
      </c>
      <c r="AZ88" s="2" t="s">
        <v>303</v>
      </c>
      <c r="BA88" s="2" t="s">
        <v>1473</v>
      </c>
      <c r="BB88" s="2" t="s">
        <v>514</v>
      </c>
      <c r="BC88" s="2" t="s">
        <v>79</v>
      </c>
      <c r="BD88" s="2" t="s">
        <v>1434</v>
      </c>
      <c r="BE88" s="2" t="s">
        <v>1474</v>
      </c>
      <c r="BF88" s="2" t="s">
        <v>648</v>
      </c>
      <c r="BG88" s="2"/>
      <c r="BH88" s="2" t="s">
        <v>80</v>
      </c>
      <c r="BI88" s="2" t="s">
        <v>79</v>
      </c>
      <c r="BJ88" s="2"/>
      <c r="BK88" s="2"/>
      <c r="BL88" s="2" t="s">
        <v>80</v>
      </c>
      <c r="BM88" s="2" t="s">
        <v>172</v>
      </c>
    </row>
    <row r="89" spans="1:65" ht="409.5" x14ac:dyDescent="0.25">
      <c r="A89" s="2" t="s">
        <v>1475</v>
      </c>
      <c r="B89" s="2">
        <v>2019</v>
      </c>
      <c r="C89" s="2" t="s">
        <v>111</v>
      </c>
      <c r="D89" s="2" t="s">
        <v>79</v>
      </c>
      <c r="E89" s="2" t="s">
        <v>79</v>
      </c>
      <c r="F89" s="2" t="s">
        <v>79</v>
      </c>
      <c r="G89" s="2"/>
      <c r="H89" s="2"/>
      <c r="I89" s="2"/>
      <c r="J89" s="2" t="s">
        <v>1000</v>
      </c>
      <c r="K89" s="2" t="s">
        <v>80</v>
      </c>
      <c r="L89" s="2" t="s">
        <v>1477</v>
      </c>
      <c r="M89" s="2"/>
      <c r="N89" s="2" t="s">
        <v>143</v>
      </c>
      <c r="O89" s="2" t="s">
        <v>80</v>
      </c>
      <c r="P89" s="2" t="s">
        <v>90</v>
      </c>
      <c r="Q89" s="2"/>
      <c r="R89" s="2" t="s">
        <v>143</v>
      </c>
      <c r="S89" s="2" t="s">
        <v>619</v>
      </c>
      <c r="T89" s="2" t="s">
        <v>79</v>
      </c>
      <c r="U89" s="2" t="s">
        <v>1478</v>
      </c>
      <c r="V89" s="2" t="s">
        <v>92</v>
      </c>
      <c r="W89" s="2" t="s">
        <v>118</v>
      </c>
      <c r="X89" s="2" t="s">
        <v>1479</v>
      </c>
      <c r="Y89" s="2" t="s">
        <v>95</v>
      </c>
      <c r="Z89" s="2" t="s">
        <v>1480</v>
      </c>
      <c r="AA89" s="2" t="s">
        <v>1481</v>
      </c>
      <c r="AB89" s="2" t="s">
        <v>80</v>
      </c>
      <c r="AC89" s="2"/>
      <c r="AD89" s="2"/>
      <c r="AE89" s="2" t="s">
        <v>1482</v>
      </c>
      <c r="AF89" s="2" t="s">
        <v>79</v>
      </c>
      <c r="AG89" s="2" t="s">
        <v>1483</v>
      </c>
      <c r="AH89" s="2" t="s">
        <v>1476</v>
      </c>
      <c r="AI89" s="2" t="s">
        <v>82</v>
      </c>
      <c r="AJ89" s="2">
        <v>7.5</v>
      </c>
      <c r="AK89" s="2" t="s">
        <v>84</v>
      </c>
      <c r="AL89" s="2" t="s">
        <v>84</v>
      </c>
      <c r="AM89" s="2" t="s">
        <v>84</v>
      </c>
      <c r="AN89" s="2" t="s">
        <v>86</v>
      </c>
      <c r="AO89" s="2" t="s">
        <v>84</v>
      </c>
      <c r="AP89" s="2" t="s">
        <v>84</v>
      </c>
      <c r="AQ89" s="2" t="s">
        <v>84</v>
      </c>
      <c r="AR89" s="2" t="s">
        <v>84</v>
      </c>
      <c r="AS89" s="2" t="s">
        <v>86</v>
      </c>
      <c r="AT89" s="2" t="s">
        <v>85</v>
      </c>
      <c r="AU89" s="2" t="s">
        <v>106</v>
      </c>
      <c r="AV89" s="2" t="s">
        <v>80</v>
      </c>
      <c r="AW89" s="2"/>
      <c r="AX89" s="2" t="s">
        <v>106</v>
      </c>
      <c r="AY89" s="2"/>
      <c r="AZ89" s="2" t="s">
        <v>1143</v>
      </c>
      <c r="BA89" s="2" t="s">
        <v>1484</v>
      </c>
      <c r="BB89" s="2" t="s">
        <v>514</v>
      </c>
      <c r="BC89" s="2" t="s">
        <v>79</v>
      </c>
      <c r="BD89" s="2" t="s">
        <v>1485</v>
      </c>
      <c r="BE89" s="2" t="s">
        <v>1486</v>
      </c>
      <c r="BF89" s="2" t="s">
        <v>648</v>
      </c>
      <c r="BG89" s="2"/>
      <c r="BH89" s="2" t="s">
        <v>80</v>
      </c>
      <c r="BI89" s="2" t="s">
        <v>79</v>
      </c>
      <c r="BJ89" s="2" t="s">
        <v>155</v>
      </c>
      <c r="BK89" s="2"/>
      <c r="BL89" s="2" t="s">
        <v>80</v>
      </c>
      <c r="BM89" s="2" t="s">
        <v>172</v>
      </c>
    </row>
    <row r="90" spans="1:65" ht="409.5" x14ac:dyDescent="0.25">
      <c r="A90" s="2" t="s">
        <v>1487</v>
      </c>
      <c r="B90" s="2">
        <v>2020</v>
      </c>
      <c r="C90" s="2" t="s">
        <v>111</v>
      </c>
      <c r="D90" s="2" t="s">
        <v>79</v>
      </c>
      <c r="E90" s="2" t="s">
        <v>79</v>
      </c>
      <c r="F90" s="2" t="s">
        <v>79</v>
      </c>
      <c r="G90" s="2"/>
      <c r="H90" s="2"/>
      <c r="I90" s="2"/>
      <c r="J90" s="2" t="s">
        <v>1488</v>
      </c>
      <c r="K90" s="2" t="s">
        <v>80</v>
      </c>
      <c r="L90" s="2" t="s">
        <v>1490</v>
      </c>
      <c r="M90" s="2" t="s">
        <v>1491</v>
      </c>
      <c r="N90" s="2"/>
      <c r="O90" s="2" t="s">
        <v>106</v>
      </c>
      <c r="P90" s="2"/>
      <c r="Q90" s="2" t="s">
        <v>1492</v>
      </c>
      <c r="R90" s="2"/>
      <c r="S90" s="2"/>
      <c r="T90" s="2" t="s">
        <v>80</v>
      </c>
      <c r="U90" s="2"/>
      <c r="V90" s="2" t="s">
        <v>92</v>
      </c>
      <c r="W90" s="2" t="s">
        <v>93</v>
      </c>
      <c r="X90" s="2" t="s">
        <v>1493</v>
      </c>
      <c r="Y90" s="2" t="s">
        <v>95</v>
      </c>
      <c r="Z90" s="2" t="s">
        <v>1494</v>
      </c>
      <c r="AA90" s="2" t="s">
        <v>1495</v>
      </c>
      <c r="AB90" s="2" t="s">
        <v>80</v>
      </c>
      <c r="AC90" s="2"/>
      <c r="AD90" s="2"/>
      <c r="AE90" s="2" t="s">
        <v>1496</v>
      </c>
      <c r="AF90" s="2" t="s">
        <v>79</v>
      </c>
      <c r="AG90" s="2" t="s">
        <v>1497</v>
      </c>
      <c r="AH90" s="2" t="s">
        <v>1489</v>
      </c>
      <c r="AI90" s="2" t="s">
        <v>82</v>
      </c>
      <c r="AJ90" s="2">
        <v>8</v>
      </c>
      <c r="AK90" s="2" t="s">
        <v>84</v>
      </c>
      <c r="AL90" s="2" t="s">
        <v>84</v>
      </c>
      <c r="AM90" s="2" t="s">
        <v>84</v>
      </c>
      <c r="AN90" s="2" t="s">
        <v>86</v>
      </c>
      <c r="AO90" s="2" t="s">
        <v>84</v>
      </c>
      <c r="AP90" s="2" t="s">
        <v>84</v>
      </c>
      <c r="AQ90" s="2" t="s">
        <v>84</v>
      </c>
      <c r="AR90" s="2" t="s">
        <v>84</v>
      </c>
      <c r="AS90" s="2" t="s">
        <v>86</v>
      </c>
      <c r="AT90" s="2" t="s">
        <v>84</v>
      </c>
      <c r="AU90" s="2"/>
      <c r="AV90" s="2" t="s">
        <v>80</v>
      </c>
      <c r="AW90" s="2"/>
      <c r="AX90" s="2"/>
      <c r="AY90" s="2" t="s">
        <v>1498</v>
      </c>
      <c r="AZ90" s="2" t="s">
        <v>303</v>
      </c>
      <c r="BA90" s="2" t="s">
        <v>1499</v>
      </c>
      <c r="BB90" s="2" t="s">
        <v>514</v>
      </c>
      <c r="BC90" s="2" t="s">
        <v>79</v>
      </c>
      <c r="BD90" s="2"/>
      <c r="BE90" s="2" t="s">
        <v>1500</v>
      </c>
      <c r="BF90" s="2"/>
      <c r="BG90" s="2"/>
      <c r="BH90" s="2" t="s">
        <v>80</v>
      </c>
      <c r="BI90" s="2" t="s">
        <v>79</v>
      </c>
      <c r="BJ90" s="2" t="s">
        <v>155</v>
      </c>
      <c r="BK90" s="2"/>
      <c r="BL90" s="2" t="s">
        <v>80</v>
      </c>
      <c r="BM90" s="2" t="s">
        <v>172</v>
      </c>
    </row>
    <row r="91" spans="1:65" ht="409.5" x14ac:dyDescent="0.25">
      <c r="A91" s="2" t="s">
        <v>1501</v>
      </c>
      <c r="B91" s="2">
        <v>2020</v>
      </c>
      <c r="C91" s="2" t="s">
        <v>111</v>
      </c>
      <c r="D91" s="2" t="s">
        <v>79</v>
      </c>
      <c r="E91" s="2" t="s">
        <v>79</v>
      </c>
      <c r="F91" s="2" t="s">
        <v>79</v>
      </c>
      <c r="G91" s="2"/>
      <c r="H91" s="2"/>
      <c r="I91" s="2"/>
      <c r="J91" s="2" t="s">
        <v>1488</v>
      </c>
      <c r="K91" s="2" t="s">
        <v>80</v>
      </c>
      <c r="L91" s="2" t="s">
        <v>1503</v>
      </c>
      <c r="M91" s="2" t="s">
        <v>1504</v>
      </c>
      <c r="N91" s="2"/>
      <c r="O91" s="2" t="s">
        <v>106</v>
      </c>
      <c r="P91" s="2"/>
      <c r="Q91" s="2" t="s">
        <v>1505</v>
      </c>
      <c r="R91" s="2"/>
      <c r="S91" s="2" t="s">
        <v>155</v>
      </c>
      <c r="T91" s="2" t="s">
        <v>80</v>
      </c>
      <c r="U91" s="2"/>
      <c r="V91" s="2" t="s">
        <v>92</v>
      </c>
      <c r="W91" s="2"/>
      <c r="X91" s="2" t="s">
        <v>1506</v>
      </c>
      <c r="Y91" s="2" t="s">
        <v>95</v>
      </c>
      <c r="Z91" s="2" t="s">
        <v>1507</v>
      </c>
      <c r="AA91" s="2" t="s">
        <v>1508</v>
      </c>
      <c r="AB91" s="2" t="s">
        <v>80</v>
      </c>
      <c r="AC91" s="2"/>
      <c r="AD91" s="2"/>
      <c r="AE91" s="2"/>
      <c r="AF91" s="2" t="s">
        <v>79</v>
      </c>
      <c r="AG91" s="2" t="s">
        <v>1509</v>
      </c>
      <c r="AH91" s="2" t="s">
        <v>1502</v>
      </c>
      <c r="AI91" s="2" t="s">
        <v>82</v>
      </c>
      <c r="AJ91" s="2">
        <v>9</v>
      </c>
      <c r="AK91" s="2" t="s">
        <v>84</v>
      </c>
      <c r="AL91" s="2" t="s">
        <v>84</v>
      </c>
      <c r="AM91" s="2" t="s">
        <v>84</v>
      </c>
      <c r="AN91" s="2" t="s">
        <v>84</v>
      </c>
      <c r="AO91" s="2" t="s">
        <v>84</v>
      </c>
      <c r="AP91" s="2" t="s">
        <v>84</v>
      </c>
      <c r="AQ91" s="2" t="s">
        <v>84</v>
      </c>
      <c r="AR91" s="2" t="s">
        <v>84</v>
      </c>
      <c r="AS91" s="2" t="s">
        <v>86</v>
      </c>
      <c r="AT91" s="2" t="s">
        <v>84</v>
      </c>
      <c r="AU91" s="2" t="s">
        <v>106</v>
      </c>
      <c r="AV91" s="2" t="s">
        <v>80</v>
      </c>
      <c r="AW91" s="2"/>
      <c r="AX91" s="2" t="s">
        <v>106</v>
      </c>
      <c r="AY91" s="2" t="s">
        <v>1510</v>
      </c>
      <c r="AZ91" s="2" t="s">
        <v>303</v>
      </c>
      <c r="BA91" s="2" t="s">
        <v>1511</v>
      </c>
      <c r="BB91" s="2" t="s">
        <v>514</v>
      </c>
      <c r="BC91" s="2" t="s">
        <v>79</v>
      </c>
      <c r="BD91" s="2"/>
      <c r="BE91" s="2" t="s">
        <v>1512</v>
      </c>
      <c r="BF91" s="2"/>
      <c r="BG91" s="2"/>
      <c r="BH91" s="2" t="s">
        <v>80</v>
      </c>
      <c r="BI91" s="2" t="s">
        <v>79</v>
      </c>
      <c r="BJ91" s="2" t="s">
        <v>155</v>
      </c>
      <c r="BK91" s="2"/>
      <c r="BL91" s="2" t="s">
        <v>80</v>
      </c>
      <c r="BM91" s="2" t="s">
        <v>172</v>
      </c>
    </row>
    <row r="92" spans="1:65" ht="409.5" x14ac:dyDescent="0.25">
      <c r="A92" s="2" t="s">
        <v>1513</v>
      </c>
      <c r="B92" s="2">
        <v>2020</v>
      </c>
      <c r="C92" s="2" t="s">
        <v>111</v>
      </c>
      <c r="D92" s="2" t="s">
        <v>79</v>
      </c>
      <c r="E92" s="2" t="s">
        <v>79</v>
      </c>
      <c r="F92" s="2" t="s">
        <v>79</v>
      </c>
      <c r="G92" s="2"/>
      <c r="H92" s="2"/>
      <c r="I92" s="2"/>
      <c r="J92" s="2" t="s">
        <v>1488</v>
      </c>
      <c r="K92" s="2" t="s">
        <v>80</v>
      </c>
      <c r="L92" s="2" t="s">
        <v>1515</v>
      </c>
      <c r="M92" s="2" t="s">
        <v>1516</v>
      </c>
      <c r="N92" s="2"/>
      <c r="O92" s="2" t="s">
        <v>80</v>
      </c>
      <c r="P92" s="2"/>
      <c r="Q92" s="2" t="s">
        <v>1517</v>
      </c>
      <c r="R92" s="2"/>
      <c r="S92" s="2" t="s">
        <v>155</v>
      </c>
      <c r="T92" s="2" t="s">
        <v>80</v>
      </c>
      <c r="U92" s="2"/>
      <c r="V92" s="2"/>
      <c r="W92" s="2"/>
      <c r="X92" s="2" t="s">
        <v>1518</v>
      </c>
      <c r="Y92" s="2" t="s">
        <v>95</v>
      </c>
      <c r="Z92" s="2" t="s">
        <v>1519</v>
      </c>
      <c r="AA92" s="2" t="s">
        <v>1520</v>
      </c>
      <c r="AB92" s="2" t="s">
        <v>80</v>
      </c>
      <c r="AC92" s="2"/>
      <c r="AD92" s="2"/>
      <c r="AE92" s="2" t="s">
        <v>1521</v>
      </c>
      <c r="AF92" s="2" t="s">
        <v>80</v>
      </c>
      <c r="AG92" s="2" t="s">
        <v>1522</v>
      </c>
      <c r="AH92" s="2" t="s">
        <v>1514</v>
      </c>
      <c r="AI92" s="2" t="s">
        <v>82</v>
      </c>
      <c r="AJ92" s="2">
        <v>8</v>
      </c>
      <c r="AK92" s="2" t="s">
        <v>84</v>
      </c>
      <c r="AL92" s="2" t="s">
        <v>84</v>
      </c>
      <c r="AM92" s="2" t="s">
        <v>84</v>
      </c>
      <c r="AN92" s="2" t="s">
        <v>86</v>
      </c>
      <c r="AO92" s="2" t="s">
        <v>84</v>
      </c>
      <c r="AP92" s="2" t="s">
        <v>84</v>
      </c>
      <c r="AQ92" s="2" t="s">
        <v>84</v>
      </c>
      <c r="AR92" s="2" t="s">
        <v>84</v>
      </c>
      <c r="AS92" s="2" t="s">
        <v>86</v>
      </c>
      <c r="AT92" s="2" t="s">
        <v>84</v>
      </c>
      <c r="AU92" s="2" t="s">
        <v>106</v>
      </c>
      <c r="AV92" s="2" t="s">
        <v>80</v>
      </c>
      <c r="AW92" s="2"/>
      <c r="AX92" s="2" t="s">
        <v>106</v>
      </c>
      <c r="AY92" s="2" t="s">
        <v>1523</v>
      </c>
      <c r="AZ92" s="2" t="s">
        <v>1143</v>
      </c>
      <c r="BA92" s="2" t="s">
        <v>1524</v>
      </c>
      <c r="BB92" s="2" t="s">
        <v>514</v>
      </c>
      <c r="BC92" s="2" t="s">
        <v>79</v>
      </c>
      <c r="BD92" s="2"/>
      <c r="BE92" s="2" t="s">
        <v>1525</v>
      </c>
      <c r="BF92" s="2"/>
      <c r="BG92" s="2"/>
      <c r="BH92" s="2" t="s">
        <v>80</v>
      </c>
      <c r="BI92" s="2" t="s">
        <v>79</v>
      </c>
      <c r="BJ92" s="2" t="s">
        <v>155</v>
      </c>
      <c r="BK92" s="2"/>
      <c r="BL92" s="2" t="s">
        <v>80</v>
      </c>
      <c r="BM92" s="2" t="s">
        <v>109</v>
      </c>
    </row>
    <row r="93" spans="1:65" ht="409.5" x14ac:dyDescent="0.25">
      <c r="A93" s="2" t="s">
        <v>1526</v>
      </c>
      <c r="B93" s="2">
        <v>2023</v>
      </c>
      <c r="C93" s="2" t="s">
        <v>111</v>
      </c>
      <c r="D93" s="2" t="s">
        <v>79</v>
      </c>
      <c r="E93" s="2" t="s">
        <v>79</v>
      </c>
      <c r="F93" s="2" t="s">
        <v>79</v>
      </c>
      <c r="G93" s="2"/>
      <c r="H93" s="2"/>
      <c r="I93" s="2"/>
      <c r="J93" s="2" t="s">
        <v>1527</v>
      </c>
      <c r="K93" s="2" t="s">
        <v>92</v>
      </c>
      <c r="L93" s="2" t="s">
        <v>1529</v>
      </c>
      <c r="M93" s="2" t="s">
        <v>1530</v>
      </c>
      <c r="N93" s="2" t="s">
        <v>89</v>
      </c>
      <c r="O93" s="2" t="s">
        <v>79</v>
      </c>
      <c r="P93" s="2" t="s">
        <v>116</v>
      </c>
      <c r="Q93" s="2" t="s">
        <v>1531</v>
      </c>
      <c r="R93" s="2" t="s">
        <v>143</v>
      </c>
      <c r="S93" s="2" t="s">
        <v>277</v>
      </c>
      <c r="T93" s="2" t="s">
        <v>79</v>
      </c>
      <c r="U93" s="2" t="s">
        <v>1532</v>
      </c>
      <c r="V93" s="2" t="s">
        <v>92</v>
      </c>
      <c r="W93" s="2"/>
      <c r="X93" s="2" t="s">
        <v>1533</v>
      </c>
      <c r="Y93" s="2" t="s">
        <v>95</v>
      </c>
      <c r="Z93" s="2" t="s">
        <v>1534</v>
      </c>
      <c r="AA93" s="2" t="s">
        <v>1535</v>
      </c>
      <c r="AB93" s="2" t="s">
        <v>80</v>
      </c>
      <c r="AC93" s="2"/>
      <c r="AD93" s="2"/>
      <c r="AE93" s="2" t="s">
        <v>1536</v>
      </c>
      <c r="AF93" s="2" t="s">
        <v>79</v>
      </c>
      <c r="AG93" s="2" t="s">
        <v>1537</v>
      </c>
      <c r="AH93" s="2" t="s">
        <v>1528</v>
      </c>
      <c r="AI93" s="2" t="s">
        <v>82</v>
      </c>
      <c r="AJ93" s="2">
        <v>9.5</v>
      </c>
      <c r="AK93" s="2" t="s">
        <v>84</v>
      </c>
      <c r="AL93" s="2" t="s">
        <v>84</v>
      </c>
      <c r="AM93" s="2" t="s">
        <v>84</v>
      </c>
      <c r="AN93" s="2" t="s">
        <v>84</v>
      </c>
      <c r="AO93" s="2" t="s">
        <v>84</v>
      </c>
      <c r="AP93" s="2" t="s">
        <v>84</v>
      </c>
      <c r="AQ93" s="2" t="s">
        <v>84</v>
      </c>
      <c r="AR93" s="2" t="s">
        <v>84</v>
      </c>
      <c r="AS93" s="2" t="s">
        <v>84</v>
      </c>
      <c r="AT93" s="2" t="s">
        <v>85</v>
      </c>
      <c r="AU93" s="2" t="s">
        <v>106</v>
      </c>
      <c r="AV93" s="2" t="s">
        <v>80</v>
      </c>
      <c r="AW93" s="2"/>
      <c r="AX93" s="2" t="s">
        <v>106</v>
      </c>
      <c r="AY93" s="2" t="s">
        <v>1538</v>
      </c>
      <c r="AZ93" s="2" t="s">
        <v>100</v>
      </c>
      <c r="BA93" s="2" t="s">
        <v>1539</v>
      </c>
      <c r="BB93" s="2" t="s">
        <v>102</v>
      </c>
      <c r="BC93" s="2" t="s">
        <v>79</v>
      </c>
      <c r="BD93" s="2"/>
      <c r="BE93" s="2" t="s">
        <v>1540</v>
      </c>
      <c r="BF93" s="2" t="s">
        <v>153</v>
      </c>
      <c r="BG93" s="2" t="s">
        <v>1541</v>
      </c>
      <c r="BH93" s="2" t="s">
        <v>79</v>
      </c>
      <c r="BI93" s="2" t="s">
        <v>79</v>
      </c>
      <c r="BJ93" s="2" t="s">
        <v>563</v>
      </c>
      <c r="BK93" s="2" t="s">
        <v>1542</v>
      </c>
      <c r="BL93" s="2" t="s">
        <v>79</v>
      </c>
      <c r="BM93" s="2" t="s">
        <v>109</v>
      </c>
    </row>
    <row r="94" spans="1:65" ht="409.5" x14ac:dyDescent="0.25">
      <c r="A94" s="2" t="s">
        <v>1543</v>
      </c>
      <c r="B94" s="2">
        <v>2020</v>
      </c>
      <c r="C94" s="2" t="s">
        <v>111</v>
      </c>
      <c r="D94" s="2" t="s">
        <v>79</v>
      </c>
      <c r="E94" s="2" t="s">
        <v>79</v>
      </c>
      <c r="F94" s="2" t="s">
        <v>79</v>
      </c>
      <c r="G94" s="2"/>
      <c r="H94" s="2"/>
      <c r="I94" s="2"/>
      <c r="J94" s="2" t="s">
        <v>1544</v>
      </c>
      <c r="K94" s="2" t="s">
        <v>92</v>
      </c>
      <c r="L94" s="2" t="s">
        <v>1546</v>
      </c>
      <c r="M94" s="2" t="s">
        <v>1547</v>
      </c>
      <c r="N94" s="2" t="s">
        <v>89</v>
      </c>
      <c r="O94" s="2" t="s">
        <v>106</v>
      </c>
      <c r="P94" s="2" t="s">
        <v>116</v>
      </c>
      <c r="Q94" s="2" t="s">
        <v>1548</v>
      </c>
      <c r="R94" s="2"/>
      <c r="S94" s="2" t="s">
        <v>155</v>
      </c>
      <c r="T94" s="2" t="s">
        <v>79</v>
      </c>
      <c r="U94" s="2" t="s">
        <v>1549</v>
      </c>
      <c r="V94" s="2" t="s">
        <v>92</v>
      </c>
      <c r="W94" s="2" t="s">
        <v>465</v>
      </c>
      <c r="X94" s="2" t="s">
        <v>1550</v>
      </c>
      <c r="Y94" s="2" t="s">
        <v>95</v>
      </c>
      <c r="Z94" s="2" t="s">
        <v>1551</v>
      </c>
      <c r="AA94" s="2" t="s">
        <v>1552</v>
      </c>
      <c r="AB94" s="2" t="s">
        <v>80</v>
      </c>
      <c r="AC94" s="2"/>
      <c r="AD94" s="2"/>
      <c r="AE94" s="2" t="s">
        <v>1553</v>
      </c>
      <c r="AF94" s="2" t="s">
        <v>79</v>
      </c>
      <c r="AG94" s="2" t="s">
        <v>1554</v>
      </c>
      <c r="AH94" s="2" t="s">
        <v>1545</v>
      </c>
      <c r="AI94" s="2" t="s">
        <v>82</v>
      </c>
      <c r="AJ94" s="2">
        <v>9</v>
      </c>
      <c r="AK94" s="2" t="s">
        <v>84</v>
      </c>
      <c r="AL94" s="2" t="s">
        <v>84</v>
      </c>
      <c r="AM94" s="2" t="s">
        <v>84</v>
      </c>
      <c r="AN94" s="2" t="s">
        <v>84</v>
      </c>
      <c r="AO94" s="2" t="s">
        <v>84</v>
      </c>
      <c r="AP94" s="2" t="s">
        <v>84</v>
      </c>
      <c r="AQ94" s="2" t="s">
        <v>84</v>
      </c>
      <c r="AR94" s="2" t="s">
        <v>86</v>
      </c>
      <c r="AS94" s="2" t="s">
        <v>84</v>
      </c>
      <c r="AT94" s="2" t="s">
        <v>84</v>
      </c>
      <c r="AU94" s="2" t="s">
        <v>106</v>
      </c>
      <c r="AV94" s="2" t="s">
        <v>80</v>
      </c>
      <c r="AW94" s="2"/>
      <c r="AX94" s="2" t="s">
        <v>106</v>
      </c>
      <c r="AY94" s="2" t="s">
        <v>1555</v>
      </c>
      <c r="AZ94" s="2" t="s">
        <v>100</v>
      </c>
      <c r="BA94" s="2" t="s">
        <v>1556</v>
      </c>
      <c r="BB94" s="2" t="s">
        <v>1557</v>
      </c>
      <c r="BC94" s="2" t="s">
        <v>79</v>
      </c>
      <c r="BD94" s="2"/>
      <c r="BE94" s="2" t="s">
        <v>1558</v>
      </c>
      <c r="BF94" s="2" t="s">
        <v>153</v>
      </c>
      <c r="BG94" s="2" t="s">
        <v>1559</v>
      </c>
      <c r="BH94" s="2" t="s">
        <v>92</v>
      </c>
      <c r="BI94" s="2" t="s">
        <v>79</v>
      </c>
      <c r="BJ94" s="2" t="s">
        <v>107</v>
      </c>
      <c r="BK94" s="2" t="s">
        <v>1560</v>
      </c>
      <c r="BL94" s="2" t="s">
        <v>79</v>
      </c>
      <c r="BM94" s="2" t="s">
        <v>109</v>
      </c>
    </row>
    <row r="95" spans="1:65" ht="409.5" x14ac:dyDescent="0.25">
      <c r="A95" s="2" t="s">
        <v>1561</v>
      </c>
      <c r="B95" s="2">
        <v>2020</v>
      </c>
      <c r="C95" s="2" t="s">
        <v>111</v>
      </c>
      <c r="D95" s="2" t="s">
        <v>79</v>
      </c>
      <c r="E95" s="2" t="s">
        <v>79</v>
      </c>
      <c r="F95" s="2" t="s">
        <v>79</v>
      </c>
      <c r="G95" s="2"/>
      <c r="H95" s="2"/>
      <c r="I95" s="2"/>
      <c r="J95" s="2" t="s">
        <v>1527</v>
      </c>
      <c r="K95" s="2" t="s">
        <v>80</v>
      </c>
      <c r="L95" s="2" t="s">
        <v>1563</v>
      </c>
      <c r="M95" s="2" t="s">
        <v>1564</v>
      </c>
      <c r="N95" s="2" t="s">
        <v>143</v>
      </c>
      <c r="O95" s="2" t="s">
        <v>106</v>
      </c>
      <c r="P95" s="2" t="s">
        <v>90</v>
      </c>
      <c r="Q95" s="2" t="s">
        <v>1565</v>
      </c>
      <c r="R95" s="2"/>
      <c r="S95" s="2" t="s">
        <v>155</v>
      </c>
      <c r="T95" s="2" t="s">
        <v>80</v>
      </c>
      <c r="U95" s="2"/>
      <c r="V95" s="2" t="s">
        <v>92</v>
      </c>
      <c r="W95" s="2"/>
      <c r="X95" s="2" t="s">
        <v>1566</v>
      </c>
      <c r="Y95" s="2" t="s">
        <v>95</v>
      </c>
      <c r="Z95" s="2" t="s">
        <v>1567</v>
      </c>
      <c r="AA95" s="2" t="s">
        <v>1568</v>
      </c>
      <c r="AB95" s="2" t="s">
        <v>80</v>
      </c>
      <c r="AC95" s="2"/>
      <c r="AD95" s="2"/>
      <c r="AE95" s="2" t="s">
        <v>1569</v>
      </c>
      <c r="AF95" s="2" t="s">
        <v>79</v>
      </c>
      <c r="AG95" s="2" t="s">
        <v>1570</v>
      </c>
      <c r="AH95" s="2" t="s">
        <v>1562</v>
      </c>
      <c r="AI95" s="2" t="s">
        <v>82</v>
      </c>
      <c r="AJ95" s="2">
        <v>8</v>
      </c>
      <c r="AK95" s="2" t="s">
        <v>84</v>
      </c>
      <c r="AL95" s="2" t="s">
        <v>84</v>
      </c>
      <c r="AM95" s="2" t="s">
        <v>84</v>
      </c>
      <c r="AN95" s="2" t="s">
        <v>84</v>
      </c>
      <c r="AO95" s="2" t="s">
        <v>84</v>
      </c>
      <c r="AP95" s="2" t="s">
        <v>84</v>
      </c>
      <c r="AQ95" s="2" t="s">
        <v>84</v>
      </c>
      <c r="AR95" s="2" t="s">
        <v>86</v>
      </c>
      <c r="AS95" s="2" t="s">
        <v>86</v>
      </c>
      <c r="AT95" s="2" t="s">
        <v>84</v>
      </c>
      <c r="AU95" s="2" t="s">
        <v>106</v>
      </c>
      <c r="AV95" s="2" t="s">
        <v>80</v>
      </c>
      <c r="AW95" s="2"/>
      <c r="AX95" s="2" t="s">
        <v>106</v>
      </c>
      <c r="AY95" s="2" t="s">
        <v>1571</v>
      </c>
      <c r="AZ95" s="2" t="s">
        <v>100</v>
      </c>
      <c r="BA95" s="2" t="s">
        <v>1572</v>
      </c>
      <c r="BB95" s="2" t="s">
        <v>286</v>
      </c>
      <c r="BC95" s="2" t="s">
        <v>79</v>
      </c>
      <c r="BD95" s="2"/>
      <c r="BE95" s="2" t="s">
        <v>1573</v>
      </c>
      <c r="BF95" s="2" t="s">
        <v>153</v>
      </c>
      <c r="BG95" s="2" t="s">
        <v>1574</v>
      </c>
      <c r="BH95" s="2" t="s">
        <v>79</v>
      </c>
      <c r="BI95" s="2" t="s">
        <v>79</v>
      </c>
      <c r="BJ95" s="2" t="s">
        <v>155</v>
      </c>
      <c r="BK95" s="2"/>
      <c r="BL95" s="2" t="s">
        <v>80</v>
      </c>
      <c r="BM95" s="2" t="s">
        <v>268</v>
      </c>
    </row>
    <row r="96" spans="1:65" ht="409.5" x14ac:dyDescent="0.25">
      <c r="A96" s="2" t="s">
        <v>1575</v>
      </c>
      <c r="B96" s="2">
        <v>2024</v>
      </c>
      <c r="C96" s="2" t="s">
        <v>111</v>
      </c>
      <c r="D96" s="2" t="s">
        <v>79</v>
      </c>
      <c r="E96" s="2" t="s">
        <v>79</v>
      </c>
      <c r="F96" s="2" t="s">
        <v>79</v>
      </c>
      <c r="G96" s="2"/>
      <c r="H96" s="2"/>
      <c r="I96" s="2"/>
      <c r="J96" s="2" t="s">
        <v>1576</v>
      </c>
      <c r="K96" s="2" t="s">
        <v>80</v>
      </c>
      <c r="L96" s="2" t="s">
        <v>1578</v>
      </c>
      <c r="M96" s="2" t="s">
        <v>1579</v>
      </c>
      <c r="N96" s="2" t="s">
        <v>478</v>
      </c>
      <c r="O96" s="2" t="s">
        <v>80</v>
      </c>
      <c r="P96" s="2" t="s">
        <v>116</v>
      </c>
      <c r="Q96" s="2" t="s">
        <v>1580</v>
      </c>
      <c r="R96" s="2"/>
      <c r="S96" s="2" t="s">
        <v>155</v>
      </c>
      <c r="T96" s="2" t="s">
        <v>80</v>
      </c>
      <c r="U96" s="2"/>
      <c r="V96" s="2" t="s">
        <v>92</v>
      </c>
      <c r="W96" s="2" t="s">
        <v>465</v>
      </c>
      <c r="X96" s="2" t="s">
        <v>1581</v>
      </c>
      <c r="Y96" s="2" t="s">
        <v>95</v>
      </c>
      <c r="Z96" s="2" t="s">
        <v>1582</v>
      </c>
      <c r="AA96" s="2" t="s">
        <v>1583</v>
      </c>
      <c r="AB96" s="2" t="s">
        <v>80</v>
      </c>
      <c r="AC96" s="2"/>
      <c r="AD96" s="2"/>
      <c r="AE96" s="2" t="s">
        <v>1584</v>
      </c>
      <c r="AF96" s="2" t="s">
        <v>79</v>
      </c>
      <c r="AG96" s="2" t="s">
        <v>1585</v>
      </c>
      <c r="AH96" s="2" t="s">
        <v>1577</v>
      </c>
      <c r="AI96" s="2" t="s">
        <v>82</v>
      </c>
      <c r="AJ96" s="2">
        <v>9</v>
      </c>
      <c r="AK96" s="2" t="s">
        <v>84</v>
      </c>
      <c r="AL96" s="2" t="s">
        <v>84</v>
      </c>
      <c r="AM96" s="2" t="s">
        <v>84</v>
      </c>
      <c r="AN96" s="2" t="s">
        <v>84</v>
      </c>
      <c r="AO96" s="2" t="s">
        <v>84</v>
      </c>
      <c r="AP96" s="2" t="s">
        <v>84</v>
      </c>
      <c r="AQ96" s="2" t="s">
        <v>84</v>
      </c>
      <c r="AR96" s="2" t="s">
        <v>86</v>
      </c>
      <c r="AS96" s="2" t="s">
        <v>84</v>
      </c>
      <c r="AT96" s="2" t="s">
        <v>84</v>
      </c>
      <c r="AU96" s="2" t="s">
        <v>106</v>
      </c>
      <c r="AV96" s="2" t="s">
        <v>80</v>
      </c>
      <c r="AW96" s="2"/>
      <c r="AX96" s="2" t="s">
        <v>106</v>
      </c>
      <c r="AY96" s="2" t="s">
        <v>1586</v>
      </c>
      <c r="AZ96" s="2" t="s">
        <v>100</v>
      </c>
      <c r="BA96" s="2" t="s">
        <v>1587</v>
      </c>
      <c r="BB96" s="2" t="s">
        <v>286</v>
      </c>
      <c r="BC96" s="2" t="s">
        <v>79</v>
      </c>
      <c r="BD96" s="2"/>
      <c r="BE96" s="2" t="s">
        <v>1588</v>
      </c>
      <c r="BF96" s="2" t="s">
        <v>153</v>
      </c>
      <c r="BG96" s="2" t="s">
        <v>1589</v>
      </c>
      <c r="BH96" s="2" t="s">
        <v>92</v>
      </c>
      <c r="BI96" s="2" t="s">
        <v>79</v>
      </c>
      <c r="BJ96" s="2" t="s">
        <v>107</v>
      </c>
      <c r="BK96" s="2" t="s">
        <v>1590</v>
      </c>
      <c r="BL96" s="2" t="s">
        <v>79</v>
      </c>
      <c r="BM96" s="2" t="s">
        <v>109</v>
      </c>
    </row>
    <row r="97" spans="1:65" ht="409.5" x14ac:dyDescent="0.25">
      <c r="A97" s="2" t="s">
        <v>1591</v>
      </c>
      <c r="B97" s="2">
        <v>2023</v>
      </c>
      <c r="C97" s="2" t="s">
        <v>111</v>
      </c>
      <c r="D97" s="2" t="s">
        <v>79</v>
      </c>
      <c r="E97" s="2" t="s">
        <v>79</v>
      </c>
      <c r="F97" s="2" t="s">
        <v>79</v>
      </c>
      <c r="G97" s="2"/>
      <c r="H97" s="2"/>
      <c r="I97" s="2"/>
      <c r="J97" s="2" t="s">
        <v>1576</v>
      </c>
      <c r="K97" s="2" t="s">
        <v>92</v>
      </c>
      <c r="L97" s="2" t="s">
        <v>1593</v>
      </c>
      <c r="M97" s="2" t="s">
        <v>1594</v>
      </c>
      <c r="N97" s="2" t="s">
        <v>89</v>
      </c>
      <c r="O97" s="2" t="s">
        <v>79</v>
      </c>
      <c r="P97" s="2" t="s">
        <v>116</v>
      </c>
      <c r="Q97" s="2" t="s">
        <v>1595</v>
      </c>
      <c r="R97" s="2"/>
      <c r="S97" s="2" t="s">
        <v>155</v>
      </c>
      <c r="T97" s="2" t="s">
        <v>80</v>
      </c>
      <c r="U97" s="2"/>
      <c r="V97" s="2" t="s">
        <v>92</v>
      </c>
      <c r="W97" s="2" t="s">
        <v>864</v>
      </c>
      <c r="X97" s="2" t="s">
        <v>1596</v>
      </c>
      <c r="Y97" s="2" t="s">
        <v>95</v>
      </c>
      <c r="Z97" s="2" t="s">
        <v>1597</v>
      </c>
      <c r="AA97" s="2" t="s">
        <v>1598</v>
      </c>
      <c r="AB97" s="2" t="s">
        <v>80</v>
      </c>
      <c r="AC97" s="2"/>
      <c r="AD97" s="2"/>
      <c r="AE97" s="2" t="s">
        <v>1599</v>
      </c>
      <c r="AF97" s="2" t="s">
        <v>79</v>
      </c>
      <c r="AG97" s="2" t="s">
        <v>1600</v>
      </c>
      <c r="AH97" s="2" t="s">
        <v>1592</v>
      </c>
      <c r="AI97" s="2" t="s">
        <v>82</v>
      </c>
      <c r="AJ97" s="2">
        <v>9</v>
      </c>
      <c r="AK97" s="2" t="s">
        <v>84</v>
      </c>
      <c r="AL97" s="2" t="s">
        <v>84</v>
      </c>
      <c r="AM97" s="2" t="s">
        <v>84</v>
      </c>
      <c r="AN97" s="2" t="s">
        <v>84</v>
      </c>
      <c r="AO97" s="2" t="s">
        <v>84</v>
      </c>
      <c r="AP97" s="2" t="s">
        <v>84</v>
      </c>
      <c r="AQ97" s="2" t="s">
        <v>84</v>
      </c>
      <c r="AR97" s="2" t="s">
        <v>86</v>
      </c>
      <c r="AS97" s="2" t="s">
        <v>84</v>
      </c>
      <c r="AT97" s="2" t="s">
        <v>84</v>
      </c>
      <c r="AU97" s="2" t="s">
        <v>106</v>
      </c>
      <c r="AV97" s="2" t="s">
        <v>80</v>
      </c>
      <c r="AW97" s="2"/>
      <c r="AX97" s="2" t="s">
        <v>106</v>
      </c>
      <c r="AY97" s="2" t="s">
        <v>1601</v>
      </c>
      <c r="AZ97" s="2" t="s">
        <v>100</v>
      </c>
      <c r="BA97" s="2" t="s">
        <v>1602</v>
      </c>
      <c r="BB97" s="2" t="s">
        <v>1557</v>
      </c>
      <c r="BC97" s="2" t="s">
        <v>79</v>
      </c>
      <c r="BD97" s="2"/>
      <c r="BE97" s="2" t="s">
        <v>1603</v>
      </c>
      <c r="BF97" s="2" t="s">
        <v>104</v>
      </c>
      <c r="BG97" s="2" t="s">
        <v>1604</v>
      </c>
      <c r="BH97" s="2" t="s">
        <v>92</v>
      </c>
      <c r="BI97" s="2" t="s">
        <v>79</v>
      </c>
      <c r="BJ97" s="2" t="s">
        <v>107</v>
      </c>
      <c r="BK97" s="2" t="s">
        <v>1605</v>
      </c>
      <c r="BL97" s="2" t="s">
        <v>79</v>
      </c>
      <c r="BM97" s="2" t="s">
        <v>109</v>
      </c>
    </row>
    <row r="98" spans="1:65" ht="409.5" x14ac:dyDescent="0.25">
      <c r="A98" s="2" t="s">
        <v>1606</v>
      </c>
      <c r="B98" s="2">
        <v>2022</v>
      </c>
      <c r="C98" s="2" t="s">
        <v>111</v>
      </c>
      <c r="D98" s="2" t="s">
        <v>80</v>
      </c>
      <c r="E98" s="2" t="s">
        <v>79</v>
      </c>
      <c r="F98" s="2" t="s">
        <v>80</v>
      </c>
      <c r="G98" s="2"/>
      <c r="H98" s="2"/>
      <c r="I98" s="2"/>
      <c r="J98" s="2" t="s">
        <v>112</v>
      </c>
      <c r="K98" s="2" t="s">
        <v>80</v>
      </c>
      <c r="L98" s="2" t="s">
        <v>1608</v>
      </c>
      <c r="M98" s="2" t="s">
        <v>1609</v>
      </c>
      <c r="N98" s="2" t="s">
        <v>478</v>
      </c>
      <c r="O98" s="2" t="s">
        <v>79</v>
      </c>
      <c r="P98" s="2" t="s">
        <v>116</v>
      </c>
      <c r="Q98" s="2"/>
      <c r="R98" s="2"/>
      <c r="S98" s="2"/>
      <c r="T98" s="2" t="s">
        <v>80</v>
      </c>
      <c r="U98" s="2"/>
      <c r="V98" s="2" t="s">
        <v>92</v>
      </c>
      <c r="W98" s="2" t="s">
        <v>453</v>
      </c>
      <c r="X98" s="2" t="s">
        <v>1610</v>
      </c>
      <c r="Y98" s="2" t="s">
        <v>95</v>
      </c>
      <c r="Z98" s="2" t="s">
        <v>1611</v>
      </c>
      <c r="AA98" s="2" t="s">
        <v>1612</v>
      </c>
      <c r="AB98" s="2" t="s">
        <v>80</v>
      </c>
      <c r="AC98" s="2"/>
      <c r="AD98" s="2"/>
      <c r="AE98" s="2"/>
      <c r="AF98" s="2" t="s">
        <v>79</v>
      </c>
      <c r="AG98" s="2" t="s">
        <v>1613</v>
      </c>
      <c r="AH98" s="2" t="s">
        <v>1607</v>
      </c>
      <c r="AI98" s="2" t="s">
        <v>82</v>
      </c>
      <c r="AJ98" s="2">
        <v>7.5</v>
      </c>
      <c r="AK98" s="2" t="s">
        <v>84</v>
      </c>
      <c r="AL98" s="2" t="s">
        <v>86</v>
      </c>
      <c r="AM98" s="2" t="s">
        <v>84</v>
      </c>
      <c r="AN98" s="2" t="s">
        <v>84</v>
      </c>
      <c r="AO98" s="2" t="s">
        <v>84</v>
      </c>
      <c r="AP98" s="2" t="s">
        <v>84</v>
      </c>
      <c r="AQ98" s="2" t="s">
        <v>85</v>
      </c>
      <c r="AR98" s="2" t="s">
        <v>86</v>
      </c>
      <c r="AS98" s="2" t="s">
        <v>84</v>
      </c>
      <c r="AT98" s="2" t="s">
        <v>84</v>
      </c>
      <c r="AU98" s="2"/>
      <c r="AV98" s="2" t="s">
        <v>80</v>
      </c>
      <c r="AW98" s="2"/>
      <c r="AX98" s="2"/>
      <c r="AY98" s="2"/>
      <c r="AZ98" s="2" t="s">
        <v>100</v>
      </c>
      <c r="BA98" s="2" t="s">
        <v>1614</v>
      </c>
      <c r="BB98" s="2" t="s">
        <v>102</v>
      </c>
      <c r="BC98" s="2" t="s">
        <v>79</v>
      </c>
      <c r="BD98" s="2"/>
      <c r="BE98" s="2" t="s">
        <v>1615</v>
      </c>
      <c r="BF98" s="2" t="s">
        <v>153</v>
      </c>
      <c r="BG98" s="2" t="s">
        <v>1616</v>
      </c>
      <c r="BH98" s="2" t="s">
        <v>92</v>
      </c>
      <c r="BI98" s="2" t="s">
        <v>106</v>
      </c>
      <c r="BJ98" s="2" t="s">
        <v>107</v>
      </c>
      <c r="BK98" s="2" t="s">
        <v>1617</v>
      </c>
      <c r="BL98" s="2" t="s">
        <v>79</v>
      </c>
      <c r="BM98" s="2" t="s">
        <v>109</v>
      </c>
    </row>
    <row r="99" spans="1:65" ht="409.5" x14ac:dyDescent="0.25">
      <c r="A99" s="2" t="s">
        <v>1618</v>
      </c>
      <c r="B99" s="2">
        <v>2022</v>
      </c>
      <c r="C99" s="2" t="s">
        <v>111</v>
      </c>
      <c r="D99" s="2" t="s">
        <v>79</v>
      </c>
      <c r="E99" s="2" t="s">
        <v>79</v>
      </c>
      <c r="F99" s="2" t="s">
        <v>79</v>
      </c>
      <c r="G99" s="2" t="s">
        <v>92</v>
      </c>
      <c r="H99" s="2" t="s">
        <v>92</v>
      </c>
      <c r="I99" s="2" t="s">
        <v>79</v>
      </c>
      <c r="J99" s="2" t="s">
        <v>143</v>
      </c>
      <c r="K99" s="2" t="s">
        <v>80</v>
      </c>
      <c r="L99" s="2" t="s">
        <v>1620</v>
      </c>
      <c r="M99" s="2"/>
      <c r="N99" s="2" t="s">
        <v>143</v>
      </c>
      <c r="O99" s="2" t="s">
        <v>80</v>
      </c>
      <c r="P99" s="2" t="s">
        <v>90</v>
      </c>
      <c r="Q99" s="2"/>
      <c r="R99" s="2"/>
      <c r="S99" s="2" t="s">
        <v>155</v>
      </c>
      <c r="T99" s="2" t="s">
        <v>80</v>
      </c>
      <c r="U99" s="2"/>
      <c r="V99" s="2"/>
      <c r="W99" s="2" t="s">
        <v>639</v>
      </c>
      <c r="X99" s="2" t="s">
        <v>1621</v>
      </c>
      <c r="Y99" s="2" t="s">
        <v>95</v>
      </c>
      <c r="Z99" s="2" t="s">
        <v>1622</v>
      </c>
      <c r="AA99" s="2" t="s">
        <v>1623</v>
      </c>
      <c r="AB99" s="2" t="s">
        <v>80</v>
      </c>
      <c r="AC99" s="2"/>
      <c r="AD99" s="2"/>
      <c r="AE99" s="2"/>
      <c r="AF99" s="2" t="s">
        <v>80</v>
      </c>
      <c r="AG99" s="2" t="s">
        <v>1624</v>
      </c>
      <c r="AH99" s="2" t="s">
        <v>1619</v>
      </c>
      <c r="AI99" s="2" t="s">
        <v>82</v>
      </c>
      <c r="AJ99" s="2">
        <v>8</v>
      </c>
      <c r="AK99" s="2" t="s">
        <v>84</v>
      </c>
      <c r="AL99" s="2" t="s">
        <v>84</v>
      </c>
      <c r="AM99" s="2" t="s">
        <v>84</v>
      </c>
      <c r="AN99" s="2" t="s">
        <v>86</v>
      </c>
      <c r="AO99" s="2" t="s">
        <v>84</v>
      </c>
      <c r="AP99" s="2" t="s">
        <v>84</v>
      </c>
      <c r="AQ99" s="2" t="s">
        <v>84</v>
      </c>
      <c r="AR99" s="2" t="s">
        <v>84</v>
      </c>
      <c r="AS99" s="2" t="s">
        <v>85</v>
      </c>
      <c r="AT99" s="2" t="s">
        <v>85</v>
      </c>
      <c r="AU99" s="2" t="s">
        <v>106</v>
      </c>
      <c r="AV99" s="2" t="s">
        <v>80</v>
      </c>
      <c r="AW99" s="2"/>
      <c r="AX99" s="2" t="s">
        <v>106</v>
      </c>
      <c r="AY99" s="2"/>
      <c r="AZ99" s="2" t="s">
        <v>303</v>
      </c>
      <c r="BA99" s="2" t="s">
        <v>1625</v>
      </c>
      <c r="BB99" s="2" t="s">
        <v>1626</v>
      </c>
      <c r="BC99" s="2" t="s">
        <v>79</v>
      </c>
      <c r="BD99" s="2" t="s">
        <v>1627</v>
      </c>
      <c r="BE99" s="2" t="s">
        <v>1628</v>
      </c>
      <c r="BF99" s="2" t="s">
        <v>732</v>
      </c>
      <c r="BG99" s="2"/>
      <c r="BH99" s="2" t="s">
        <v>80</v>
      </c>
      <c r="BI99" s="2" t="s">
        <v>79</v>
      </c>
      <c r="BJ99" s="2" t="s">
        <v>155</v>
      </c>
      <c r="BK99" s="2" t="s">
        <v>1629</v>
      </c>
      <c r="BL99" s="2" t="s">
        <v>80</v>
      </c>
      <c r="BM99" s="2" t="s">
        <v>109</v>
      </c>
    </row>
    <row r="100" spans="1:65" ht="409.5" x14ac:dyDescent="0.25">
      <c r="A100" s="2" t="s">
        <v>1630</v>
      </c>
      <c r="B100" s="2">
        <v>2020</v>
      </c>
      <c r="C100" s="2" t="s">
        <v>111</v>
      </c>
      <c r="D100" s="2" t="s">
        <v>79</v>
      </c>
      <c r="E100" s="2" t="s">
        <v>79</v>
      </c>
      <c r="F100" s="2" t="s">
        <v>79</v>
      </c>
      <c r="G100" s="2" t="s">
        <v>92</v>
      </c>
      <c r="H100" s="2" t="s">
        <v>79</v>
      </c>
      <c r="I100" s="2" t="s">
        <v>92</v>
      </c>
      <c r="J100" s="2" t="s">
        <v>112</v>
      </c>
      <c r="K100" s="2" t="s">
        <v>92</v>
      </c>
      <c r="L100" s="2" t="s">
        <v>1632</v>
      </c>
      <c r="M100" s="2"/>
      <c r="N100" s="2" t="s">
        <v>89</v>
      </c>
      <c r="O100" s="2" t="s">
        <v>79</v>
      </c>
      <c r="P100" s="2" t="s">
        <v>116</v>
      </c>
      <c r="Q100" s="2"/>
      <c r="R100" s="2"/>
      <c r="S100" s="2" t="s">
        <v>155</v>
      </c>
      <c r="T100" s="2" t="s">
        <v>80</v>
      </c>
      <c r="U100" s="2"/>
      <c r="V100" s="2" t="s">
        <v>92</v>
      </c>
      <c r="W100" s="2" t="s">
        <v>213</v>
      </c>
      <c r="X100" s="2" t="s">
        <v>1633</v>
      </c>
      <c r="Y100" s="2" t="s">
        <v>95</v>
      </c>
      <c r="Z100" s="2" t="s">
        <v>1634</v>
      </c>
      <c r="AA100" s="2" t="s">
        <v>1635</v>
      </c>
      <c r="AB100" s="2" t="s">
        <v>80</v>
      </c>
      <c r="AC100" s="2"/>
      <c r="AD100" s="2"/>
      <c r="AE100" s="2"/>
      <c r="AF100" s="2" t="s">
        <v>79</v>
      </c>
      <c r="AG100" s="2" t="s">
        <v>1636</v>
      </c>
      <c r="AH100" s="2" t="s">
        <v>1631</v>
      </c>
      <c r="AI100" s="2" t="s">
        <v>82</v>
      </c>
      <c r="AJ100" s="2">
        <v>8</v>
      </c>
      <c r="AK100" s="2" t="s">
        <v>84</v>
      </c>
      <c r="AL100" s="2" t="s">
        <v>84</v>
      </c>
      <c r="AM100" s="2" t="s">
        <v>84</v>
      </c>
      <c r="AN100" s="2" t="s">
        <v>84</v>
      </c>
      <c r="AO100" s="2" t="s">
        <v>84</v>
      </c>
      <c r="AP100" s="2" t="s">
        <v>84</v>
      </c>
      <c r="AQ100" s="2" t="s">
        <v>85</v>
      </c>
      <c r="AR100" s="2" t="s">
        <v>86</v>
      </c>
      <c r="AS100" s="2" t="s">
        <v>84</v>
      </c>
      <c r="AT100" s="2" t="s">
        <v>85</v>
      </c>
      <c r="AU100" s="2" t="s">
        <v>80</v>
      </c>
      <c r="AV100" s="2" t="s">
        <v>80</v>
      </c>
      <c r="AW100" s="2"/>
      <c r="AX100" s="2" t="s">
        <v>80</v>
      </c>
      <c r="AY100" s="2"/>
      <c r="AZ100" s="2" t="s">
        <v>100</v>
      </c>
      <c r="BA100" s="2" t="s">
        <v>1637</v>
      </c>
      <c r="BB100" s="2" t="s">
        <v>1638</v>
      </c>
      <c r="BC100" s="2" t="s">
        <v>79</v>
      </c>
      <c r="BD100" s="2" t="s">
        <v>444</v>
      </c>
      <c r="BE100" s="2" t="s">
        <v>1639</v>
      </c>
      <c r="BF100" s="2" t="s">
        <v>153</v>
      </c>
      <c r="BG100" s="2" t="s">
        <v>1640</v>
      </c>
      <c r="BH100" s="2" t="s">
        <v>92</v>
      </c>
      <c r="BI100" s="2" t="s">
        <v>79</v>
      </c>
      <c r="BJ100" s="2" t="s">
        <v>107</v>
      </c>
      <c r="BK100" s="2" t="s">
        <v>1641</v>
      </c>
      <c r="BL100" s="2" t="s">
        <v>79</v>
      </c>
      <c r="BM100" s="2" t="s">
        <v>109</v>
      </c>
    </row>
    <row r="101" spans="1:65" ht="409.5" x14ac:dyDescent="0.25">
      <c r="A101" s="2" t="s">
        <v>1642</v>
      </c>
      <c r="B101" s="2">
        <v>2008</v>
      </c>
      <c r="C101" s="2" t="s">
        <v>111</v>
      </c>
      <c r="D101" s="2" t="s">
        <v>79</v>
      </c>
      <c r="E101" s="2" t="s">
        <v>79</v>
      </c>
      <c r="F101" s="2" t="s">
        <v>79</v>
      </c>
      <c r="G101" s="2" t="s">
        <v>92</v>
      </c>
      <c r="H101" s="2" t="s">
        <v>92</v>
      </c>
      <c r="I101" s="2" t="s">
        <v>79</v>
      </c>
      <c r="J101" s="2" t="s">
        <v>143</v>
      </c>
      <c r="K101" s="2" t="s">
        <v>80</v>
      </c>
      <c r="L101" s="2" t="s">
        <v>1644</v>
      </c>
      <c r="M101" s="2"/>
      <c r="N101" s="2" t="s">
        <v>143</v>
      </c>
      <c r="O101" s="2" t="s">
        <v>106</v>
      </c>
      <c r="P101" s="2" t="s">
        <v>90</v>
      </c>
      <c r="Q101" s="2"/>
      <c r="R101" s="2"/>
      <c r="S101" s="2" t="s">
        <v>155</v>
      </c>
      <c r="T101" s="2" t="s">
        <v>80</v>
      </c>
      <c r="U101" s="2"/>
      <c r="V101" s="2" t="s">
        <v>92</v>
      </c>
      <c r="W101" s="2" t="s">
        <v>93</v>
      </c>
      <c r="X101" s="2" t="s">
        <v>1645</v>
      </c>
      <c r="Y101" s="2" t="s">
        <v>95</v>
      </c>
      <c r="Z101" s="2" t="s">
        <v>1646</v>
      </c>
      <c r="AA101" s="2" t="s">
        <v>1647</v>
      </c>
      <c r="AB101" s="2" t="s">
        <v>80</v>
      </c>
      <c r="AC101" s="2"/>
      <c r="AD101" s="2"/>
      <c r="AE101" s="2"/>
      <c r="AF101" s="2" t="s">
        <v>79</v>
      </c>
      <c r="AG101" s="2" t="s">
        <v>1648</v>
      </c>
      <c r="AH101" s="2" t="s">
        <v>1643</v>
      </c>
      <c r="AI101" s="2" t="s">
        <v>82</v>
      </c>
      <c r="AJ101" s="2">
        <v>8.5</v>
      </c>
      <c r="AK101" s="2" t="s">
        <v>84</v>
      </c>
      <c r="AL101" s="2" t="s">
        <v>84</v>
      </c>
      <c r="AM101" s="2" t="s">
        <v>84</v>
      </c>
      <c r="AN101" s="2" t="s">
        <v>84</v>
      </c>
      <c r="AO101" s="2" t="s">
        <v>84</v>
      </c>
      <c r="AP101" s="2" t="s">
        <v>84</v>
      </c>
      <c r="AQ101" s="2" t="s">
        <v>85</v>
      </c>
      <c r="AR101" s="2" t="s">
        <v>84</v>
      </c>
      <c r="AS101" s="2" t="s">
        <v>85</v>
      </c>
      <c r="AT101" s="2" t="s">
        <v>85</v>
      </c>
      <c r="AU101" s="2" t="s">
        <v>80</v>
      </c>
      <c r="AV101" s="2" t="s">
        <v>80</v>
      </c>
      <c r="AW101" s="2"/>
      <c r="AX101" s="2" t="s">
        <v>80</v>
      </c>
      <c r="AY101" s="2"/>
      <c r="AZ101" s="2" t="s">
        <v>303</v>
      </c>
      <c r="BA101" s="2" t="s">
        <v>1649</v>
      </c>
      <c r="BB101" s="2" t="s">
        <v>514</v>
      </c>
      <c r="BC101" s="2" t="s">
        <v>79</v>
      </c>
      <c r="BD101" s="2" t="s">
        <v>1485</v>
      </c>
      <c r="BE101" s="2" t="s">
        <v>1650</v>
      </c>
      <c r="BF101" s="2" t="s">
        <v>732</v>
      </c>
      <c r="BG101" s="2"/>
      <c r="BH101" s="2" t="s">
        <v>80</v>
      </c>
      <c r="BI101" s="2" t="s">
        <v>106</v>
      </c>
      <c r="BJ101" s="2" t="s">
        <v>155</v>
      </c>
      <c r="BK101" s="2" t="s">
        <v>1651</v>
      </c>
      <c r="BL101" s="2" t="s">
        <v>80</v>
      </c>
      <c r="BM101" s="2" t="s">
        <v>172</v>
      </c>
    </row>
    <row r="102" spans="1:65" ht="409.5" x14ac:dyDescent="0.25">
      <c r="A102" s="2" t="s">
        <v>1652</v>
      </c>
      <c r="B102" s="2">
        <v>2025</v>
      </c>
      <c r="C102" s="2" t="s">
        <v>111</v>
      </c>
      <c r="D102" s="2" t="s">
        <v>79</v>
      </c>
      <c r="E102" s="2" t="s">
        <v>79</v>
      </c>
      <c r="F102" s="2" t="s">
        <v>79</v>
      </c>
      <c r="G102" s="2" t="s">
        <v>92</v>
      </c>
      <c r="H102" s="2" t="s">
        <v>79</v>
      </c>
      <c r="I102" s="2" t="s">
        <v>92</v>
      </c>
      <c r="J102" s="2" t="s">
        <v>112</v>
      </c>
      <c r="K102" s="2" t="s">
        <v>92</v>
      </c>
      <c r="L102" s="2" t="s">
        <v>1654</v>
      </c>
      <c r="M102" s="2"/>
      <c r="N102" s="2" t="s">
        <v>842</v>
      </c>
      <c r="O102" s="2" t="s">
        <v>79</v>
      </c>
      <c r="P102" s="2" t="s">
        <v>116</v>
      </c>
      <c r="Q102" s="2"/>
      <c r="R102" s="2"/>
      <c r="S102" s="2" t="s">
        <v>155</v>
      </c>
      <c r="T102" s="2" t="s">
        <v>80</v>
      </c>
      <c r="U102" s="2"/>
      <c r="V102" s="2" t="s">
        <v>92</v>
      </c>
      <c r="W102" s="2" t="s">
        <v>656</v>
      </c>
      <c r="X102" s="2" t="s">
        <v>1655</v>
      </c>
      <c r="Y102" s="2" t="s">
        <v>95</v>
      </c>
      <c r="Z102" s="2" t="s">
        <v>1656</v>
      </c>
      <c r="AA102" s="2" t="s">
        <v>1657</v>
      </c>
      <c r="AB102" s="2" t="s">
        <v>80</v>
      </c>
      <c r="AC102" s="2"/>
      <c r="AD102" s="2"/>
      <c r="AE102" s="2"/>
      <c r="AF102" s="2" t="s">
        <v>79</v>
      </c>
      <c r="AG102" s="2" t="s">
        <v>1658</v>
      </c>
      <c r="AH102" s="2" t="s">
        <v>1653</v>
      </c>
      <c r="AI102" s="2" t="s">
        <v>82</v>
      </c>
      <c r="AJ102" s="2">
        <v>8.5</v>
      </c>
      <c r="AK102" s="2" t="s">
        <v>84</v>
      </c>
      <c r="AL102" s="2" t="s">
        <v>84</v>
      </c>
      <c r="AM102" s="2" t="s">
        <v>84</v>
      </c>
      <c r="AN102" s="2" t="s">
        <v>84</v>
      </c>
      <c r="AO102" s="2" t="s">
        <v>84</v>
      </c>
      <c r="AP102" s="2" t="s">
        <v>84</v>
      </c>
      <c r="AQ102" s="2" t="s">
        <v>84</v>
      </c>
      <c r="AR102" s="2" t="s">
        <v>86</v>
      </c>
      <c r="AS102" s="2" t="s">
        <v>84</v>
      </c>
      <c r="AT102" s="2" t="s">
        <v>85</v>
      </c>
      <c r="AU102" s="2" t="s">
        <v>80</v>
      </c>
      <c r="AV102" s="2" t="s">
        <v>80</v>
      </c>
      <c r="AW102" s="2"/>
      <c r="AX102" s="2" t="s">
        <v>80</v>
      </c>
      <c r="AY102" s="2"/>
      <c r="AZ102" s="2" t="s">
        <v>100</v>
      </c>
      <c r="BA102" s="2" t="s">
        <v>1659</v>
      </c>
      <c r="BB102" s="2" t="s">
        <v>1557</v>
      </c>
      <c r="BC102" s="2" t="s">
        <v>79</v>
      </c>
      <c r="BD102" s="2" t="s">
        <v>444</v>
      </c>
      <c r="BE102" s="2" t="s">
        <v>1660</v>
      </c>
      <c r="BF102" s="2" t="s">
        <v>153</v>
      </c>
      <c r="BG102" s="2" t="s">
        <v>1661</v>
      </c>
      <c r="BH102" s="2" t="s">
        <v>92</v>
      </c>
      <c r="BI102" s="2" t="s">
        <v>79</v>
      </c>
      <c r="BJ102" s="2" t="s">
        <v>429</v>
      </c>
      <c r="BK102" s="2" t="s">
        <v>1662</v>
      </c>
      <c r="BL102" s="2" t="s">
        <v>79</v>
      </c>
      <c r="BM102" s="2" t="s">
        <v>172</v>
      </c>
    </row>
    <row r="103" spans="1:65" ht="409.5" x14ac:dyDescent="0.25">
      <c r="A103" s="2" t="s">
        <v>1663</v>
      </c>
      <c r="B103" s="2">
        <v>2018</v>
      </c>
      <c r="C103" s="2" t="s">
        <v>111</v>
      </c>
      <c r="D103" s="2" t="s">
        <v>79</v>
      </c>
      <c r="E103" s="2" t="s">
        <v>79</v>
      </c>
      <c r="F103" s="2" t="s">
        <v>79</v>
      </c>
      <c r="G103" s="2" t="s">
        <v>92</v>
      </c>
      <c r="H103" s="2" t="s">
        <v>79</v>
      </c>
      <c r="I103" s="2" t="s">
        <v>79</v>
      </c>
      <c r="J103" s="2" t="s">
        <v>143</v>
      </c>
      <c r="K103" s="2" t="s">
        <v>80</v>
      </c>
      <c r="L103" s="2" t="s">
        <v>1665</v>
      </c>
      <c r="M103" s="2"/>
      <c r="N103" s="2" t="s">
        <v>842</v>
      </c>
      <c r="O103" s="2" t="s">
        <v>106</v>
      </c>
      <c r="P103" s="2" t="s">
        <v>194</v>
      </c>
      <c r="Q103" s="2"/>
      <c r="R103" s="2"/>
      <c r="S103" s="2" t="s">
        <v>155</v>
      </c>
      <c r="T103" s="2" t="s">
        <v>80</v>
      </c>
      <c r="U103" s="2"/>
      <c r="V103" s="2" t="s">
        <v>92</v>
      </c>
      <c r="W103" s="2" t="s">
        <v>1666</v>
      </c>
      <c r="X103" s="2" t="s">
        <v>1667</v>
      </c>
      <c r="Y103" s="2" t="s">
        <v>95</v>
      </c>
      <c r="Z103" s="2" t="s">
        <v>1668</v>
      </c>
      <c r="AA103" s="2" t="s">
        <v>1669</v>
      </c>
      <c r="AB103" s="2" t="s">
        <v>80</v>
      </c>
      <c r="AC103" s="2"/>
      <c r="AD103" s="2"/>
      <c r="AE103" s="2"/>
      <c r="AF103" s="2" t="s">
        <v>79</v>
      </c>
      <c r="AG103" s="2" t="s">
        <v>1670</v>
      </c>
      <c r="AH103" s="2" t="s">
        <v>1664</v>
      </c>
      <c r="AI103" s="2" t="s">
        <v>82</v>
      </c>
      <c r="AJ103" s="2">
        <v>9</v>
      </c>
      <c r="AK103" s="2" t="s">
        <v>84</v>
      </c>
      <c r="AL103" s="2" t="s">
        <v>84</v>
      </c>
      <c r="AM103" s="2" t="s">
        <v>84</v>
      </c>
      <c r="AN103" s="2" t="s">
        <v>84</v>
      </c>
      <c r="AO103" s="2" t="s">
        <v>84</v>
      </c>
      <c r="AP103" s="2" t="s">
        <v>84</v>
      </c>
      <c r="AQ103" s="2" t="s">
        <v>85</v>
      </c>
      <c r="AR103" s="2" t="s">
        <v>84</v>
      </c>
      <c r="AS103" s="2" t="s">
        <v>84</v>
      </c>
      <c r="AT103" s="2" t="s">
        <v>85</v>
      </c>
      <c r="AU103" s="2" t="s">
        <v>80</v>
      </c>
      <c r="AV103" s="2" t="s">
        <v>80</v>
      </c>
      <c r="AW103" s="2"/>
      <c r="AX103" s="2" t="s">
        <v>80</v>
      </c>
      <c r="AY103" s="2"/>
      <c r="AZ103" s="2" t="s">
        <v>100</v>
      </c>
      <c r="BA103" s="2" t="s">
        <v>1671</v>
      </c>
      <c r="BB103" s="2" t="s">
        <v>1557</v>
      </c>
      <c r="BC103" s="2" t="s">
        <v>79</v>
      </c>
      <c r="BD103" s="2" t="s">
        <v>1672</v>
      </c>
      <c r="BE103" s="2" t="s">
        <v>1673</v>
      </c>
      <c r="BF103" s="2" t="s">
        <v>856</v>
      </c>
      <c r="BG103" s="2"/>
      <c r="BH103" s="2" t="s">
        <v>80</v>
      </c>
      <c r="BI103" s="2" t="s">
        <v>106</v>
      </c>
      <c r="BJ103" s="2" t="s">
        <v>206</v>
      </c>
      <c r="BK103" s="2" t="s">
        <v>1674</v>
      </c>
      <c r="BL103" s="2" t="s">
        <v>79</v>
      </c>
      <c r="BM103" s="2" t="s">
        <v>109</v>
      </c>
    </row>
    <row r="104" spans="1:65" ht="409.5" x14ac:dyDescent="0.25">
      <c r="A104" s="2" t="s">
        <v>1675</v>
      </c>
      <c r="B104" s="2">
        <v>2019</v>
      </c>
      <c r="C104" s="2" t="s">
        <v>111</v>
      </c>
      <c r="D104" s="2" t="s">
        <v>79</v>
      </c>
      <c r="E104" s="2" t="s">
        <v>79</v>
      </c>
      <c r="F104" s="2" t="s">
        <v>79</v>
      </c>
      <c r="G104" s="2" t="s">
        <v>92</v>
      </c>
      <c r="H104" s="2" t="s">
        <v>79</v>
      </c>
      <c r="I104" s="2" t="s">
        <v>92</v>
      </c>
      <c r="J104" s="2" t="s">
        <v>1676</v>
      </c>
      <c r="K104" s="2" t="s">
        <v>80</v>
      </c>
      <c r="L104" s="2" t="s">
        <v>1678</v>
      </c>
      <c r="M104" s="2"/>
      <c r="N104" s="2" t="s">
        <v>193</v>
      </c>
      <c r="O104" s="2" t="s">
        <v>79</v>
      </c>
      <c r="P104" s="2" t="s">
        <v>194</v>
      </c>
      <c r="Q104" s="2"/>
      <c r="R104" s="2"/>
      <c r="S104" s="2" t="s">
        <v>155</v>
      </c>
      <c r="T104" s="2" t="s">
        <v>80</v>
      </c>
      <c r="U104" s="2"/>
      <c r="V104" s="2" t="s">
        <v>92</v>
      </c>
      <c r="W104" s="2" t="s">
        <v>465</v>
      </c>
      <c r="X104" s="2" t="s">
        <v>1679</v>
      </c>
      <c r="Y104" s="2" t="s">
        <v>95</v>
      </c>
      <c r="Z104" s="2" t="s">
        <v>1680</v>
      </c>
      <c r="AA104" s="2" t="s">
        <v>1681</v>
      </c>
      <c r="AB104" s="2" t="s">
        <v>80</v>
      </c>
      <c r="AC104" s="2"/>
      <c r="AD104" s="2"/>
      <c r="AE104" s="2"/>
      <c r="AF104" s="2" t="s">
        <v>79</v>
      </c>
      <c r="AG104" s="2" t="s">
        <v>1682</v>
      </c>
      <c r="AH104" s="2" t="s">
        <v>1677</v>
      </c>
      <c r="AI104" s="2" t="s">
        <v>82</v>
      </c>
      <c r="AJ104" s="2">
        <v>8.5</v>
      </c>
      <c r="AK104" s="2" t="s">
        <v>84</v>
      </c>
      <c r="AL104" s="2" t="s">
        <v>84</v>
      </c>
      <c r="AM104" s="2" t="s">
        <v>84</v>
      </c>
      <c r="AN104" s="2" t="s">
        <v>84</v>
      </c>
      <c r="AO104" s="2" t="s">
        <v>84</v>
      </c>
      <c r="AP104" s="2" t="s">
        <v>84</v>
      </c>
      <c r="AQ104" s="2" t="s">
        <v>84</v>
      </c>
      <c r="AR104" s="2" t="s">
        <v>86</v>
      </c>
      <c r="AS104" s="2" t="s">
        <v>84</v>
      </c>
      <c r="AT104" s="2" t="s">
        <v>85</v>
      </c>
      <c r="AU104" s="2" t="s">
        <v>80</v>
      </c>
      <c r="AV104" s="2" t="s">
        <v>80</v>
      </c>
      <c r="AW104" s="2"/>
      <c r="AX104" s="2" t="s">
        <v>80</v>
      </c>
      <c r="AY104" s="2"/>
      <c r="AZ104" s="2" t="s">
        <v>100</v>
      </c>
      <c r="BA104" s="2" t="s">
        <v>1683</v>
      </c>
      <c r="BB104" s="2" t="s">
        <v>1557</v>
      </c>
      <c r="BC104" s="2" t="s">
        <v>79</v>
      </c>
      <c r="BD104" s="2" t="s">
        <v>1684</v>
      </c>
      <c r="BE104" s="2" t="s">
        <v>1685</v>
      </c>
      <c r="BF104" s="2" t="s">
        <v>1686</v>
      </c>
      <c r="BG104" s="2"/>
      <c r="BH104" s="2" t="s">
        <v>80</v>
      </c>
      <c r="BI104" s="2" t="s">
        <v>79</v>
      </c>
      <c r="BJ104" s="2" t="s">
        <v>107</v>
      </c>
      <c r="BK104" s="2" t="s">
        <v>1687</v>
      </c>
      <c r="BL104" s="2" t="s">
        <v>79</v>
      </c>
      <c r="BM104" s="2" t="s">
        <v>109</v>
      </c>
    </row>
    <row r="105" spans="1:65" ht="409.5" x14ac:dyDescent="0.25">
      <c r="A105" s="2" t="s">
        <v>1688</v>
      </c>
      <c r="B105" s="2">
        <v>2017</v>
      </c>
      <c r="C105" s="2" t="s">
        <v>270</v>
      </c>
      <c r="D105" s="2" t="s">
        <v>79</v>
      </c>
      <c r="E105" s="2" t="s">
        <v>79</v>
      </c>
      <c r="F105" s="2" t="s">
        <v>79</v>
      </c>
      <c r="G105" s="2"/>
      <c r="H105" s="2"/>
      <c r="I105" s="2"/>
      <c r="J105" s="2" t="s">
        <v>1000</v>
      </c>
      <c r="K105" s="2" t="s">
        <v>92</v>
      </c>
      <c r="L105" s="2" t="s">
        <v>1690</v>
      </c>
      <c r="M105" s="2" t="s">
        <v>1691</v>
      </c>
      <c r="N105" s="2" t="s">
        <v>89</v>
      </c>
      <c r="O105" s="2" t="s">
        <v>80</v>
      </c>
      <c r="P105" s="2"/>
      <c r="Q105" s="2" t="s">
        <v>1692</v>
      </c>
      <c r="R105" s="2"/>
      <c r="S105" s="2" t="s">
        <v>155</v>
      </c>
      <c r="T105" s="2" t="s">
        <v>80</v>
      </c>
      <c r="U105" s="2"/>
      <c r="V105" s="2" t="s">
        <v>92</v>
      </c>
      <c r="W105" s="2"/>
      <c r="X105" s="2" t="s">
        <v>1693</v>
      </c>
      <c r="Y105" s="2" t="s">
        <v>95</v>
      </c>
      <c r="Z105" s="2" t="s">
        <v>1694</v>
      </c>
      <c r="AA105" s="2" t="s">
        <v>1695</v>
      </c>
      <c r="AB105" s="2" t="s">
        <v>80</v>
      </c>
      <c r="AC105" s="2"/>
      <c r="AD105" s="2"/>
      <c r="AE105" s="2"/>
      <c r="AF105" s="2" t="s">
        <v>79</v>
      </c>
      <c r="AG105" s="2" t="s">
        <v>1696</v>
      </c>
      <c r="AH105" s="2" t="s">
        <v>1689</v>
      </c>
      <c r="AI105" s="2" t="s">
        <v>82</v>
      </c>
      <c r="AJ105" s="2">
        <v>8.5</v>
      </c>
      <c r="AK105" s="2" t="s">
        <v>84</v>
      </c>
      <c r="AL105" s="2" t="s">
        <v>84</v>
      </c>
      <c r="AM105" s="2" t="s">
        <v>84</v>
      </c>
      <c r="AN105" s="2" t="s">
        <v>84</v>
      </c>
      <c r="AO105" s="2" t="s">
        <v>84</v>
      </c>
      <c r="AP105" s="2" t="s">
        <v>84</v>
      </c>
      <c r="AQ105" s="2" t="s">
        <v>84</v>
      </c>
      <c r="AR105" s="2" t="s">
        <v>86</v>
      </c>
      <c r="AS105" s="2" t="s">
        <v>84</v>
      </c>
      <c r="AT105" s="2" t="s">
        <v>85</v>
      </c>
      <c r="AU105" s="2" t="s">
        <v>106</v>
      </c>
      <c r="AV105" s="2" t="s">
        <v>80</v>
      </c>
      <c r="AW105" s="2"/>
      <c r="AX105" s="2" t="s">
        <v>106</v>
      </c>
      <c r="AY105" s="2" t="s">
        <v>1697</v>
      </c>
      <c r="AZ105" s="2" t="s">
        <v>100</v>
      </c>
      <c r="BA105" s="2" t="s">
        <v>1698</v>
      </c>
      <c r="BB105" s="2" t="s">
        <v>202</v>
      </c>
      <c r="BC105" s="2" t="s">
        <v>79</v>
      </c>
      <c r="BD105" s="2" t="s">
        <v>1699</v>
      </c>
      <c r="BE105" s="2" t="s">
        <v>1700</v>
      </c>
      <c r="BF105" s="2" t="s">
        <v>153</v>
      </c>
      <c r="BG105" s="2"/>
      <c r="BH105" s="2" t="s">
        <v>80</v>
      </c>
      <c r="BI105" s="2" t="s">
        <v>79</v>
      </c>
      <c r="BJ105" s="2" t="s">
        <v>429</v>
      </c>
      <c r="BK105" s="2" t="s">
        <v>1701</v>
      </c>
      <c r="BL105" s="2" t="s">
        <v>79</v>
      </c>
      <c r="BM105" s="2" t="s">
        <v>109</v>
      </c>
    </row>
    <row r="106" spans="1:65" ht="409.5" x14ac:dyDescent="0.25">
      <c r="A106" s="2" t="s">
        <v>1702</v>
      </c>
      <c r="B106" s="2">
        <v>2017</v>
      </c>
      <c r="C106" s="2" t="s">
        <v>111</v>
      </c>
      <c r="D106" s="2" t="s">
        <v>79</v>
      </c>
      <c r="E106" s="2" t="s">
        <v>79</v>
      </c>
      <c r="F106" s="2" t="s">
        <v>79</v>
      </c>
      <c r="G106" s="2"/>
      <c r="H106" s="2"/>
      <c r="I106" s="2"/>
      <c r="J106" s="2" t="s">
        <v>613</v>
      </c>
      <c r="K106" s="2" t="s">
        <v>80</v>
      </c>
      <c r="L106" s="2" t="s">
        <v>1704</v>
      </c>
      <c r="M106" s="2" t="s">
        <v>1705</v>
      </c>
      <c r="N106" s="2" t="s">
        <v>89</v>
      </c>
      <c r="O106" s="2" t="s">
        <v>80</v>
      </c>
      <c r="P106" s="2"/>
      <c r="Q106" s="2" t="s">
        <v>1706</v>
      </c>
      <c r="R106" s="2"/>
      <c r="S106" s="2" t="s">
        <v>155</v>
      </c>
      <c r="T106" s="2" t="s">
        <v>80</v>
      </c>
      <c r="U106" s="2"/>
      <c r="V106" s="2" t="s">
        <v>92</v>
      </c>
      <c r="W106" s="2"/>
      <c r="X106" s="2" t="s">
        <v>1707</v>
      </c>
      <c r="Y106" s="2" t="s">
        <v>95</v>
      </c>
      <c r="Z106" s="2" t="s">
        <v>1708</v>
      </c>
      <c r="AA106" s="2" t="s">
        <v>1709</v>
      </c>
      <c r="AB106" s="2" t="s">
        <v>80</v>
      </c>
      <c r="AC106" s="2"/>
      <c r="AD106" s="2"/>
      <c r="AE106" s="2"/>
      <c r="AF106" s="2" t="s">
        <v>79</v>
      </c>
      <c r="AG106" s="2" t="s">
        <v>1710</v>
      </c>
      <c r="AH106" s="2" t="s">
        <v>1703</v>
      </c>
      <c r="AI106" s="2" t="s">
        <v>82</v>
      </c>
      <c r="AJ106" s="2">
        <v>7.5</v>
      </c>
      <c r="AK106" s="2" t="s">
        <v>84</v>
      </c>
      <c r="AL106" s="2" t="s">
        <v>84</v>
      </c>
      <c r="AM106" s="2" t="s">
        <v>84</v>
      </c>
      <c r="AN106" s="2" t="s">
        <v>84</v>
      </c>
      <c r="AO106" s="2" t="s">
        <v>84</v>
      </c>
      <c r="AP106" s="2" t="s">
        <v>84</v>
      </c>
      <c r="AQ106" s="2" t="s">
        <v>84</v>
      </c>
      <c r="AR106" s="2" t="s">
        <v>86</v>
      </c>
      <c r="AS106" s="2" t="s">
        <v>86</v>
      </c>
      <c r="AT106" s="2" t="s">
        <v>85</v>
      </c>
      <c r="AU106" s="2" t="s">
        <v>106</v>
      </c>
      <c r="AV106" s="2" t="s">
        <v>80</v>
      </c>
      <c r="AW106" s="2"/>
      <c r="AX106" s="2" t="s">
        <v>106</v>
      </c>
      <c r="AY106" s="2" t="s">
        <v>1711</v>
      </c>
      <c r="AZ106" s="2" t="s">
        <v>100</v>
      </c>
      <c r="BA106" s="2" t="s">
        <v>1712</v>
      </c>
      <c r="BB106" s="2" t="s">
        <v>102</v>
      </c>
      <c r="BC106" s="2" t="s">
        <v>79</v>
      </c>
      <c r="BD106" s="2" t="s">
        <v>1699</v>
      </c>
      <c r="BE106" s="2" t="s">
        <v>1713</v>
      </c>
      <c r="BF106" s="2" t="s">
        <v>153</v>
      </c>
      <c r="BG106" s="2"/>
      <c r="BH106" s="2" t="s">
        <v>80</v>
      </c>
      <c r="BI106" s="2" t="s">
        <v>79</v>
      </c>
      <c r="BJ106" s="2" t="s">
        <v>155</v>
      </c>
      <c r="BK106" s="2"/>
      <c r="BL106" s="2" t="s">
        <v>80</v>
      </c>
      <c r="BM106" s="2" t="s">
        <v>109</v>
      </c>
    </row>
    <row r="107" spans="1:65" ht="409.5" x14ac:dyDescent="0.25">
      <c r="A107" s="2" t="s">
        <v>1714</v>
      </c>
      <c r="B107" s="2">
        <v>2017</v>
      </c>
      <c r="C107" s="2" t="s">
        <v>270</v>
      </c>
      <c r="D107" s="2" t="s">
        <v>79</v>
      </c>
      <c r="E107" s="2" t="s">
        <v>79</v>
      </c>
      <c r="F107" s="2" t="s">
        <v>79</v>
      </c>
      <c r="G107" s="2"/>
      <c r="H107" s="2"/>
      <c r="I107" s="2"/>
      <c r="J107" s="2" t="s">
        <v>1000</v>
      </c>
      <c r="K107" s="2" t="s">
        <v>80</v>
      </c>
      <c r="L107" s="2" t="s">
        <v>1716</v>
      </c>
      <c r="M107" s="2" t="s">
        <v>1717</v>
      </c>
      <c r="N107" s="2" t="s">
        <v>89</v>
      </c>
      <c r="O107" s="2" t="s">
        <v>80</v>
      </c>
      <c r="P107" s="2"/>
      <c r="Q107" s="2" t="s">
        <v>1718</v>
      </c>
      <c r="R107" s="2"/>
      <c r="S107" s="2" t="s">
        <v>155</v>
      </c>
      <c r="T107" s="2" t="s">
        <v>80</v>
      </c>
      <c r="U107" s="2"/>
      <c r="V107" s="2" t="s">
        <v>92</v>
      </c>
      <c r="W107" s="2"/>
      <c r="X107" s="2" t="s">
        <v>1719</v>
      </c>
      <c r="Y107" s="2" t="s">
        <v>95</v>
      </c>
      <c r="Z107" s="2" t="s">
        <v>1720</v>
      </c>
      <c r="AA107" s="2" t="s">
        <v>1721</v>
      </c>
      <c r="AB107" s="2" t="s">
        <v>80</v>
      </c>
      <c r="AC107" s="2"/>
      <c r="AD107" s="2"/>
      <c r="AE107" s="2"/>
      <c r="AF107" s="2" t="s">
        <v>79</v>
      </c>
      <c r="AG107" s="2" t="s">
        <v>1722</v>
      </c>
      <c r="AH107" s="2" t="s">
        <v>1715</v>
      </c>
      <c r="AI107" s="2" t="s">
        <v>82</v>
      </c>
      <c r="AJ107" s="2">
        <v>9</v>
      </c>
      <c r="AK107" s="2" t="s">
        <v>84</v>
      </c>
      <c r="AL107" s="2" t="s">
        <v>84</v>
      </c>
      <c r="AM107" s="2" t="s">
        <v>84</v>
      </c>
      <c r="AN107" s="2" t="s">
        <v>84</v>
      </c>
      <c r="AO107" s="2" t="s">
        <v>84</v>
      </c>
      <c r="AP107" s="2" t="s">
        <v>84</v>
      </c>
      <c r="AQ107" s="2" t="s">
        <v>84</v>
      </c>
      <c r="AR107" s="2" t="s">
        <v>86</v>
      </c>
      <c r="AS107" s="2" t="s">
        <v>84</v>
      </c>
      <c r="AT107" s="2" t="s">
        <v>84</v>
      </c>
      <c r="AU107" s="2" t="s">
        <v>106</v>
      </c>
      <c r="AV107" s="2" t="s">
        <v>80</v>
      </c>
      <c r="AW107" s="2"/>
      <c r="AX107" s="2" t="s">
        <v>106</v>
      </c>
      <c r="AY107" s="2" t="s">
        <v>1723</v>
      </c>
      <c r="AZ107" s="2" t="s">
        <v>100</v>
      </c>
      <c r="BA107" s="2" t="s">
        <v>1724</v>
      </c>
      <c r="BB107" s="2" t="s">
        <v>102</v>
      </c>
      <c r="BC107" s="2" t="s">
        <v>79</v>
      </c>
      <c r="BD107" s="2" t="s">
        <v>1725</v>
      </c>
      <c r="BE107" s="2" t="s">
        <v>1726</v>
      </c>
      <c r="BF107" s="2" t="s">
        <v>153</v>
      </c>
      <c r="BG107" s="2"/>
      <c r="BH107" s="2" t="s">
        <v>80</v>
      </c>
      <c r="BI107" s="2" t="s">
        <v>79</v>
      </c>
      <c r="BJ107" s="2" t="s">
        <v>107</v>
      </c>
      <c r="BK107" s="2" t="s">
        <v>1727</v>
      </c>
      <c r="BL107" s="2" t="s">
        <v>79</v>
      </c>
      <c r="BM107" s="2" t="s">
        <v>109</v>
      </c>
    </row>
    <row r="108" spans="1:65" ht="409.5" x14ac:dyDescent="0.25">
      <c r="A108" s="2" t="s">
        <v>1728</v>
      </c>
      <c r="B108" s="2">
        <v>2025</v>
      </c>
      <c r="C108" s="2" t="s">
        <v>143</v>
      </c>
      <c r="D108" s="2" t="s">
        <v>79</v>
      </c>
      <c r="E108" s="2" t="s">
        <v>79</v>
      </c>
      <c r="F108" s="2" t="s">
        <v>79</v>
      </c>
      <c r="G108" s="2"/>
      <c r="H108" s="2"/>
      <c r="I108" s="2"/>
      <c r="J108" s="2" t="s">
        <v>1036</v>
      </c>
      <c r="K108" s="2" t="s">
        <v>80</v>
      </c>
      <c r="L108" s="2" t="s">
        <v>1730</v>
      </c>
      <c r="M108" s="2" t="s">
        <v>1731</v>
      </c>
      <c r="N108" s="2" t="s">
        <v>89</v>
      </c>
      <c r="O108" s="2" t="s">
        <v>79</v>
      </c>
      <c r="P108" s="2" t="s">
        <v>116</v>
      </c>
      <c r="Q108" s="2" t="s">
        <v>1732</v>
      </c>
      <c r="R108" s="2"/>
      <c r="S108" s="2"/>
      <c r="T108" s="2" t="s">
        <v>80</v>
      </c>
      <c r="U108" s="2"/>
      <c r="V108" s="2" t="s">
        <v>92</v>
      </c>
      <c r="W108" s="2" t="s">
        <v>465</v>
      </c>
      <c r="X108" s="2" t="s">
        <v>1733</v>
      </c>
      <c r="Y108" s="2" t="s">
        <v>95</v>
      </c>
      <c r="Z108" s="2" t="s">
        <v>1734</v>
      </c>
      <c r="AA108" s="2" t="s">
        <v>1735</v>
      </c>
      <c r="AB108" s="2" t="s">
        <v>79</v>
      </c>
      <c r="AC108" s="2" t="s">
        <v>1736</v>
      </c>
      <c r="AD108" s="2" t="s">
        <v>1737</v>
      </c>
      <c r="AE108" s="2"/>
      <c r="AF108" s="2" t="s">
        <v>79</v>
      </c>
      <c r="AG108" s="2" t="s">
        <v>1738</v>
      </c>
      <c r="AH108" s="2" t="s">
        <v>1729</v>
      </c>
      <c r="AI108" s="2" t="s">
        <v>82</v>
      </c>
      <c r="AJ108" s="2">
        <v>7.5</v>
      </c>
      <c r="AK108" s="2" t="s">
        <v>84</v>
      </c>
      <c r="AL108" s="2" t="s">
        <v>86</v>
      </c>
      <c r="AM108" s="2" t="s">
        <v>84</v>
      </c>
      <c r="AN108" s="2" t="s">
        <v>84</v>
      </c>
      <c r="AO108" s="2" t="s">
        <v>84</v>
      </c>
      <c r="AP108" s="2" t="s">
        <v>84</v>
      </c>
      <c r="AQ108" s="2" t="s">
        <v>84</v>
      </c>
      <c r="AR108" s="2" t="s">
        <v>86</v>
      </c>
      <c r="AS108" s="2" t="s">
        <v>84</v>
      </c>
      <c r="AT108" s="2" t="s">
        <v>85</v>
      </c>
      <c r="AU108" s="2"/>
      <c r="AV108" s="2" t="s">
        <v>80</v>
      </c>
      <c r="AW108" s="2"/>
      <c r="AX108" s="2"/>
      <c r="AY108" s="2" t="s">
        <v>1739</v>
      </c>
      <c r="AZ108" s="2" t="s">
        <v>100</v>
      </c>
      <c r="BA108" s="2" t="s">
        <v>1740</v>
      </c>
      <c r="BB108" s="2"/>
      <c r="BC108" s="2" t="s">
        <v>79</v>
      </c>
      <c r="BD108" s="2"/>
      <c r="BE108" s="2" t="s">
        <v>1741</v>
      </c>
      <c r="BF108" s="2" t="s">
        <v>153</v>
      </c>
      <c r="BG108" s="2" t="s">
        <v>1742</v>
      </c>
      <c r="BH108" s="2" t="s">
        <v>92</v>
      </c>
      <c r="BI108" s="2" t="s">
        <v>79</v>
      </c>
      <c r="BJ108" s="2" t="s">
        <v>429</v>
      </c>
      <c r="BK108" s="2" t="s">
        <v>1743</v>
      </c>
      <c r="BL108" s="2" t="s">
        <v>79</v>
      </c>
      <c r="BM108" s="2" t="s">
        <v>109</v>
      </c>
    </row>
  </sheetData>
  <autoFilter ref="A1:BM10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111"/>
  <sheetViews>
    <sheetView showGridLines="0" workbookViewId="0">
      <pane ySplit="1" topLeftCell="A2" activePane="bottomLeft" state="frozen"/>
      <selection pane="bottomLeft"/>
    </sheetView>
  </sheetViews>
  <sheetFormatPr defaultRowHeight="15" x14ac:dyDescent="0.25"/>
  <cols>
    <col min="1" max="3" width="12.7109375" customWidth="1"/>
    <col min="4" max="4" width="28.7109375" customWidth="1"/>
    <col min="5" max="5" width="14.7109375" customWidth="1"/>
    <col min="6" max="6" width="19.7109375" customWidth="1"/>
    <col min="7" max="7" width="17.7109375" customWidth="1"/>
    <col min="8" max="8" width="30.7109375" customWidth="1"/>
    <col min="9" max="9" width="23.7109375" customWidth="1"/>
    <col min="10" max="10" width="26.7109375" customWidth="1"/>
    <col min="11" max="11" width="28.7109375" customWidth="1"/>
    <col min="12" max="12" width="12.7109375" customWidth="1"/>
    <col min="13" max="13" width="13.7109375" customWidth="1"/>
    <col min="14" max="14" width="26.7109375" customWidth="1"/>
    <col min="15" max="15" width="13.7109375" customWidth="1"/>
    <col min="16" max="16" width="12.7109375" customWidth="1"/>
    <col min="17" max="17" width="19.7109375" customWidth="1"/>
    <col min="18" max="18" width="13.7109375" customWidth="1"/>
    <col min="19" max="19" width="26.7109375" customWidth="1"/>
    <col min="20" max="20" width="13.7109375" customWidth="1"/>
    <col min="21" max="21" width="22.7109375" customWidth="1"/>
    <col min="22" max="22" width="20.7109375" customWidth="1"/>
    <col min="23" max="25" width="21.7109375" customWidth="1"/>
    <col min="26" max="26" width="15.7109375" customWidth="1"/>
    <col min="27" max="27" width="18.7109375" customWidth="1"/>
    <col min="28" max="28" width="26.7109375" customWidth="1"/>
    <col min="29" max="29" width="21.7109375" customWidth="1"/>
    <col min="30" max="32" width="20.7109375" customWidth="1"/>
    <col min="33" max="36" width="12.7109375" customWidth="1"/>
    <col min="37" max="42" width="30.7109375" customWidth="1"/>
    <col min="43" max="43" width="26.7109375" customWidth="1"/>
    <col min="44" max="46" width="30.7109375" customWidth="1"/>
    <col min="47" max="47" width="28.7109375" customWidth="1"/>
    <col min="48" max="49" width="18.7109375" customWidth="1"/>
    <col min="50" max="50" width="26.7109375" customWidth="1"/>
    <col min="51" max="51" width="13.7109375" customWidth="1"/>
    <col min="52" max="52" width="26.7109375" customWidth="1"/>
    <col min="53" max="53" width="13.7109375" customWidth="1"/>
    <col min="54" max="54" width="30.7109375" customWidth="1"/>
    <col min="55" max="55" width="14.7109375" customWidth="1"/>
    <col min="56" max="56" width="22.7109375" customWidth="1"/>
    <col min="57" max="57" width="23.7109375" customWidth="1"/>
    <col min="58" max="58" width="24.7109375" customWidth="1"/>
    <col min="59" max="59" width="12.7109375" customWidth="1"/>
    <col min="60" max="60" width="13.7109375" customWidth="1"/>
    <col min="61" max="61" width="20.7109375" customWidth="1"/>
    <col min="62" max="62" width="19.7109375" customWidth="1"/>
    <col min="63" max="63" width="20.7109375" customWidth="1"/>
    <col min="64" max="64" width="28.7109375" customWidth="1"/>
    <col min="65" max="65" width="12.7109375" customWidth="1"/>
  </cols>
  <sheetData>
    <row r="1" spans="1:65" ht="45" x14ac:dyDescent="0.25">
      <c r="A1" s="3" t="s">
        <v>12</v>
      </c>
      <c r="B1" s="3" t="s">
        <v>13</v>
      </c>
      <c r="C1" s="3" t="s">
        <v>14</v>
      </c>
      <c r="D1" s="3" t="s">
        <v>20</v>
      </c>
      <c r="E1" s="3" t="s">
        <v>55</v>
      </c>
      <c r="F1" s="3" t="s">
        <v>23</v>
      </c>
      <c r="G1" s="3" t="s">
        <v>71</v>
      </c>
      <c r="H1" s="3" t="s">
        <v>43</v>
      </c>
      <c r="I1" s="3" t="s">
        <v>54</v>
      </c>
      <c r="J1" s="3" t="s">
        <v>59</v>
      </c>
      <c r="K1" s="3" t="s">
        <v>24</v>
      </c>
      <c r="L1" s="3" t="s">
        <v>39</v>
      </c>
      <c r="M1" s="3" t="s">
        <v>16</v>
      </c>
      <c r="N1" s="3" t="s">
        <v>40</v>
      </c>
      <c r="O1" s="3" t="s">
        <v>41</v>
      </c>
      <c r="P1" s="3" t="s">
        <v>42</v>
      </c>
      <c r="Q1" s="3" t="s">
        <v>44</v>
      </c>
      <c r="R1" s="3" t="s">
        <v>15</v>
      </c>
      <c r="S1" s="3" t="s">
        <v>45</v>
      </c>
      <c r="T1" s="3" t="s">
        <v>46</v>
      </c>
      <c r="U1" s="3" t="s">
        <v>47</v>
      </c>
      <c r="V1" s="3" t="s">
        <v>48</v>
      </c>
      <c r="W1" s="3" t="s">
        <v>18</v>
      </c>
      <c r="X1" s="3" t="s">
        <v>49</v>
      </c>
      <c r="Y1" s="3" t="s">
        <v>50</v>
      </c>
      <c r="Z1" s="3" t="s">
        <v>25</v>
      </c>
      <c r="AA1" s="3" t="s">
        <v>51</v>
      </c>
      <c r="AB1" s="3" t="s">
        <v>52</v>
      </c>
      <c r="AC1" s="3" t="s">
        <v>53</v>
      </c>
      <c r="AD1" s="3" t="s">
        <v>21</v>
      </c>
      <c r="AE1" s="3" t="s">
        <v>56</v>
      </c>
      <c r="AF1" s="3" t="s">
        <v>57</v>
      </c>
      <c r="AG1" s="3" t="s">
        <v>58</v>
      </c>
      <c r="AH1" s="3" t="s">
        <v>28</v>
      </c>
      <c r="AI1" s="3" t="s">
        <v>27</v>
      </c>
      <c r="AJ1" s="3" t="s">
        <v>26</v>
      </c>
      <c r="AK1" s="3" t="s">
        <v>29</v>
      </c>
      <c r="AL1" s="3" t="s">
        <v>38</v>
      </c>
      <c r="AM1" s="3" t="s">
        <v>30</v>
      </c>
      <c r="AN1" s="3" t="s">
        <v>31</v>
      </c>
      <c r="AO1" s="3" t="s">
        <v>32</v>
      </c>
      <c r="AP1" s="3" t="s">
        <v>33</v>
      </c>
      <c r="AQ1" s="3" t="s">
        <v>34</v>
      </c>
      <c r="AR1" s="3" t="s">
        <v>35</v>
      </c>
      <c r="AS1" s="3" t="s">
        <v>36</v>
      </c>
      <c r="AT1" s="3" t="s">
        <v>37</v>
      </c>
      <c r="AU1" s="3" t="s">
        <v>60</v>
      </c>
      <c r="AV1" s="3" t="s">
        <v>22</v>
      </c>
      <c r="AW1" s="3" t="s">
        <v>61</v>
      </c>
      <c r="AX1" s="3" t="s">
        <v>62</v>
      </c>
      <c r="AY1" s="3" t="s">
        <v>17</v>
      </c>
      <c r="AZ1" s="3" t="s">
        <v>63</v>
      </c>
      <c r="BA1" s="3" t="s">
        <v>64</v>
      </c>
      <c r="BB1" s="3" t="s">
        <v>65</v>
      </c>
      <c r="BC1" s="3" t="s">
        <v>66</v>
      </c>
      <c r="BD1" s="3" t="s">
        <v>67</v>
      </c>
      <c r="BE1" s="3" t="s">
        <v>19</v>
      </c>
      <c r="BF1" s="3" t="s">
        <v>68</v>
      </c>
      <c r="BG1" s="3" t="s">
        <v>69</v>
      </c>
      <c r="BH1" s="3" t="s">
        <v>70</v>
      </c>
      <c r="BI1" s="3" t="s">
        <v>72</v>
      </c>
      <c r="BJ1" s="3" t="s">
        <v>73</v>
      </c>
      <c r="BK1" s="3" t="s">
        <v>74</v>
      </c>
      <c r="BL1" s="3" t="s">
        <v>75</v>
      </c>
      <c r="BM1" s="3" t="s">
        <v>76</v>
      </c>
    </row>
    <row r="2" spans="1:65" ht="409.5" x14ac:dyDescent="0.25">
      <c r="A2" s="2" t="s">
        <v>77</v>
      </c>
      <c r="B2" s="2">
        <v>2008</v>
      </c>
      <c r="C2" s="2" t="s">
        <v>78</v>
      </c>
      <c r="D2" s="2" t="s">
        <v>79</v>
      </c>
      <c r="E2" s="2" t="s">
        <v>97</v>
      </c>
      <c r="F2" s="2" t="s">
        <v>79</v>
      </c>
      <c r="G2" s="2" t="s">
        <v>105</v>
      </c>
      <c r="H2" s="2" t="s">
        <v>79</v>
      </c>
      <c r="I2" s="2" t="s">
        <v>96</v>
      </c>
      <c r="J2" s="2" t="s">
        <v>98</v>
      </c>
      <c r="K2" s="2" t="s">
        <v>79</v>
      </c>
      <c r="L2" s="2" t="s">
        <v>87</v>
      </c>
      <c r="M2" s="2" t="s">
        <v>79</v>
      </c>
      <c r="N2" s="2"/>
      <c r="O2" s="2" t="s">
        <v>88</v>
      </c>
      <c r="P2" s="2" t="s">
        <v>89</v>
      </c>
      <c r="Q2" s="2" t="s">
        <v>90</v>
      </c>
      <c r="R2" s="2" t="s">
        <v>79</v>
      </c>
      <c r="S2" s="2"/>
      <c r="T2" s="2" t="s">
        <v>91</v>
      </c>
      <c r="U2" s="2"/>
      <c r="V2" s="2"/>
      <c r="W2" s="2" t="s">
        <v>80</v>
      </c>
      <c r="X2" s="2"/>
      <c r="Y2" s="2" t="s">
        <v>92</v>
      </c>
      <c r="Z2" s="2" t="s">
        <v>81</v>
      </c>
      <c r="AA2" s="2" t="s">
        <v>93</v>
      </c>
      <c r="AB2" s="2" t="s">
        <v>94</v>
      </c>
      <c r="AC2" s="2" t="s">
        <v>95</v>
      </c>
      <c r="AD2" s="2" t="s">
        <v>80</v>
      </c>
      <c r="AE2" s="2"/>
      <c r="AF2" s="2"/>
      <c r="AG2" s="2"/>
      <c r="AH2" s="2" t="s">
        <v>83</v>
      </c>
      <c r="AI2" s="2" t="s">
        <v>82</v>
      </c>
      <c r="AJ2" s="2">
        <v>7</v>
      </c>
      <c r="AK2" s="2" t="s">
        <v>84</v>
      </c>
      <c r="AL2" s="2" t="s">
        <v>86</v>
      </c>
      <c r="AM2" s="2" t="s">
        <v>84</v>
      </c>
      <c r="AN2" s="2" t="s">
        <v>84</v>
      </c>
      <c r="AO2" s="2" t="s">
        <v>84</v>
      </c>
      <c r="AP2" s="2" t="s">
        <v>84</v>
      </c>
      <c r="AQ2" s="2" t="s">
        <v>85</v>
      </c>
      <c r="AR2" s="2" t="s">
        <v>86</v>
      </c>
      <c r="AS2" s="2" t="s">
        <v>84</v>
      </c>
      <c r="AT2" s="2" t="s">
        <v>85</v>
      </c>
      <c r="AU2" s="2"/>
      <c r="AV2" s="2" t="s">
        <v>80</v>
      </c>
      <c r="AW2" s="2"/>
      <c r="AX2" s="2"/>
      <c r="AY2" s="2" t="s">
        <v>79</v>
      </c>
      <c r="AZ2" s="2"/>
      <c r="BA2" s="2" t="s">
        <v>99</v>
      </c>
      <c r="BB2" s="2" t="s">
        <v>100</v>
      </c>
      <c r="BC2" s="2" t="s">
        <v>101</v>
      </c>
      <c r="BD2" s="2" t="s">
        <v>102</v>
      </c>
      <c r="BE2" s="2" t="s">
        <v>79</v>
      </c>
      <c r="BF2" s="2"/>
      <c r="BG2" s="2" t="s">
        <v>103</v>
      </c>
      <c r="BH2" s="2" t="s">
        <v>104</v>
      </c>
      <c r="BI2" s="2" t="s">
        <v>106</v>
      </c>
      <c r="BJ2" s="2" t="s">
        <v>107</v>
      </c>
      <c r="BK2" s="2" t="s">
        <v>108</v>
      </c>
      <c r="BL2" s="2" t="s">
        <v>79</v>
      </c>
      <c r="BM2" s="2" t="s">
        <v>109</v>
      </c>
    </row>
    <row r="3" spans="1:65" ht="409.5" x14ac:dyDescent="0.25">
      <c r="A3" s="2" t="s">
        <v>110</v>
      </c>
      <c r="B3" s="2">
        <v>2008</v>
      </c>
      <c r="C3" s="2" t="s">
        <v>111</v>
      </c>
      <c r="D3" s="2" t="s">
        <v>79</v>
      </c>
      <c r="E3" s="2" t="s">
        <v>121</v>
      </c>
      <c r="F3" s="2" t="s">
        <v>106</v>
      </c>
      <c r="G3" s="2" t="s">
        <v>126</v>
      </c>
      <c r="H3" s="2" t="s">
        <v>106</v>
      </c>
      <c r="I3" s="2" t="s">
        <v>120</v>
      </c>
      <c r="J3" s="2" t="s">
        <v>122</v>
      </c>
      <c r="K3" s="2" t="s">
        <v>80</v>
      </c>
      <c r="L3" s="2" t="s">
        <v>114</v>
      </c>
      <c r="M3" s="2" t="s">
        <v>79</v>
      </c>
      <c r="N3" s="2"/>
      <c r="O3" s="2" t="s">
        <v>115</v>
      </c>
      <c r="P3" s="2" t="s">
        <v>89</v>
      </c>
      <c r="Q3" s="2" t="s">
        <v>116</v>
      </c>
      <c r="R3" s="2" t="s">
        <v>79</v>
      </c>
      <c r="S3" s="2"/>
      <c r="T3" s="2" t="s">
        <v>117</v>
      </c>
      <c r="U3" s="2"/>
      <c r="V3" s="2"/>
      <c r="W3" s="2" t="s">
        <v>80</v>
      </c>
      <c r="X3" s="2"/>
      <c r="Y3" s="2" t="s">
        <v>92</v>
      </c>
      <c r="Z3" s="2" t="s">
        <v>112</v>
      </c>
      <c r="AA3" s="2" t="s">
        <v>118</v>
      </c>
      <c r="AB3" s="2" t="s">
        <v>119</v>
      </c>
      <c r="AC3" s="2" t="s">
        <v>95</v>
      </c>
      <c r="AD3" s="2" t="s">
        <v>80</v>
      </c>
      <c r="AE3" s="2"/>
      <c r="AF3" s="2"/>
      <c r="AG3" s="2"/>
      <c r="AH3" s="2" t="s">
        <v>113</v>
      </c>
      <c r="AI3" s="2" t="s">
        <v>82</v>
      </c>
      <c r="AJ3" s="2">
        <v>7.5</v>
      </c>
      <c r="AK3" s="2" t="s">
        <v>84</v>
      </c>
      <c r="AL3" s="2" t="s">
        <v>86</v>
      </c>
      <c r="AM3" s="2" t="s">
        <v>85</v>
      </c>
      <c r="AN3" s="2" t="s">
        <v>84</v>
      </c>
      <c r="AO3" s="2" t="s">
        <v>84</v>
      </c>
      <c r="AP3" s="2" t="s">
        <v>84</v>
      </c>
      <c r="AQ3" s="2" t="s">
        <v>84</v>
      </c>
      <c r="AR3" s="2" t="s">
        <v>84</v>
      </c>
      <c r="AS3" s="2" t="s">
        <v>84</v>
      </c>
      <c r="AT3" s="2" t="s">
        <v>86</v>
      </c>
      <c r="AU3" s="2"/>
      <c r="AV3" s="2" t="s">
        <v>80</v>
      </c>
      <c r="AW3" s="2"/>
      <c r="AX3" s="2"/>
      <c r="AY3" s="2" t="s">
        <v>79</v>
      </c>
      <c r="AZ3" s="2"/>
      <c r="BA3" s="2" t="s">
        <v>123</v>
      </c>
      <c r="BB3" s="2" t="s">
        <v>100</v>
      </c>
      <c r="BC3" s="2" t="s">
        <v>124</v>
      </c>
      <c r="BD3" s="2" t="s">
        <v>102</v>
      </c>
      <c r="BE3" s="2" t="s">
        <v>79</v>
      </c>
      <c r="BF3" s="2"/>
      <c r="BG3" s="2" t="s">
        <v>125</v>
      </c>
      <c r="BH3" s="2" t="s">
        <v>104</v>
      </c>
      <c r="BI3" s="2" t="s">
        <v>79</v>
      </c>
      <c r="BJ3" s="2" t="s">
        <v>107</v>
      </c>
      <c r="BK3" s="2" t="s">
        <v>127</v>
      </c>
      <c r="BL3" s="2" t="s">
        <v>79</v>
      </c>
      <c r="BM3" s="2" t="s">
        <v>109</v>
      </c>
    </row>
    <row r="4" spans="1:65" ht="409.5" x14ac:dyDescent="0.25">
      <c r="A4" s="2" t="s">
        <v>128</v>
      </c>
      <c r="B4" s="2">
        <v>2008</v>
      </c>
      <c r="C4" s="2" t="s">
        <v>111</v>
      </c>
      <c r="D4" s="2" t="s">
        <v>79</v>
      </c>
      <c r="E4" s="2" t="s">
        <v>132</v>
      </c>
      <c r="F4" s="2" t="s">
        <v>106</v>
      </c>
      <c r="G4" s="2" t="s">
        <v>138</v>
      </c>
      <c r="H4" s="2" t="s">
        <v>106</v>
      </c>
      <c r="I4" s="2" t="s">
        <v>131</v>
      </c>
      <c r="J4" s="2" t="s">
        <v>134</v>
      </c>
      <c r="K4" s="2" t="s">
        <v>80</v>
      </c>
      <c r="L4" s="2" t="s">
        <v>130</v>
      </c>
      <c r="M4" s="2" t="s">
        <v>79</v>
      </c>
      <c r="N4" s="2"/>
      <c r="O4" s="2" t="s">
        <v>115</v>
      </c>
      <c r="P4" s="2" t="s">
        <v>89</v>
      </c>
      <c r="Q4" s="2" t="s">
        <v>116</v>
      </c>
      <c r="R4" s="2" t="s">
        <v>79</v>
      </c>
      <c r="S4" s="2"/>
      <c r="T4" s="2" t="s">
        <v>117</v>
      </c>
      <c r="U4" s="2"/>
      <c r="V4" s="2"/>
      <c r="W4" s="2" t="s">
        <v>80</v>
      </c>
      <c r="X4" s="2"/>
      <c r="Y4" s="2" t="s">
        <v>92</v>
      </c>
      <c r="Z4" s="2" t="s">
        <v>112</v>
      </c>
      <c r="AA4" s="2" t="s">
        <v>118</v>
      </c>
      <c r="AB4" s="2" t="s">
        <v>119</v>
      </c>
      <c r="AC4" s="2" t="s">
        <v>95</v>
      </c>
      <c r="AD4" s="2" t="s">
        <v>80</v>
      </c>
      <c r="AE4" s="2"/>
      <c r="AF4" s="2"/>
      <c r="AG4" s="2" t="s">
        <v>133</v>
      </c>
      <c r="AH4" s="2" t="s">
        <v>129</v>
      </c>
      <c r="AI4" s="2" t="s">
        <v>82</v>
      </c>
      <c r="AJ4" s="2">
        <v>7.5</v>
      </c>
      <c r="AK4" s="2" t="s">
        <v>84</v>
      </c>
      <c r="AL4" s="2" t="s">
        <v>86</v>
      </c>
      <c r="AM4" s="2" t="s">
        <v>85</v>
      </c>
      <c r="AN4" s="2" t="s">
        <v>84</v>
      </c>
      <c r="AO4" s="2" t="s">
        <v>84</v>
      </c>
      <c r="AP4" s="2" t="s">
        <v>84</v>
      </c>
      <c r="AQ4" s="2" t="s">
        <v>84</v>
      </c>
      <c r="AR4" s="2" t="s">
        <v>84</v>
      </c>
      <c r="AS4" s="2" t="s">
        <v>84</v>
      </c>
      <c r="AT4" s="2" t="s">
        <v>86</v>
      </c>
      <c r="AU4" s="2"/>
      <c r="AV4" s="2" t="s">
        <v>80</v>
      </c>
      <c r="AW4" s="2"/>
      <c r="AX4" s="2"/>
      <c r="AY4" s="2" t="s">
        <v>79</v>
      </c>
      <c r="AZ4" s="2"/>
      <c r="BA4" s="2" t="s">
        <v>135</v>
      </c>
      <c r="BB4" s="2" t="s">
        <v>100</v>
      </c>
      <c r="BC4" s="2" t="s">
        <v>136</v>
      </c>
      <c r="BD4" s="2" t="s">
        <v>102</v>
      </c>
      <c r="BE4" s="2" t="s">
        <v>79</v>
      </c>
      <c r="BF4" s="2"/>
      <c r="BG4" s="2" t="s">
        <v>137</v>
      </c>
      <c r="BH4" s="2" t="s">
        <v>104</v>
      </c>
      <c r="BI4" s="2" t="s">
        <v>79</v>
      </c>
      <c r="BJ4" s="2" t="s">
        <v>107</v>
      </c>
      <c r="BK4" s="2" t="s">
        <v>127</v>
      </c>
      <c r="BL4" s="2" t="s">
        <v>79</v>
      </c>
      <c r="BM4" s="2" t="s">
        <v>109</v>
      </c>
    </row>
    <row r="5" spans="1:65" ht="409.5" x14ac:dyDescent="0.25">
      <c r="A5" s="2" t="s">
        <v>139</v>
      </c>
      <c r="B5" s="2">
        <v>2012</v>
      </c>
      <c r="C5" s="2" t="s">
        <v>111</v>
      </c>
      <c r="D5" s="2" t="s">
        <v>79</v>
      </c>
      <c r="E5" s="2" t="s">
        <v>148</v>
      </c>
      <c r="F5" s="2" t="s">
        <v>106</v>
      </c>
      <c r="G5" s="2" t="s">
        <v>154</v>
      </c>
      <c r="H5" s="2" t="s">
        <v>79</v>
      </c>
      <c r="I5" s="2" t="s">
        <v>147</v>
      </c>
      <c r="J5" s="2" t="s">
        <v>149</v>
      </c>
      <c r="K5" s="2" t="s">
        <v>92</v>
      </c>
      <c r="L5" s="2" t="s">
        <v>141</v>
      </c>
      <c r="M5" s="2" t="s">
        <v>79</v>
      </c>
      <c r="N5" s="2"/>
      <c r="O5" s="2" t="s">
        <v>142</v>
      </c>
      <c r="P5" s="2" t="s">
        <v>143</v>
      </c>
      <c r="Q5" s="2" t="s">
        <v>90</v>
      </c>
      <c r="R5" s="2" t="s">
        <v>79</v>
      </c>
      <c r="S5" s="2"/>
      <c r="T5" s="2" t="s">
        <v>144</v>
      </c>
      <c r="U5" s="2"/>
      <c r="V5" s="2"/>
      <c r="W5" s="2" t="s">
        <v>80</v>
      </c>
      <c r="X5" s="2"/>
      <c r="Y5" s="2" t="s">
        <v>92</v>
      </c>
      <c r="Z5" s="2" t="s">
        <v>112</v>
      </c>
      <c r="AA5" s="2" t="s">
        <v>145</v>
      </c>
      <c r="AB5" s="2" t="s">
        <v>146</v>
      </c>
      <c r="AC5" s="2" t="s">
        <v>95</v>
      </c>
      <c r="AD5" s="2" t="s">
        <v>80</v>
      </c>
      <c r="AE5" s="2"/>
      <c r="AF5" s="2"/>
      <c r="AG5" s="2"/>
      <c r="AH5" s="2" t="s">
        <v>140</v>
      </c>
      <c r="AI5" s="2" t="s">
        <v>82</v>
      </c>
      <c r="AJ5" s="2">
        <v>9</v>
      </c>
      <c r="AK5" s="2" t="s">
        <v>84</v>
      </c>
      <c r="AL5" s="2" t="s">
        <v>84</v>
      </c>
      <c r="AM5" s="2" t="s">
        <v>84</v>
      </c>
      <c r="AN5" s="2" t="s">
        <v>84</v>
      </c>
      <c r="AO5" s="2" t="s">
        <v>84</v>
      </c>
      <c r="AP5" s="2" t="s">
        <v>84</v>
      </c>
      <c r="AQ5" s="2" t="s">
        <v>84</v>
      </c>
      <c r="AR5" s="2" t="s">
        <v>84</v>
      </c>
      <c r="AS5" s="2" t="s">
        <v>85</v>
      </c>
      <c r="AT5" s="2" t="s">
        <v>85</v>
      </c>
      <c r="AU5" s="2"/>
      <c r="AV5" s="2" t="s">
        <v>80</v>
      </c>
      <c r="AW5" s="2"/>
      <c r="AX5" s="2"/>
      <c r="AY5" s="2" t="s">
        <v>79</v>
      </c>
      <c r="AZ5" s="2"/>
      <c r="BA5" s="2" t="s">
        <v>150</v>
      </c>
      <c r="BB5" s="2" t="s">
        <v>100</v>
      </c>
      <c r="BC5" s="2" t="s">
        <v>151</v>
      </c>
      <c r="BD5" s="2" t="s">
        <v>102</v>
      </c>
      <c r="BE5" s="2" t="s">
        <v>79</v>
      </c>
      <c r="BF5" s="2"/>
      <c r="BG5" s="2" t="s">
        <v>152</v>
      </c>
      <c r="BH5" s="2" t="s">
        <v>153</v>
      </c>
      <c r="BI5" s="2" t="s">
        <v>79</v>
      </c>
      <c r="BJ5" s="2" t="s">
        <v>155</v>
      </c>
      <c r="BK5" s="2"/>
      <c r="BL5" s="2" t="s">
        <v>80</v>
      </c>
      <c r="BM5" s="2" t="s">
        <v>109</v>
      </c>
    </row>
    <row r="6" spans="1:65" ht="409.5" x14ac:dyDescent="0.25">
      <c r="A6" s="2" t="s">
        <v>156</v>
      </c>
      <c r="B6" s="2">
        <v>2012</v>
      </c>
      <c r="C6" s="2" t="s">
        <v>111</v>
      </c>
      <c r="D6" s="2" t="s">
        <v>79</v>
      </c>
      <c r="E6" s="2" t="s">
        <v>164</v>
      </c>
      <c r="F6" s="2" t="s">
        <v>80</v>
      </c>
      <c r="G6" s="2" t="s">
        <v>170</v>
      </c>
      <c r="H6" s="2" t="s">
        <v>106</v>
      </c>
      <c r="I6" s="2" t="s">
        <v>163</v>
      </c>
      <c r="J6" s="2" t="s">
        <v>165</v>
      </c>
      <c r="K6" s="2" t="s">
        <v>92</v>
      </c>
      <c r="L6" s="2" t="s">
        <v>158</v>
      </c>
      <c r="M6" s="2" t="s">
        <v>79</v>
      </c>
      <c r="N6" s="2" t="s">
        <v>79</v>
      </c>
      <c r="O6" s="2" t="s">
        <v>159</v>
      </c>
      <c r="P6" s="2" t="s">
        <v>89</v>
      </c>
      <c r="Q6" s="2" t="s">
        <v>116</v>
      </c>
      <c r="R6" s="2" t="s">
        <v>79</v>
      </c>
      <c r="S6" s="2" t="s">
        <v>92</v>
      </c>
      <c r="T6" s="2" t="s">
        <v>160</v>
      </c>
      <c r="U6" s="2"/>
      <c r="V6" s="2"/>
      <c r="W6" s="2" t="s">
        <v>80</v>
      </c>
      <c r="X6" s="2"/>
      <c r="Y6" s="2" t="s">
        <v>92</v>
      </c>
      <c r="Z6" s="2" t="s">
        <v>112</v>
      </c>
      <c r="AA6" s="2" t="s">
        <v>161</v>
      </c>
      <c r="AB6" s="2" t="s">
        <v>162</v>
      </c>
      <c r="AC6" s="2" t="s">
        <v>95</v>
      </c>
      <c r="AD6" s="2" t="s">
        <v>80</v>
      </c>
      <c r="AE6" s="2"/>
      <c r="AF6" s="2"/>
      <c r="AG6" s="2"/>
      <c r="AH6" s="2" t="s">
        <v>157</v>
      </c>
      <c r="AI6" s="2" t="s">
        <v>82</v>
      </c>
      <c r="AJ6" s="2">
        <v>9.5</v>
      </c>
      <c r="AK6" s="2" t="s">
        <v>84</v>
      </c>
      <c r="AL6" s="2" t="s">
        <v>84</v>
      </c>
      <c r="AM6" s="2" t="s">
        <v>84</v>
      </c>
      <c r="AN6" s="2" t="s">
        <v>84</v>
      </c>
      <c r="AO6" s="2" t="s">
        <v>84</v>
      </c>
      <c r="AP6" s="2" t="s">
        <v>84</v>
      </c>
      <c r="AQ6" s="2" t="s">
        <v>84</v>
      </c>
      <c r="AR6" s="2" t="s">
        <v>84</v>
      </c>
      <c r="AS6" s="2" t="s">
        <v>84</v>
      </c>
      <c r="AT6" s="2" t="s">
        <v>85</v>
      </c>
      <c r="AU6" s="2" t="s">
        <v>80</v>
      </c>
      <c r="AV6" s="2" t="s">
        <v>80</v>
      </c>
      <c r="AW6" s="2"/>
      <c r="AX6" s="2" t="s">
        <v>80</v>
      </c>
      <c r="AY6" s="2" t="s">
        <v>79</v>
      </c>
      <c r="AZ6" s="2" t="s">
        <v>92</v>
      </c>
      <c r="BA6" s="2" t="s">
        <v>166</v>
      </c>
      <c r="BB6" s="2" t="s">
        <v>100</v>
      </c>
      <c r="BC6" s="2" t="s">
        <v>167</v>
      </c>
      <c r="BD6" s="2" t="s">
        <v>102</v>
      </c>
      <c r="BE6" s="2" t="s">
        <v>79</v>
      </c>
      <c r="BF6" s="2" t="s">
        <v>168</v>
      </c>
      <c r="BG6" s="2" t="s">
        <v>169</v>
      </c>
      <c r="BH6" s="2" t="s">
        <v>153</v>
      </c>
      <c r="BI6" s="2" t="s">
        <v>79</v>
      </c>
      <c r="BJ6" s="2" t="s">
        <v>107</v>
      </c>
      <c r="BK6" s="2" t="s">
        <v>171</v>
      </c>
      <c r="BL6" s="2" t="s">
        <v>79</v>
      </c>
      <c r="BM6" s="2" t="s">
        <v>172</v>
      </c>
    </row>
    <row r="7" spans="1:65" ht="409.5" x14ac:dyDescent="0.25">
      <c r="A7" s="2" t="s">
        <v>173</v>
      </c>
      <c r="B7" s="2">
        <v>2012</v>
      </c>
      <c r="C7" s="2" t="s">
        <v>111</v>
      </c>
      <c r="D7" s="2" t="s">
        <v>79</v>
      </c>
      <c r="E7" s="2" t="s">
        <v>181</v>
      </c>
      <c r="F7" s="2" t="s">
        <v>92</v>
      </c>
      <c r="G7" s="2" t="s">
        <v>186</v>
      </c>
      <c r="H7" s="2" t="s">
        <v>106</v>
      </c>
      <c r="I7" s="2" t="s">
        <v>180</v>
      </c>
      <c r="J7" s="2" t="s">
        <v>182</v>
      </c>
      <c r="K7" s="2" t="s">
        <v>80</v>
      </c>
      <c r="L7" s="2" t="s">
        <v>175</v>
      </c>
      <c r="M7" s="2" t="s">
        <v>79</v>
      </c>
      <c r="N7" s="2" t="s">
        <v>79</v>
      </c>
      <c r="O7" s="2" t="s">
        <v>176</v>
      </c>
      <c r="P7" s="2" t="s">
        <v>89</v>
      </c>
      <c r="Q7" s="2" t="s">
        <v>116</v>
      </c>
      <c r="R7" s="2" t="s">
        <v>79</v>
      </c>
      <c r="S7" s="2" t="s">
        <v>92</v>
      </c>
      <c r="T7" s="2" t="s">
        <v>177</v>
      </c>
      <c r="U7" s="2"/>
      <c r="V7" s="2"/>
      <c r="W7" s="2" t="s">
        <v>80</v>
      </c>
      <c r="X7" s="2"/>
      <c r="Y7" s="2" t="s">
        <v>92</v>
      </c>
      <c r="Z7" s="2" t="s">
        <v>112</v>
      </c>
      <c r="AA7" s="2" t="s">
        <v>178</v>
      </c>
      <c r="AB7" s="2" t="s">
        <v>179</v>
      </c>
      <c r="AC7" s="2" t="s">
        <v>95</v>
      </c>
      <c r="AD7" s="2" t="s">
        <v>80</v>
      </c>
      <c r="AE7" s="2"/>
      <c r="AF7" s="2"/>
      <c r="AG7" s="2"/>
      <c r="AH7" s="2" t="s">
        <v>174</v>
      </c>
      <c r="AI7" s="2" t="s">
        <v>82</v>
      </c>
      <c r="AJ7" s="2">
        <v>9.5</v>
      </c>
      <c r="AK7" s="2" t="s">
        <v>84</v>
      </c>
      <c r="AL7" s="2" t="s">
        <v>84</v>
      </c>
      <c r="AM7" s="2" t="s">
        <v>84</v>
      </c>
      <c r="AN7" s="2" t="s">
        <v>84</v>
      </c>
      <c r="AO7" s="2" t="s">
        <v>84</v>
      </c>
      <c r="AP7" s="2" t="s">
        <v>84</v>
      </c>
      <c r="AQ7" s="2" t="s">
        <v>84</v>
      </c>
      <c r="AR7" s="2" t="s">
        <v>84</v>
      </c>
      <c r="AS7" s="2" t="s">
        <v>84</v>
      </c>
      <c r="AT7" s="2" t="s">
        <v>85</v>
      </c>
      <c r="AU7" s="2" t="s">
        <v>80</v>
      </c>
      <c r="AV7" s="2" t="s">
        <v>80</v>
      </c>
      <c r="AW7" s="2"/>
      <c r="AX7" s="2" t="s">
        <v>80</v>
      </c>
      <c r="AY7" s="2" t="s">
        <v>79</v>
      </c>
      <c r="AZ7" s="2" t="s">
        <v>92</v>
      </c>
      <c r="BA7" s="2" t="s">
        <v>183</v>
      </c>
      <c r="BB7" s="2" t="s">
        <v>100</v>
      </c>
      <c r="BC7" s="2" t="s">
        <v>184</v>
      </c>
      <c r="BD7" s="2" t="s">
        <v>102</v>
      </c>
      <c r="BE7" s="2" t="s">
        <v>79</v>
      </c>
      <c r="BF7" s="2" t="s">
        <v>168</v>
      </c>
      <c r="BG7" s="2" t="s">
        <v>185</v>
      </c>
      <c r="BH7" s="2" t="s">
        <v>153</v>
      </c>
      <c r="BI7" s="2" t="s">
        <v>79</v>
      </c>
      <c r="BJ7" s="2" t="s">
        <v>107</v>
      </c>
      <c r="BK7" s="2" t="s">
        <v>187</v>
      </c>
      <c r="BL7" s="2" t="s">
        <v>79</v>
      </c>
      <c r="BM7" s="2" t="s">
        <v>109</v>
      </c>
    </row>
    <row r="8" spans="1:65" ht="409.5" x14ac:dyDescent="0.25">
      <c r="A8" s="2" t="s">
        <v>188</v>
      </c>
      <c r="B8" s="2">
        <v>2013</v>
      </c>
      <c r="C8" s="2" t="s">
        <v>189</v>
      </c>
      <c r="D8" s="2" t="s">
        <v>79</v>
      </c>
      <c r="E8" s="2" t="s">
        <v>198</v>
      </c>
      <c r="F8" s="2" t="s">
        <v>79</v>
      </c>
      <c r="G8" s="2" t="s">
        <v>205</v>
      </c>
      <c r="H8" s="2" t="s">
        <v>79</v>
      </c>
      <c r="I8" s="2" t="s">
        <v>197</v>
      </c>
      <c r="J8" s="2" t="s">
        <v>199</v>
      </c>
      <c r="K8" s="2" t="s">
        <v>79</v>
      </c>
      <c r="L8" s="2" t="s">
        <v>191</v>
      </c>
      <c r="M8" s="2" t="s">
        <v>79</v>
      </c>
      <c r="N8" s="2" t="s">
        <v>92</v>
      </c>
      <c r="O8" s="2" t="s">
        <v>192</v>
      </c>
      <c r="P8" s="2" t="s">
        <v>193</v>
      </c>
      <c r="Q8" s="2" t="s">
        <v>194</v>
      </c>
      <c r="R8" s="2" t="s">
        <v>79</v>
      </c>
      <c r="S8" s="2" t="s">
        <v>79</v>
      </c>
      <c r="T8" s="2" t="s">
        <v>195</v>
      </c>
      <c r="U8" s="2"/>
      <c r="V8" s="2"/>
      <c r="W8" s="2" t="s">
        <v>80</v>
      </c>
      <c r="X8" s="2"/>
      <c r="Y8" s="2" t="s">
        <v>92</v>
      </c>
      <c r="Z8" s="2" t="s">
        <v>81</v>
      </c>
      <c r="AA8" s="2" t="s">
        <v>178</v>
      </c>
      <c r="AB8" s="2" t="s">
        <v>196</v>
      </c>
      <c r="AC8" s="2" t="s">
        <v>95</v>
      </c>
      <c r="AD8" s="2" t="s">
        <v>80</v>
      </c>
      <c r="AE8" s="2"/>
      <c r="AF8" s="2"/>
      <c r="AG8" s="2"/>
      <c r="AH8" s="2" t="s">
        <v>190</v>
      </c>
      <c r="AI8" s="2" t="s">
        <v>82</v>
      </c>
      <c r="AJ8" s="2">
        <v>9</v>
      </c>
      <c r="AK8" s="2" t="s">
        <v>84</v>
      </c>
      <c r="AL8" s="2" t="s">
        <v>84</v>
      </c>
      <c r="AM8" s="2" t="s">
        <v>84</v>
      </c>
      <c r="AN8" s="2" t="s">
        <v>84</v>
      </c>
      <c r="AO8" s="2" t="s">
        <v>84</v>
      </c>
      <c r="AP8" s="2" t="s">
        <v>84</v>
      </c>
      <c r="AQ8" s="2" t="s">
        <v>85</v>
      </c>
      <c r="AR8" s="2" t="s">
        <v>84</v>
      </c>
      <c r="AS8" s="2" t="s">
        <v>84</v>
      </c>
      <c r="AT8" s="2" t="s">
        <v>85</v>
      </c>
      <c r="AU8" s="2" t="s">
        <v>80</v>
      </c>
      <c r="AV8" s="2" t="s">
        <v>80</v>
      </c>
      <c r="AW8" s="2"/>
      <c r="AX8" s="2" t="s">
        <v>80</v>
      </c>
      <c r="AY8" s="2" t="s">
        <v>79</v>
      </c>
      <c r="AZ8" s="2" t="s">
        <v>92</v>
      </c>
      <c r="BA8" s="2" t="s">
        <v>200</v>
      </c>
      <c r="BB8" s="2" t="s">
        <v>100</v>
      </c>
      <c r="BC8" s="2" t="s">
        <v>201</v>
      </c>
      <c r="BD8" s="2" t="s">
        <v>202</v>
      </c>
      <c r="BE8" s="2" t="s">
        <v>79</v>
      </c>
      <c r="BF8" s="2" t="s">
        <v>203</v>
      </c>
      <c r="BG8" s="2" t="s">
        <v>204</v>
      </c>
      <c r="BH8" s="2" t="s">
        <v>104</v>
      </c>
      <c r="BI8" s="2" t="s">
        <v>106</v>
      </c>
      <c r="BJ8" s="2" t="s">
        <v>206</v>
      </c>
      <c r="BK8" s="2" t="s">
        <v>207</v>
      </c>
      <c r="BL8" s="2" t="s">
        <v>79</v>
      </c>
      <c r="BM8" s="2" t="s">
        <v>109</v>
      </c>
    </row>
    <row r="9" spans="1:65" ht="409.5" x14ac:dyDescent="0.25">
      <c r="A9" s="2" t="s">
        <v>208</v>
      </c>
      <c r="B9" s="2">
        <v>2013</v>
      </c>
      <c r="C9" s="2" t="s">
        <v>111</v>
      </c>
      <c r="D9" s="2" t="s">
        <v>79</v>
      </c>
      <c r="E9" s="2" t="s">
        <v>216</v>
      </c>
      <c r="F9" s="2" t="s">
        <v>80</v>
      </c>
      <c r="G9" s="2" t="s">
        <v>221</v>
      </c>
      <c r="H9" s="2" t="s">
        <v>106</v>
      </c>
      <c r="I9" s="2" t="s">
        <v>215</v>
      </c>
      <c r="J9" s="2" t="s">
        <v>217</v>
      </c>
      <c r="K9" s="2" t="s">
        <v>80</v>
      </c>
      <c r="L9" s="2" t="s">
        <v>210</v>
      </c>
      <c r="M9" s="2" t="s">
        <v>79</v>
      </c>
      <c r="N9" s="2" t="s">
        <v>79</v>
      </c>
      <c r="O9" s="2" t="s">
        <v>211</v>
      </c>
      <c r="P9" s="2" t="s">
        <v>89</v>
      </c>
      <c r="Q9" s="2" t="s">
        <v>116</v>
      </c>
      <c r="R9" s="2" t="s">
        <v>79</v>
      </c>
      <c r="S9" s="2" t="s">
        <v>92</v>
      </c>
      <c r="T9" s="2" t="s">
        <v>212</v>
      </c>
      <c r="U9" s="2"/>
      <c r="V9" s="2"/>
      <c r="W9" s="2" t="s">
        <v>80</v>
      </c>
      <c r="X9" s="2"/>
      <c r="Y9" s="2" t="s">
        <v>92</v>
      </c>
      <c r="Z9" s="2" t="s">
        <v>112</v>
      </c>
      <c r="AA9" s="2" t="s">
        <v>213</v>
      </c>
      <c r="AB9" s="2" t="s">
        <v>214</v>
      </c>
      <c r="AC9" s="2" t="s">
        <v>95</v>
      </c>
      <c r="AD9" s="2" t="s">
        <v>80</v>
      </c>
      <c r="AE9" s="2"/>
      <c r="AF9" s="2"/>
      <c r="AG9" s="2"/>
      <c r="AH9" s="2" t="s">
        <v>209</v>
      </c>
      <c r="AI9" s="2" t="s">
        <v>82</v>
      </c>
      <c r="AJ9" s="2">
        <v>9.5</v>
      </c>
      <c r="AK9" s="2" t="s">
        <v>84</v>
      </c>
      <c r="AL9" s="2" t="s">
        <v>84</v>
      </c>
      <c r="AM9" s="2" t="s">
        <v>84</v>
      </c>
      <c r="AN9" s="2" t="s">
        <v>84</v>
      </c>
      <c r="AO9" s="2" t="s">
        <v>84</v>
      </c>
      <c r="AP9" s="2" t="s">
        <v>84</v>
      </c>
      <c r="AQ9" s="2" t="s">
        <v>84</v>
      </c>
      <c r="AR9" s="2" t="s">
        <v>84</v>
      </c>
      <c r="AS9" s="2" t="s">
        <v>84</v>
      </c>
      <c r="AT9" s="2" t="s">
        <v>85</v>
      </c>
      <c r="AU9" s="2" t="s">
        <v>80</v>
      </c>
      <c r="AV9" s="2" t="s">
        <v>80</v>
      </c>
      <c r="AW9" s="2"/>
      <c r="AX9" s="2" t="s">
        <v>80</v>
      </c>
      <c r="AY9" s="2" t="s">
        <v>79</v>
      </c>
      <c r="AZ9" s="2" t="s">
        <v>92</v>
      </c>
      <c r="BA9" s="2" t="s">
        <v>218</v>
      </c>
      <c r="BB9" s="2" t="s">
        <v>100</v>
      </c>
      <c r="BC9" s="2" t="s">
        <v>219</v>
      </c>
      <c r="BD9" s="2" t="s">
        <v>102</v>
      </c>
      <c r="BE9" s="2" t="s">
        <v>79</v>
      </c>
      <c r="BF9" s="2" t="s">
        <v>168</v>
      </c>
      <c r="BG9" s="2" t="s">
        <v>220</v>
      </c>
      <c r="BH9" s="2" t="s">
        <v>153</v>
      </c>
      <c r="BI9" s="2" t="s">
        <v>79</v>
      </c>
      <c r="BJ9" s="2" t="s">
        <v>107</v>
      </c>
      <c r="BK9" s="2" t="s">
        <v>222</v>
      </c>
      <c r="BL9" s="2" t="s">
        <v>79</v>
      </c>
      <c r="BM9" s="2" t="s">
        <v>109</v>
      </c>
    </row>
    <row r="10" spans="1:65" ht="409.5" x14ac:dyDescent="0.25">
      <c r="A10" s="2" t="s">
        <v>223</v>
      </c>
      <c r="B10" s="2">
        <v>2015</v>
      </c>
      <c r="C10" s="2" t="s">
        <v>189</v>
      </c>
      <c r="D10" s="2" t="s">
        <v>79</v>
      </c>
      <c r="E10" s="2" t="s">
        <v>231</v>
      </c>
      <c r="F10" s="2" t="s">
        <v>79</v>
      </c>
      <c r="G10" s="2" t="s">
        <v>236</v>
      </c>
      <c r="H10" s="2" t="s">
        <v>79</v>
      </c>
      <c r="I10" s="2" t="s">
        <v>230</v>
      </c>
      <c r="J10" s="2" t="s">
        <v>232</v>
      </c>
      <c r="K10" s="2" t="s">
        <v>79</v>
      </c>
      <c r="L10" s="2" t="s">
        <v>226</v>
      </c>
      <c r="M10" s="2" t="s">
        <v>79</v>
      </c>
      <c r="N10" s="2" t="s">
        <v>79</v>
      </c>
      <c r="O10" s="2" t="s">
        <v>227</v>
      </c>
      <c r="P10" s="2" t="s">
        <v>89</v>
      </c>
      <c r="Q10" s="2" t="s">
        <v>116</v>
      </c>
      <c r="R10" s="2" t="s">
        <v>79</v>
      </c>
      <c r="S10" s="2" t="s">
        <v>79</v>
      </c>
      <c r="T10" s="2" t="s">
        <v>228</v>
      </c>
      <c r="U10" s="2"/>
      <c r="V10" s="2"/>
      <c r="W10" s="2" t="s">
        <v>80</v>
      </c>
      <c r="X10" s="2"/>
      <c r="Y10" s="2" t="s">
        <v>92</v>
      </c>
      <c r="Z10" s="2" t="s">
        <v>224</v>
      </c>
      <c r="AA10" s="2" t="s">
        <v>161</v>
      </c>
      <c r="AB10" s="2" t="s">
        <v>229</v>
      </c>
      <c r="AC10" s="2" t="s">
        <v>95</v>
      </c>
      <c r="AD10" s="2" t="s">
        <v>80</v>
      </c>
      <c r="AE10" s="2"/>
      <c r="AF10" s="2"/>
      <c r="AG10" s="2"/>
      <c r="AH10" s="2" t="s">
        <v>225</v>
      </c>
      <c r="AI10" s="2" t="s">
        <v>82</v>
      </c>
      <c r="AJ10" s="2">
        <v>9.5</v>
      </c>
      <c r="AK10" s="2" t="s">
        <v>84</v>
      </c>
      <c r="AL10" s="2" t="s">
        <v>84</v>
      </c>
      <c r="AM10" s="2" t="s">
        <v>84</v>
      </c>
      <c r="AN10" s="2" t="s">
        <v>84</v>
      </c>
      <c r="AO10" s="2" t="s">
        <v>84</v>
      </c>
      <c r="AP10" s="2" t="s">
        <v>84</v>
      </c>
      <c r="AQ10" s="2" t="s">
        <v>84</v>
      </c>
      <c r="AR10" s="2" t="s">
        <v>84</v>
      </c>
      <c r="AS10" s="2" t="s">
        <v>84</v>
      </c>
      <c r="AT10" s="2" t="s">
        <v>85</v>
      </c>
      <c r="AU10" s="2" t="s">
        <v>80</v>
      </c>
      <c r="AV10" s="2" t="s">
        <v>80</v>
      </c>
      <c r="AW10" s="2"/>
      <c r="AX10" s="2" t="s">
        <v>80</v>
      </c>
      <c r="AY10" s="2" t="s">
        <v>79</v>
      </c>
      <c r="AZ10" s="2" t="s">
        <v>92</v>
      </c>
      <c r="BA10" s="2" t="s">
        <v>233</v>
      </c>
      <c r="BB10" s="2" t="s">
        <v>100</v>
      </c>
      <c r="BC10" s="2" t="s">
        <v>234</v>
      </c>
      <c r="BD10" s="2" t="s">
        <v>202</v>
      </c>
      <c r="BE10" s="2" t="s">
        <v>79</v>
      </c>
      <c r="BF10" s="2" t="s">
        <v>203</v>
      </c>
      <c r="BG10" s="2" t="s">
        <v>235</v>
      </c>
      <c r="BH10" s="2" t="s">
        <v>104</v>
      </c>
      <c r="BI10" s="2" t="s">
        <v>79</v>
      </c>
      <c r="BJ10" s="2" t="s">
        <v>107</v>
      </c>
      <c r="BK10" s="2" t="s">
        <v>237</v>
      </c>
      <c r="BL10" s="2" t="s">
        <v>79</v>
      </c>
      <c r="BM10" s="2" t="s">
        <v>109</v>
      </c>
    </row>
    <row r="11" spans="1:65" ht="409.5" x14ac:dyDescent="0.25">
      <c r="A11" s="2" t="s">
        <v>238</v>
      </c>
      <c r="B11" s="2">
        <v>2016</v>
      </c>
      <c r="C11" s="2" t="s">
        <v>78</v>
      </c>
      <c r="D11" s="2" t="s">
        <v>79</v>
      </c>
      <c r="E11" s="2" t="s">
        <v>246</v>
      </c>
      <c r="F11" s="2" t="s">
        <v>92</v>
      </c>
      <c r="G11" s="2" t="s">
        <v>251</v>
      </c>
      <c r="H11" s="2" t="s">
        <v>79</v>
      </c>
      <c r="I11" s="2" t="s">
        <v>245</v>
      </c>
      <c r="J11" s="2" t="s">
        <v>247</v>
      </c>
      <c r="K11" s="2" t="s">
        <v>79</v>
      </c>
      <c r="L11" s="2" t="s">
        <v>240</v>
      </c>
      <c r="M11" s="2" t="s">
        <v>79</v>
      </c>
      <c r="N11" s="2" t="s">
        <v>79</v>
      </c>
      <c r="O11" s="2" t="s">
        <v>241</v>
      </c>
      <c r="P11" s="2" t="s">
        <v>89</v>
      </c>
      <c r="Q11" s="2" t="s">
        <v>116</v>
      </c>
      <c r="R11" s="2" t="s">
        <v>79</v>
      </c>
      <c r="S11" s="2" t="s">
        <v>92</v>
      </c>
      <c r="T11" s="2" t="s">
        <v>242</v>
      </c>
      <c r="U11" s="2"/>
      <c r="V11" s="2"/>
      <c r="W11" s="2" t="s">
        <v>80</v>
      </c>
      <c r="X11" s="2"/>
      <c r="Y11" s="2" t="s">
        <v>92</v>
      </c>
      <c r="Z11" s="2" t="s">
        <v>224</v>
      </c>
      <c r="AA11" s="2" t="s">
        <v>243</v>
      </c>
      <c r="AB11" s="2" t="s">
        <v>244</v>
      </c>
      <c r="AC11" s="2" t="s">
        <v>95</v>
      </c>
      <c r="AD11" s="2" t="s">
        <v>80</v>
      </c>
      <c r="AE11" s="2"/>
      <c r="AF11" s="2"/>
      <c r="AG11" s="2"/>
      <c r="AH11" s="2" t="s">
        <v>239</v>
      </c>
      <c r="AI11" s="2" t="s">
        <v>82</v>
      </c>
      <c r="AJ11" s="2">
        <v>10</v>
      </c>
      <c r="AK11" s="2" t="s">
        <v>84</v>
      </c>
      <c r="AL11" s="2" t="s">
        <v>84</v>
      </c>
      <c r="AM11" s="2" t="s">
        <v>84</v>
      </c>
      <c r="AN11" s="2" t="s">
        <v>84</v>
      </c>
      <c r="AO11" s="2" t="s">
        <v>84</v>
      </c>
      <c r="AP11" s="2" t="s">
        <v>84</v>
      </c>
      <c r="AQ11" s="2" t="s">
        <v>84</v>
      </c>
      <c r="AR11" s="2" t="s">
        <v>84</v>
      </c>
      <c r="AS11" s="2" t="s">
        <v>84</v>
      </c>
      <c r="AT11" s="2" t="s">
        <v>84</v>
      </c>
      <c r="AU11" s="2" t="s">
        <v>80</v>
      </c>
      <c r="AV11" s="2" t="s">
        <v>80</v>
      </c>
      <c r="AW11" s="2"/>
      <c r="AX11" s="2" t="s">
        <v>80</v>
      </c>
      <c r="AY11" s="2" t="s">
        <v>79</v>
      </c>
      <c r="AZ11" s="2" t="s">
        <v>92</v>
      </c>
      <c r="BA11" s="2" t="s">
        <v>248</v>
      </c>
      <c r="BB11" s="2" t="s">
        <v>100</v>
      </c>
      <c r="BC11" s="2" t="s">
        <v>249</v>
      </c>
      <c r="BD11" s="2" t="s">
        <v>102</v>
      </c>
      <c r="BE11" s="2" t="s">
        <v>79</v>
      </c>
      <c r="BF11" s="2" t="s">
        <v>203</v>
      </c>
      <c r="BG11" s="2" t="s">
        <v>250</v>
      </c>
      <c r="BH11" s="2" t="s">
        <v>153</v>
      </c>
      <c r="BI11" s="2" t="s">
        <v>79</v>
      </c>
      <c r="BJ11" s="2"/>
      <c r="BK11" s="2" t="s">
        <v>252</v>
      </c>
      <c r="BL11" s="2" t="s">
        <v>79</v>
      </c>
      <c r="BM11" s="2" t="s">
        <v>109</v>
      </c>
    </row>
    <row r="12" spans="1:65" ht="409.5" x14ac:dyDescent="0.25">
      <c r="A12" s="2" t="s">
        <v>253</v>
      </c>
      <c r="B12" s="2">
        <v>2016</v>
      </c>
      <c r="C12" s="2" t="s">
        <v>78</v>
      </c>
      <c r="D12" s="2" t="s">
        <v>79</v>
      </c>
      <c r="E12" s="2" t="s">
        <v>260</v>
      </c>
      <c r="F12" s="2" t="s">
        <v>79</v>
      </c>
      <c r="G12" s="2" t="s">
        <v>265</v>
      </c>
      <c r="H12" s="2" t="s">
        <v>79</v>
      </c>
      <c r="I12" s="2" t="s">
        <v>259</v>
      </c>
      <c r="J12" s="2" t="s">
        <v>261</v>
      </c>
      <c r="K12" s="2" t="s">
        <v>79</v>
      </c>
      <c r="L12" s="2" t="s">
        <v>255</v>
      </c>
      <c r="M12" s="2" t="s">
        <v>79</v>
      </c>
      <c r="N12" s="2" t="s">
        <v>79</v>
      </c>
      <c r="O12" s="2" t="s">
        <v>256</v>
      </c>
      <c r="P12" s="2" t="s">
        <v>89</v>
      </c>
      <c r="Q12" s="2" t="s">
        <v>116</v>
      </c>
      <c r="R12" s="2" t="s">
        <v>79</v>
      </c>
      <c r="S12" s="2" t="s">
        <v>79</v>
      </c>
      <c r="T12" s="2" t="s">
        <v>257</v>
      </c>
      <c r="U12" s="2"/>
      <c r="V12" s="2"/>
      <c r="W12" s="2" t="s">
        <v>80</v>
      </c>
      <c r="X12" s="2"/>
      <c r="Y12" s="2" t="s">
        <v>92</v>
      </c>
      <c r="Z12" s="2" t="s">
        <v>224</v>
      </c>
      <c r="AA12" s="2" t="s">
        <v>93</v>
      </c>
      <c r="AB12" s="2" t="s">
        <v>258</v>
      </c>
      <c r="AC12" s="2" t="s">
        <v>95</v>
      </c>
      <c r="AD12" s="2" t="s">
        <v>80</v>
      </c>
      <c r="AE12" s="2"/>
      <c r="AF12" s="2"/>
      <c r="AG12" s="2"/>
      <c r="AH12" s="2" t="s">
        <v>254</v>
      </c>
      <c r="AI12" s="2" t="s">
        <v>82</v>
      </c>
      <c r="AJ12" s="2">
        <v>9.5</v>
      </c>
      <c r="AK12" s="2" t="s">
        <v>84</v>
      </c>
      <c r="AL12" s="2" t="s">
        <v>84</v>
      </c>
      <c r="AM12" s="2" t="s">
        <v>84</v>
      </c>
      <c r="AN12" s="2" t="s">
        <v>84</v>
      </c>
      <c r="AO12" s="2" t="s">
        <v>84</v>
      </c>
      <c r="AP12" s="2" t="s">
        <v>84</v>
      </c>
      <c r="AQ12" s="2" t="s">
        <v>84</v>
      </c>
      <c r="AR12" s="2" t="s">
        <v>84</v>
      </c>
      <c r="AS12" s="2" t="s">
        <v>84</v>
      </c>
      <c r="AT12" s="2" t="s">
        <v>85</v>
      </c>
      <c r="AU12" s="2" t="s">
        <v>80</v>
      </c>
      <c r="AV12" s="2" t="s">
        <v>80</v>
      </c>
      <c r="AW12" s="2"/>
      <c r="AX12" s="2" t="s">
        <v>80</v>
      </c>
      <c r="AY12" s="2" t="s">
        <v>79</v>
      </c>
      <c r="AZ12" s="2" t="s">
        <v>92</v>
      </c>
      <c r="BA12" s="2" t="s">
        <v>262</v>
      </c>
      <c r="BB12" s="2" t="s">
        <v>100</v>
      </c>
      <c r="BC12" s="2" t="s">
        <v>263</v>
      </c>
      <c r="BD12" s="2" t="s">
        <v>102</v>
      </c>
      <c r="BE12" s="2" t="s">
        <v>79</v>
      </c>
      <c r="BF12" s="2" t="s">
        <v>203</v>
      </c>
      <c r="BG12" s="2" t="s">
        <v>264</v>
      </c>
      <c r="BH12" s="2" t="s">
        <v>104</v>
      </c>
      <c r="BI12" s="2" t="s">
        <v>79</v>
      </c>
      <c r="BJ12" s="2" t="s">
        <v>266</v>
      </c>
      <c r="BK12" s="2" t="s">
        <v>267</v>
      </c>
      <c r="BL12" s="2" t="s">
        <v>79</v>
      </c>
      <c r="BM12" s="2" t="s">
        <v>268</v>
      </c>
    </row>
    <row r="13" spans="1:65" ht="409.5" x14ac:dyDescent="0.25">
      <c r="A13" s="2" t="s">
        <v>269</v>
      </c>
      <c r="B13" s="2">
        <v>2016</v>
      </c>
      <c r="C13" s="2" t="s">
        <v>270</v>
      </c>
      <c r="D13" s="2" t="s">
        <v>79</v>
      </c>
      <c r="E13" s="2" t="s">
        <v>282</v>
      </c>
      <c r="F13" s="2" t="s">
        <v>80</v>
      </c>
      <c r="G13" s="2"/>
      <c r="H13" s="2" t="s">
        <v>80</v>
      </c>
      <c r="I13" s="2" t="s">
        <v>281</v>
      </c>
      <c r="J13" s="2" t="s">
        <v>283</v>
      </c>
      <c r="K13" s="2" t="s">
        <v>80</v>
      </c>
      <c r="L13" s="2" t="s">
        <v>273</v>
      </c>
      <c r="M13" s="2" t="s">
        <v>79</v>
      </c>
      <c r="N13" s="2" t="s">
        <v>79</v>
      </c>
      <c r="O13" s="2" t="s">
        <v>274</v>
      </c>
      <c r="P13" s="2" t="s">
        <v>89</v>
      </c>
      <c r="Q13" s="2" t="s">
        <v>116</v>
      </c>
      <c r="R13" s="2" t="s">
        <v>79</v>
      </c>
      <c r="S13" s="2" t="s">
        <v>92</v>
      </c>
      <c r="T13" s="2" t="s">
        <v>275</v>
      </c>
      <c r="U13" s="2" t="s">
        <v>276</v>
      </c>
      <c r="V13" s="2" t="s">
        <v>277</v>
      </c>
      <c r="W13" s="2" t="s">
        <v>79</v>
      </c>
      <c r="X13" s="2" t="s">
        <v>278</v>
      </c>
      <c r="Y13" s="2" t="s">
        <v>92</v>
      </c>
      <c r="Z13" s="2" t="s">
        <v>271</v>
      </c>
      <c r="AA13" s="2" t="s">
        <v>279</v>
      </c>
      <c r="AB13" s="2" t="s">
        <v>280</v>
      </c>
      <c r="AC13" s="2" t="s">
        <v>95</v>
      </c>
      <c r="AD13" s="2" t="s">
        <v>80</v>
      </c>
      <c r="AE13" s="2"/>
      <c r="AF13" s="2"/>
      <c r="AG13" s="2"/>
      <c r="AH13" s="2" t="s">
        <v>272</v>
      </c>
      <c r="AI13" s="2" t="s">
        <v>82</v>
      </c>
      <c r="AJ13" s="2">
        <v>9.5</v>
      </c>
      <c r="AK13" s="2" t="s">
        <v>84</v>
      </c>
      <c r="AL13" s="2" t="s">
        <v>84</v>
      </c>
      <c r="AM13" s="2" t="s">
        <v>84</v>
      </c>
      <c r="AN13" s="2" t="s">
        <v>84</v>
      </c>
      <c r="AO13" s="2" t="s">
        <v>84</v>
      </c>
      <c r="AP13" s="2" t="s">
        <v>84</v>
      </c>
      <c r="AQ13" s="2" t="s">
        <v>84</v>
      </c>
      <c r="AR13" s="2" t="s">
        <v>84</v>
      </c>
      <c r="AS13" s="2" t="s">
        <v>84</v>
      </c>
      <c r="AT13" s="2" t="s">
        <v>85</v>
      </c>
      <c r="AU13" s="2" t="s">
        <v>80</v>
      </c>
      <c r="AV13" s="2" t="s">
        <v>80</v>
      </c>
      <c r="AW13" s="2"/>
      <c r="AX13" s="2" t="s">
        <v>80</v>
      </c>
      <c r="AY13" s="2" t="s">
        <v>79</v>
      </c>
      <c r="AZ13" s="2" t="s">
        <v>92</v>
      </c>
      <c r="BA13" s="2" t="s">
        <v>284</v>
      </c>
      <c r="BB13" s="2" t="s">
        <v>100</v>
      </c>
      <c r="BC13" s="2" t="s">
        <v>285</v>
      </c>
      <c r="BD13" s="2" t="s">
        <v>286</v>
      </c>
      <c r="BE13" s="2" t="s">
        <v>79</v>
      </c>
      <c r="BF13" s="2" t="s">
        <v>287</v>
      </c>
      <c r="BG13" s="2" t="s">
        <v>288</v>
      </c>
      <c r="BH13" s="2" t="s">
        <v>153</v>
      </c>
      <c r="BI13" s="2" t="s">
        <v>79</v>
      </c>
      <c r="BJ13" s="2" t="s">
        <v>289</v>
      </c>
      <c r="BK13" s="2" t="s">
        <v>290</v>
      </c>
      <c r="BL13" s="2" t="s">
        <v>79</v>
      </c>
      <c r="BM13" s="2" t="s">
        <v>291</v>
      </c>
    </row>
    <row r="14" spans="1:65" ht="409.5" x14ac:dyDescent="0.25">
      <c r="A14" s="2" t="s">
        <v>292</v>
      </c>
      <c r="B14" s="2">
        <v>2016</v>
      </c>
      <c r="C14" s="2" t="s">
        <v>189</v>
      </c>
      <c r="D14" s="2" t="s">
        <v>79</v>
      </c>
      <c r="E14" s="2" t="s">
        <v>300</v>
      </c>
      <c r="F14" s="2" t="s">
        <v>92</v>
      </c>
      <c r="G14" s="2" t="s">
        <v>308</v>
      </c>
      <c r="H14" s="2" t="s">
        <v>106</v>
      </c>
      <c r="I14" s="2" t="s">
        <v>299</v>
      </c>
      <c r="J14" s="2" t="s">
        <v>301</v>
      </c>
      <c r="K14" s="2" t="s">
        <v>92</v>
      </c>
      <c r="L14" s="2" t="s">
        <v>295</v>
      </c>
      <c r="M14" s="2" t="s">
        <v>79</v>
      </c>
      <c r="N14" s="2" t="s">
        <v>92</v>
      </c>
      <c r="O14" s="2" t="s">
        <v>296</v>
      </c>
      <c r="P14" s="2" t="s">
        <v>143</v>
      </c>
      <c r="Q14" s="2" t="s">
        <v>90</v>
      </c>
      <c r="R14" s="2" t="s">
        <v>79</v>
      </c>
      <c r="S14" s="2" t="s">
        <v>79</v>
      </c>
      <c r="T14" s="2" t="s">
        <v>297</v>
      </c>
      <c r="U14" s="2"/>
      <c r="V14" s="2"/>
      <c r="W14" s="2" t="s">
        <v>80</v>
      </c>
      <c r="X14" s="2"/>
      <c r="Y14" s="2" t="s">
        <v>92</v>
      </c>
      <c r="Z14" s="2" t="s">
        <v>293</v>
      </c>
      <c r="AA14" s="2" t="s">
        <v>93</v>
      </c>
      <c r="AB14" s="2" t="s">
        <v>298</v>
      </c>
      <c r="AC14" s="2" t="s">
        <v>95</v>
      </c>
      <c r="AD14" s="2" t="s">
        <v>80</v>
      </c>
      <c r="AE14" s="2"/>
      <c r="AF14" s="2"/>
      <c r="AG14" s="2"/>
      <c r="AH14" s="2" t="s">
        <v>294</v>
      </c>
      <c r="AI14" s="2" t="s">
        <v>82</v>
      </c>
      <c r="AJ14" s="2">
        <v>9</v>
      </c>
      <c r="AK14" s="2" t="s">
        <v>84</v>
      </c>
      <c r="AL14" s="2" t="s">
        <v>84</v>
      </c>
      <c r="AM14" s="2" t="s">
        <v>84</v>
      </c>
      <c r="AN14" s="2" t="s">
        <v>84</v>
      </c>
      <c r="AO14" s="2" t="s">
        <v>84</v>
      </c>
      <c r="AP14" s="2" t="s">
        <v>84</v>
      </c>
      <c r="AQ14" s="2" t="s">
        <v>84</v>
      </c>
      <c r="AR14" s="2" t="s">
        <v>84</v>
      </c>
      <c r="AS14" s="2" t="s">
        <v>85</v>
      </c>
      <c r="AT14" s="2" t="s">
        <v>85</v>
      </c>
      <c r="AU14" s="2" t="s">
        <v>80</v>
      </c>
      <c r="AV14" s="2" t="s">
        <v>80</v>
      </c>
      <c r="AW14" s="2"/>
      <c r="AX14" s="2" t="s">
        <v>80</v>
      </c>
      <c r="AY14" s="2" t="s">
        <v>79</v>
      </c>
      <c r="AZ14" s="2" t="s">
        <v>92</v>
      </c>
      <c r="BA14" s="2" t="s">
        <v>302</v>
      </c>
      <c r="BB14" s="2" t="s">
        <v>303</v>
      </c>
      <c r="BC14" s="2" t="s">
        <v>304</v>
      </c>
      <c r="BD14" s="2" t="s">
        <v>305</v>
      </c>
      <c r="BE14" s="2" t="s">
        <v>79</v>
      </c>
      <c r="BF14" s="2" t="s">
        <v>306</v>
      </c>
      <c r="BG14" s="2" t="s">
        <v>307</v>
      </c>
      <c r="BH14" s="2" t="s">
        <v>104</v>
      </c>
      <c r="BI14" s="2" t="s">
        <v>79</v>
      </c>
      <c r="BJ14" s="2" t="s">
        <v>155</v>
      </c>
      <c r="BK14" s="2"/>
      <c r="BL14" s="2" t="s">
        <v>80</v>
      </c>
      <c r="BM14" s="2" t="s">
        <v>172</v>
      </c>
    </row>
    <row r="15" spans="1:65" ht="409.5" x14ac:dyDescent="0.25">
      <c r="A15" s="2" t="s">
        <v>309</v>
      </c>
      <c r="B15" s="2">
        <v>2017</v>
      </c>
      <c r="C15" s="2" t="s">
        <v>111</v>
      </c>
      <c r="D15" s="2" t="s">
        <v>79</v>
      </c>
      <c r="E15" s="2" t="s">
        <v>316</v>
      </c>
      <c r="F15" s="2" t="s">
        <v>79</v>
      </c>
      <c r="G15" s="2" t="s">
        <v>321</v>
      </c>
      <c r="H15" s="2" t="s">
        <v>79</v>
      </c>
      <c r="I15" s="2" t="s">
        <v>315</v>
      </c>
      <c r="J15" s="2" t="s">
        <v>317</v>
      </c>
      <c r="K15" s="2" t="s">
        <v>79</v>
      </c>
      <c r="L15" s="2" t="s">
        <v>311</v>
      </c>
      <c r="M15" s="2" t="s">
        <v>79</v>
      </c>
      <c r="N15" s="2" t="s">
        <v>79</v>
      </c>
      <c r="O15" s="2" t="s">
        <v>312</v>
      </c>
      <c r="P15" s="2" t="s">
        <v>89</v>
      </c>
      <c r="Q15" s="2" t="s">
        <v>116</v>
      </c>
      <c r="R15" s="2" t="s">
        <v>79</v>
      </c>
      <c r="S15" s="2" t="s">
        <v>79</v>
      </c>
      <c r="T15" s="2" t="s">
        <v>313</v>
      </c>
      <c r="U15" s="2"/>
      <c r="V15" s="2"/>
      <c r="W15" s="2" t="s">
        <v>80</v>
      </c>
      <c r="X15" s="2"/>
      <c r="Y15" s="2" t="s">
        <v>92</v>
      </c>
      <c r="Z15" s="2" t="s">
        <v>224</v>
      </c>
      <c r="AA15" s="2" t="s">
        <v>161</v>
      </c>
      <c r="AB15" s="2" t="s">
        <v>314</v>
      </c>
      <c r="AC15" s="2" t="s">
        <v>95</v>
      </c>
      <c r="AD15" s="2" t="s">
        <v>80</v>
      </c>
      <c r="AE15" s="2"/>
      <c r="AF15" s="2"/>
      <c r="AG15" s="2"/>
      <c r="AH15" s="2" t="s">
        <v>310</v>
      </c>
      <c r="AI15" s="2" t="s">
        <v>82</v>
      </c>
      <c r="AJ15" s="2">
        <v>9.5</v>
      </c>
      <c r="AK15" s="2" t="s">
        <v>84</v>
      </c>
      <c r="AL15" s="2" t="s">
        <v>84</v>
      </c>
      <c r="AM15" s="2" t="s">
        <v>84</v>
      </c>
      <c r="AN15" s="2" t="s">
        <v>84</v>
      </c>
      <c r="AO15" s="2" t="s">
        <v>84</v>
      </c>
      <c r="AP15" s="2" t="s">
        <v>84</v>
      </c>
      <c r="AQ15" s="2" t="s">
        <v>84</v>
      </c>
      <c r="AR15" s="2" t="s">
        <v>84</v>
      </c>
      <c r="AS15" s="2" t="s">
        <v>84</v>
      </c>
      <c r="AT15" s="2" t="s">
        <v>85</v>
      </c>
      <c r="AU15" s="2" t="s">
        <v>80</v>
      </c>
      <c r="AV15" s="2" t="s">
        <v>80</v>
      </c>
      <c r="AW15" s="2"/>
      <c r="AX15" s="2" t="s">
        <v>80</v>
      </c>
      <c r="AY15" s="2" t="s">
        <v>79</v>
      </c>
      <c r="AZ15" s="2" t="s">
        <v>92</v>
      </c>
      <c r="BA15" s="2" t="s">
        <v>318</v>
      </c>
      <c r="BB15" s="2" t="s">
        <v>100</v>
      </c>
      <c r="BC15" s="2" t="s">
        <v>319</v>
      </c>
      <c r="BD15" s="2" t="s">
        <v>102</v>
      </c>
      <c r="BE15" s="2" t="s">
        <v>79</v>
      </c>
      <c r="BF15" s="2" t="s">
        <v>203</v>
      </c>
      <c r="BG15" s="2" t="s">
        <v>320</v>
      </c>
      <c r="BH15" s="2" t="s">
        <v>153</v>
      </c>
      <c r="BI15" s="2" t="s">
        <v>79</v>
      </c>
      <c r="BJ15" s="2" t="s">
        <v>107</v>
      </c>
      <c r="BK15" s="2" t="s">
        <v>322</v>
      </c>
      <c r="BL15" s="2" t="s">
        <v>79</v>
      </c>
      <c r="BM15" s="2" t="s">
        <v>109</v>
      </c>
    </row>
    <row r="16" spans="1:65" ht="409.5" x14ac:dyDescent="0.25">
      <c r="A16" s="2" t="s">
        <v>323</v>
      </c>
      <c r="B16" s="2">
        <v>2017</v>
      </c>
      <c r="C16" s="2" t="s">
        <v>270</v>
      </c>
      <c r="D16" s="2" t="s">
        <v>79</v>
      </c>
      <c r="E16" s="2" t="s">
        <v>331</v>
      </c>
      <c r="F16" s="2" t="s">
        <v>79</v>
      </c>
      <c r="G16" s="2" t="s">
        <v>336</v>
      </c>
      <c r="H16" s="2" t="s">
        <v>79</v>
      </c>
      <c r="I16" s="2" t="s">
        <v>330</v>
      </c>
      <c r="J16" s="2" t="s">
        <v>332</v>
      </c>
      <c r="K16" s="2" t="s">
        <v>79</v>
      </c>
      <c r="L16" s="2" t="s">
        <v>325</v>
      </c>
      <c r="M16" s="2" t="s">
        <v>79</v>
      </c>
      <c r="N16" s="2" t="s">
        <v>79</v>
      </c>
      <c r="O16" s="2" t="s">
        <v>326</v>
      </c>
      <c r="P16" s="2" t="s">
        <v>89</v>
      </c>
      <c r="Q16" s="2" t="s">
        <v>116</v>
      </c>
      <c r="R16" s="2" t="s">
        <v>79</v>
      </c>
      <c r="S16" s="2" t="s">
        <v>79</v>
      </c>
      <c r="T16" s="2" t="s">
        <v>327</v>
      </c>
      <c r="U16" s="2"/>
      <c r="V16" s="2"/>
      <c r="W16" s="2" t="s">
        <v>80</v>
      </c>
      <c r="X16" s="2"/>
      <c r="Y16" s="2" t="s">
        <v>92</v>
      </c>
      <c r="Z16" s="2" t="s">
        <v>224</v>
      </c>
      <c r="AA16" s="2" t="s">
        <v>328</v>
      </c>
      <c r="AB16" s="2" t="s">
        <v>329</v>
      </c>
      <c r="AC16" s="2" t="s">
        <v>95</v>
      </c>
      <c r="AD16" s="2" t="s">
        <v>80</v>
      </c>
      <c r="AE16" s="2"/>
      <c r="AF16" s="2"/>
      <c r="AG16" s="2"/>
      <c r="AH16" s="2" t="s">
        <v>324</v>
      </c>
      <c r="AI16" s="2" t="s">
        <v>82</v>
      </c>
      <c r="AJ16" s="2">
        <v>9.5</v>
      </c>
      <c r="AK16" s="2" t="s">
        <v>84</v>
      </c>
      <c r="AL16" s="2" t="s">
        <v>84</v>
      </c>
      <c r="AM16" s="2" t="s">
        <v>84</v>
      </c>
      <c r="AN16" s="2" t="s">
        <v>84</v>
      </c>
      <c r="AO16" s="2" t="s">
        <v>84</v>
      </c>
      <c r="AP16" s="2" t="s">
        <v>84</v>
      </c>
      <c r="AQ16" s="2" t="s">
        <v>84</v>
      </c>
      <c r="AR16" s="2" t="s">
        <v>84</v>
      </c>
      <c r="AS16" s="2" t="s">
        <v>84</v>
      </c>
      <c r="AT16" s="2" t="s">
        <v>85</v>
      </c>
      <c r="AU16" s="2" t="s">
        <v>80</v>
      </c>
      <c r="AV16" s="2" t="s">
        <v>80</v>
      </c>
      <c r="AW16" s="2"/>
      <c r="AX16" s="2" t="s">
        <v>80</v>
      </c>
      <c r="AY16" s="2" t="s">
        <v>79</v>
      </c>
      <c r="AZ16" s="2" t="s">
        <v>92</v>
      </c>
      <c r="BA16" s="2" t="s">
        <v>333</v>
      </c>
      <c r="BB16" s="2" t="s">
        <v>100</v>
      </c>
      <c r="BC16" s="2" t="s">
        <v>334</v>
      </c>
      <c r="BD16" s="2" t="s">
        <v>102</v>
      </c>
      <c r="BE16" s="2" t="s">
        <v>79</v>
      </c>
      <c r="BF16" s="2" t="s">
        <v>203</v>
      </c>
      <c r="BG16" s="2" t="s">
        <v>335</v>
      </c>
      <c r="BH16" s="2" t="s">
        <v>153</v>
      </c>
      <c r="BI16" s="2" t="s">
        <v>79</v>
      </c>
      <c r="BJ16" s="2" t="s">
        <v>107</v>
      </c>
      <c r="BK16" s="2" t="s">
        <v>337</v>
      </c>
      <c r="BL16" s="2" t="s">
        <v>79</v>
      </c>
      <c r="BM16" s="2" t="s">
        <v>109</v>
      </c>
    </row>
    <row r="17" spans="1:65" ht="409.5" x14ac:dyDescent="0.25">
      <c r="A17" s="2" t="s">
        <v>338</v>
      </c>
      <c r="B17" s="2">
        <v>2017</v>
      </c>
      <c r="C17" s="2" t="s">
        <v>270</v>
      </c>
      <c r="D17" s="2" t="s">
        <v>79</v>
      </c>
      <c r="E17" s="2" t="s">
        <v>345</v>
      </c>
      <c r="F17" s="2" t="s">
        <v>80</v>
      </c>
      <c r="G17" s="2" t="s">
        <v>350</v>
      </c>
      <c r="H17" s="2" t="s">
        <v>79</v>
      </c>
      <c r="I17" s="2" t="s">
        <v>344</v>
      </c>
      <c r="J17" s="2" t="s">
        <v>346</v>
      </c>
      <c r="K17" s="2" t="s">
        <v>92</v>
      </c>
      <c r="L17" s="2" t="s">
        <v>340</v>
      </c>
      <c r="M17" s="2" t="s">
        <v>79</v>
      </c>
      <c r="N17" s="2" t="s">
        <v>79</v>
      </c>
      <c r="O17" s="2" t="s">
        <v>341</v>
      </c>
      <c r="P17" s="2" t="s">
        <v>89</v>
      </c>
      <c r="Q17" s="2" t="s">
        <v>116</v>
      </c>
      <c r="R17" s="2" t="s">
        <v>79</v>
      </c>
      <c r="S17" s="2" t="s">
        <v>92</v>
      </c>
      <c r="T17" s="2" t="s">
        <v>342</v>
      </c>
      <c r="U17" s="2"/>
      <c r="V17" s="2"/>
      <c r="W17" s="2" t="s">
        <v>80</v>
      </c>
      <c r="X17" s="2"/>
      <c r="Y17" s="2" t="s">
        <v>92</v>
      </c>
      <c r="Z17" s="2" t="s">
        <v>224</v>
      </c>
      <c r="AA17" s="2" t="s">
        <v>161</v>
      </c>
      <c r="AB17" s="2" t="s">
        <v>343</v>
      </c>
      <c r="AC17" s="2" t="s">
        <v>95</v>
      </c>
      <c r="AD17" s="2" t="s">
        <v>80</v>
      </c>
      <c r="AE17" s="2"/>
      <c r="AF17" s="2"/>
      <c r="AG17" s="2"/>
      <c r="AH17" s="2" t="s">
        <v>339</v>
      </c>
      <c r="AI17" s="2" t="s">
        <v>82</v>
      </c>
      <c r="AJ17" s="2">
        <v>9.5</v>
      </c>
      <c r="AK17" s="2" t="s">
        <v>84</v>
      </c>
      <c r="AL17" s="2" t="s">
        <v>84</v>
      </c>
      <c r="AM17" s="2" t="s">
        <v>84</v>
      </c>
      <c r="AN17" s="2" t="s">
        <v>84</v>
      </c>
      <c r="AO17" s="2" t="s">
        <v>84</v>
      </c>
      <c r="AP17" s="2" t="s">
        <v>84</v>
      </c>
      <c r="AQ17" s="2" t="s">
        <v>84</v>
      </c>
      <c r="AR17" s="2" t="s">
        <v>84</v>
      </c>
      <c r="AS17" s="2" t="s">
        <v>84</v>
      </c>
      <c r="AT17" s="2" t="s">
        <v>85</v>
      </c>
      <c r="AU17" s="2" t="s">
        <v>80</v>
      </c>
      <c r="AV17" s="2" t="s">
        <v>80</v>
      </c>
      <c r="AW17" s="2"/>
      <c r="AX17" s="2" t="s">
        <v>80</v>
      </c>
      <c r="AY17" s="2" t="s">
        <v>79</v>
      </c>
      <c r="AZ17" s="2" t="s">
        <v>92</v>
      </c>
      <c r="BA17" s="2" t="s">
        <v>347</v>
      </c>
      <c r="BB17" s="2" t="s">
        <v>100</v>
      </c>
      <c r="BC17" s="2" t="s">
        <v>348</v>
      </c>
      <c r="BD17" s="2" t="s">
        <v>102</v>
      </c>
      <c r="BE17" s="2" t="s">
        <v>79</v>
      </c>
      <c r="BF17" s="2" t="s">
        <v>203</v>
      </c>
      <c r="BG17" s="2" t="s">
        <v>349</v>
      </c>
      <c r="BH17" s="2" t="s">
        <v>153</v>
      </c>
      <c r="BI17" s="2" t="s">
        <v>79</v>
      </c>
      <c r="BJ17" s="2" t="s">
        <v>107</v>
      </c>
      <c r="BK17" s="2" t="s">
        <v>351</v>
      </c>
      <c r="BL17" s="2" t="s">
        <v>79</v>
      </c>
      <c r="BM17" s="2" t="s">
        <v>109</v>
      </c>
    </row>
    <row r="18" spans="1:65" ht="409.5" x14ac:dyDescent="0.25">
      <c r="A18" s="2" t="s">
        <v>352</v>
      </c>
      <c r="B18" s="2">
        <v>2017</v>
      </c>
      <c r="C18" s="2" t="s">
        <v>270</v>
      </c>
      <c r="D18" s="2" t="s">
        <v>79</v>
      </c>
      <c r="E18" s="2" t="s">
        <v>360</v>
      </c>
      <c r="F18" s="2" t="s">
        <v>80</v>
      </c>
      <c r="G18" s="2" t="s">
        <v>366</v>
      </c>
      <c r="H18" s="2" t="s">
        <v>79</v>
      </c>
      <c r="I18" s="2" t="s">
        <v>359</v>
      </c>
      <c r="J18" s="2" t="s">
        <v>361</v>
      </c>
      <c r="K18" s="2" t="s">
        <v>92</v>
      </c>
      <c r="L18" s="2" t="s">
        <v>354</v>
      </c>
      <c r="M18" s="2" t="s">
        <v>79</v>
      </c>
      <c r="N18" s="2" t="s">
        <v>79</v>
      </c>
      <c r="O18" s="2" t="s">
        <v>355</v>
      </c>
      <c r="P18" s="2" t="s">
        <v>89</v>
      </c>
      <c r="Q18" s="2" t="s">
        <v>90</v>
      </c>
      <c r="R18" s="2" t="s">
        <v>79</v>
      </c>
      <c r="S18" s="2" t="s">
        <v>92</v>
      </c>
      <c r="T18" s="2" t="s">
        <v>356</v>
      </c>
      <c r="U18" s="2"/>
      <c r="V18" s="2"/>
      <c r="W18" s="2" t="s">
        <v>80</v>
      </c>
      <c r="X18" s="2"/>
      <c r="Y18" s="2" t="s">
        <v>92</v>
      </c>
      <c r="Z18" s="2" t="s">
        <v>224</v>
      </c>
      <c r="AA18" s="2" t="s">
        <v>357</v>
      </c>
      <c r="AB18" s="2" t="s">
        <v>358</v>
      </c>
      <c r="AC18" s="2" t="s">
        <v>95</v>
      </c>
      <c r="AD18" s="2" t="s">
        <v>80</v>
      </c>
      <c r="AE18" s="2"/>
      <c r="AF18" s="2"/>
      <c r="AG18" s="2"/>
      <c r="AH18" s="2" t="s">
        <v>353</v>
      </c>
      <c r="AI18" s="2" t="s">
        <v>82</v>
      </c>
      <c r="AJ18" s="2">
        <v>9</v>
      </c>
      <c r="AK18" s="2" t="s">
        <v>84</v>
      </c>
      <c r="AL18" s="2" t="s">
        <v>84</v>
      </c>
      <c r="AM18" s="2" t="s">
        <v>84</v>
      </c>
      <c r="AN18" s="2" t="s">
        <v>84</v>
      </c>
      <c r="AO18" s="2" t="s">
        <v>84</v>
      </c>
      <c r="AP18" s="2" t="s">
        <v>84</v>
      </c>
      <c r="AQ18" s="2" t="s">
        <v>84</v>
      </c>
      <c r="AR18" s="2" t="s">
        <v>84</v>
      </c>
      <c r="AS18" s="2" t="s">
        <v>85</v>
      </c>
      <c r="AT18" s="2" t="s">
        <v>85</v>
      </c>
      <c r="AU18" s="2" t="s">
        <v>80</v>
      </c>
      <c r="AV18" s="2" t="s">
        <v>80</v>
      </c>
      <c r="AW18" s="2"/>
      <c r="AX18" s="2" t="s">
        <v>80</v>
      </c>
      <c r="AY18" s="2" t="s">
        <v>79</v>
      </c>
      <c r="AZ18" s="2" t="s">
        <v>92</v>
      </c>
      <c r="BA18" s="2" t="s">
        <v>362</v>
      </c>
      <c r="BB18" s="2" t="s">
        <v>100</v>
      </c>
      <c r="BC18" s="2" t="s">
        <v>363</v>
      </c>
      <c r="BD18" s="2" t="s">
        <v>102</v>
      </c>
      <c r="BE18" s="2" t="s">
        <v>79</v>
      </c>
      <c r="BF18" s="2" t="s">
        <v>364</v>
      </c>
      <c r="BG18" s="2" t="s">
        <v>365</v>
      </c>
      <c r="BH18" s="2" t="s">
        <v>153</v>
      </c>
      <c r="BI18" s="2" t="s">
        <v>79</v>
      </c>
      <c r="BJ18" s="2" t="s">
        <v>367</v>
      </c>
      <c r="BK18" s="2" t="s">
        <v>368</v>
      </c>
      <c r="BL18" s="2" t="s">
        <v>79</v>
      </c>
      <c r="BM18" s="2" t="s">
        <v>268</v>
      </c>
    </row>
    <row r="19" spans="1:65" ht="409.5" x14ac:dyDescent="0.25">
      <c r="A19" s="2" t="s">
        <v>369</v>
      </c>
      <c r="B19" s="2">
        <v>2017</v>
      </c>
      <c r="C19" s="2" t="s">
        <v>270</v>
      </c>
      <c r="D19" s="2" t="s">
        <v>79</v>
      </c>
      <c r="E19" s="2" t="s">
        <v>376</v>
      </c>
      <c r="F19" s="2" t="s">
        <v>79</v>
      </c>
      <c r="G19" s="2" t="s">
        <v>381</v>
      </c>
      <c r="H19" s="2" t="s">
        <v>79</v>
      </c>
      <c r="I19" s="2" t="s">
        <v>375</v>
      </c>
      <c r="J19" s="2" t="s">
        <v>377</v>
      </c>
      <c r="K19" s="2" t="s">
        <v>92</v>
      </c>
      <c r="L19" s="2" t="s">
        <v>371</v>
      </c>
      <c r="M19" s="2" t="s">
        <v>79</v>
      </c>
      <c r="N19" s="2" t="s">
        <v>79</v>
      </c>
      <c r="O19" s="2" t="s">
        <v>372</v>
      </c>
      <c r="P19" s="2" t="s">
        <v>89</v>
      </c>
      <c r="Q19" s="2" t="s">
        <v>116</v>
      </c>
      <c r="R19" s="2" t="s">
        <v>79</v>
      </c>
      <c r="S19" s="2" t="s">
        <v>92</v>
      </c>
      <c r="T19" s="2" t="s">
        <v>373</v>
      </c>
      <c r="U19" s="2"/>
      <c r="V19" s="2"/>
      <c r="W19" s="2" t="s">
        <v>80</v>
      </c>
      <c r="X19" s="2"/>
      <c r="Y19" s="2" t="s">
        <v>92</v>
      </c>
      <c r="Z19" s="2" t="s">
        <v>224</v>
      </c>
      <c r="AA19" s="2" t="s">
        <v>243</v>
      </c>
      <c r="AB19" s="2" t="s">
        <v>374</v>
      </c>
      <c r="AC19" s="2" t="s">
        <v>95</v>
      </c>
      <c r="AD19" s="2" t="s">
        <v>80</v>
      </c>
      <c r="AE19" s="2"/>
      <c r="AF19" s="2"/>
      <c r="AG19" s="2"/>
      <c r="AH19" s="2" t="s">
        <v>370</v>
      </c>
      <c r="AI19" s="2" t="s">
        <v>82</v>
      </c>
      <c r="AJ19" s="2">
        <v>10</v>
      </c>
      <c r="AK19" s="2" t="s">
        <v>84</v>
      </c>
      <c r="AL19" s="2" t="s">
        <v>84</v>
      </c>
      <c r="AM19" s="2" t="s">
        <v>84</v>
      </c>
      <c r="AN19" s="2" t="s">
        <v>84</v>
      </c>
      <c r="AO19" s="2" t="s">
        <v>84</v>
      </c>
      <c r="AP19" s="2" t="s">
        <v>84</v>
      </c>
      <c r="AQ19" s="2" t="s">
        <v>84</v>
      </c>
      <c r="AR19" s="2" t="s">
        <v>84</v>
      </c>
      <c r="AS19" s="2" t="s">
        <v>84</v>
      </c>
      <c r="AT19" s="2" t="s">
        <v>84</v>
      </c>
      <c r="AU19" s="2" t="s">
        <v>80</v>
      </c>
      <c r="AV19" s="2" t="s">
        <v>80</v>
      </c>
      <c r="AW19" s="2"/>
      <c r="AX19" s="2" t="s">
        <v>80</v>
      </c>
      <c r="AY19" s="2" t="s">
        <v>79</v>
      </c>
      <c r="AZ19" s="2" t="s">
        <v>92</v>
      </c>
      <c r="BA19" s="2" t="s">
        <v>378</v>
      </c>
      <c r="BB19" s="2" t="s">
        <v>100</v>
      </c>
      <c r="BC19" s="2" t="s">
        <v>379</v>
      </c>
      <c r="BD19" s="2" t="s">
        <v>102</v>
      </c>
      <c r="BE19" s="2" t="s">
        <v>79</v>
      </c>
      <c r="BF19" s="2" t="s">
        <v>364</v>
      </c>
      <c r="BG19" s="2" t="s">
        <v>380</v>
      </c>
      <c r="BH19" s="2" t="s">
        <v>104</v>
      </c>
      <c r="BI19" s="2" t="s">
        <v>79</v>
      </c>
      <c r="BJ19" s="2" t="s">
        <v>107</v>
      </c>
      <c r="BK19" s="2" t="s">
        <v>382</v>
      </c>
      <c r="BL19" s="2" t="s">
        <v>79</v>
      </c>
      <c r="BM19" s="2" t="s">
        <v>109</v>
      </c>
    </row>
    <row r="20" spans="1:65" ht="409.5" x14ac:dyDescent="0.25">
      <c r="A20" s="2" t="s">
        <v>383</v>
      </c>
      <c r="B20" s="2">
        <v>2017</v>
      </c>
      <c r="C20" s="2" t="s">
        <v>111</v>
      </c>
      <c r="D20" s="2" t="s">
        <v>79</v>
      </c>
      <c r="E20" s="2" t="s">
        <v>391</v>
      </c>
      <c r="F20" s="2" t="s">
        <v>79</v>
      </c>
      <c r="G20" s="2" t="s">
        <v>396</v>
      </c>
      <c r="H20" s="2" t="s">
        <v>79</v>
      </c>
      <c r="I20" s="2" t="s">
        <v>390</v>
      </c>
      <c r="J20" s="2" t="s">
        <v>392</v>
      </c>
      <c r="K20" s="2" t="s">
        <v>79</v>
      </c>
      <c r="L20" s="2" t="s">
        <v>385</v>
      </c>
      <c r="M20" s="2" t="s">
        <v>79</v>
      </c>
      <c r="N20" s="2" t="s">
        <v>79</v>
      </c>
      <c r="O20" s="2" t="s">
        <v>386</v>
      </c>
      <c r="P20" s="2" t="s">
        <v>89</v>
      </c>
      <c r="Q20" s="2" t="s">
        <v>116</v>
      </c>
      <c r="R20" s="2" t="s">
        <v>79</v>
      </c>
      <c r="S20" s="2" t="s">
        <v>92</v>
      </c>
      <c r="T20" s="2" t="s">
        <v>387</v>
      </c>
      <c r="U20" s="2"/>
      <c r="V20" s="2"/>
      <c r="W20" s="2" t="s">
        <v>80</v>
      </c>
      <c r="X20" s="2"/>
      <c r="Y20" s="2" t="s">
        <v>92</v>
      </c>
      <c r="Z20" s="2" t="s">
        <v>224</v>
      </c>
      <c r="AA20" s="2" t="s">
        <v>388</v>
      </c>
      <c r="AB20" s="2" t="s">
        <v>389</v>
      </c>
      <c r="AC20" s="2" t="s">
        <v>95</v>
      </c>
      <c r="AD20" s="2" t="s">
        <v>80</v>
      </c>
      <c r="AE20" s="2"/>
      <c r="AF20" s="2"/>
      <c r="AG20" s="2"/>
      <c r="AH20" s="2" t="s">
        <v>384</v>
      </c>
      <c r="AI20" s="2" t="s">
        <v>82</v>
      </c>
      <c r="AJ20" s="2">
        <v>9</v>
      </c>
      <c r="AK20" s="2" t="s">
        <v>84</v>
      </c>
      <c r="AL20" s="2" t="s">
        <v>84</v>
      </c>
      <c r="AM20" s="2" t="s">
        <v>84</v>
      </c>
      <c r="AN20" s="2" t="s">
        <v>84</v>
      </c>
      <c r="AO20" s="2" t="s">
        <v>84</v>
      </c>
      <c r="AP20" s="2" t="s">
        <v>84</v>
      </c>
      <c r="AQ20" s="2" t="s">
        <v>85</v>
      </c>
      <c r="AR20" s="2" t="s">
        <v>84</v>
      </c>
      <c r="AS20" s="2" t="s">
        <v>84</v>
      </c>
      <c r="AT20" s="2" t="s">
        <v>85</v>
      </c>
      <c r="AU20" s="2" t="s">
        <v>80</v>
      </c>
      <c r="AV20" s="2" t="s">
        <v>80</v>
      </c>
      <c r="AW20" s="2"/>
      <c r="AX20" s="2" t="s">
        <v>80</v>
      </c>
      <c r="AY20" s="2" t="s">
        <v>79</v>
      </c>
      <c r="AZ20" s="2" t="s">
        <v>92</v>
      </c>
      <c r="BA20" s="2" t="s">
        <v>393</v>
      </c>
      <c r="BB20" s="2" t="s">
        <v>100</v>
      </c>
      <c r="BC20" s="2" t="s">
        <v>394</v>
      </c>
      <c r="BD20" s="2" t="s">
        <v>102</v>
      </c>
      <c r="BE20" s="2" t="s">
        <v>79</v>
      </c>
      <c r="BF20" s="2" t="s">
        <v>306</v>
      </c>
      <c r="BG20" s="2" t="s">
        <v>395</v>
      </c>
      <c r="BH20" s="2" t="s">
        <v>104</v>
      </c>
      <c r="BI20" s="2" t="s">
        <v>79</v>
      </c>
      <c r="BJ20" s="2" t="s">
        <v>107</v>
      </c>
      <c r="BK20" s="2" t="s">
        <v>397</v>
      </c>
      <c r="BL20" s="2" t="s">
        <v>79</v>
      </c>
      <c r="BM20" s="2" t="s">
        <v>109</v>
      </c>
    </row>
    <row r="21" spans="1:65" ht="409.5" x14ac:dyDescent="0.25">
      <c r="A21" s="2" t="s">
        <v>398</v>
      </c>
      <c r="B21" s="2">
        <v>2017</v>
      </c>
      <c r="C21" s="2" t="s">
        <v>78</v>
      </c>
      <c r="D21" s="2" t="s">
        <v>79</v>
      </c>
      <c r="E21" s="2" t="s">
        <v>407</v>
      </c>
      <c r="F21" s="2" t="s">
        <v>80</v>
      </c>
      <c r="G21" s="2" t="s">
        <v>413</v>
      </c>
      <c r="H21" s="2" t="s">
        <v>79</v>
      </c>
      <c r="I21" s="2" t="s">
        <v>406</v>
      </c>
      <c r="J21" s="2" t="s">
        <v>408</v>
      </c>
      <c r="K21" s="2" t="s">
        <v>92</v>
      </c>
      <c r="L21" s="2" t="s">
        <v>401</v>
      </c>
      <c r="M21" s="2" t="s">
        <v>79</v>
      </c>
      <c r="N21" s="2" t="s">
        <v>79</v>
      </c>
      <c r="O21" s="2" t="s">
        <v>402</v>
      </c>
      <c r="P21" s="2" t="s">
        <v>89</v>
      </c>
      <c r="Q21" s="2" t="s">
        <v>116</v>
      </c>
      <c r="R21" s="2" t="s">
        <v>79</v>
      </c>
      <c r="S21" s="2" t="s">
        <v>92</v>
      </c>
      <c r="T21" s="2" t="s">
        <v>403</v>
      </c>
      <c r="U21" s="2"/>
      <c r="V21" s="2"/>
      <c r="W21" s="2" t="s">
        <v>80</v>
      </c>
      <c r="X21" s="2"/>
      <c r="Y21" s="2" t="s">
        <v>92</v>
      </c>
      <c r="Z21" s="2" t="s">
        <v>399</v>
      </c>
      <c r="AA21" s="2" t="s">
        <v>404</v>
      </c>
      <c r="AB21" s="2" t="s">
        <v>405</v>
      </c>
      <c r="AC21" s="2" t="s">
        <v>95</v>
      </c>
      <c r="AD21" s="2" t="s">
        <v>80</v>
      </c>
      <c r="AE21" s="2"/>
      <c r="AF21" s="2"/>
      <c r="AG21" s="2"/>
      <c r="AH21" s="2" t="s">
        <v>400</v>
      </c>
      <c r="AI21" s="2" t="s">
        <v>82</v>
      </c>
      <c r="AJ21" s="2">
        <v>10</v>
      </c>
      <c r="AK21" s="2" t="s">
        <v>84</v>
      </c>
      <c r="AL21" s="2" t="s">
        <v>84</v>
      </c>
      <c r="AM21" s="2" t="s">
        <v>84</v>
      </c>
      <c r="AN21" s="2" t="s">
        <v>84</v>
      </c>
      <c r="AO21" s="2" t="s">
        <v>84</v>
      </c>
      <c r="AP21" s="2" t="s">
        <v>84</v>
      </c>
      <c r="AQ21" s="2" t="s">
        <v>84</v>
      </c>
      <c r="AR21" s="2" t="s">
        <v>84</v>
      </c>
      <c r="AS21" s="2" t="s">
        <v>84</v>
      </c>
      <c r="AT21" s="2" t="s">
        <v>84</v>
      </c>
      <c r="AU21" s="2" t="s">
        <v>106</v>
      </c>
      <c r="AV21" s="2" t="s">
        <v>80</v>
      </c>
      <c r="AW21" s="2" t="s">
        <v>409</v>
      </c>
      <c r="AX21" s="2" t="s">
        <v>106</v>
      </c>
      <c r="AY21" s="2" t="s">
        <v>79</v>
      </c>
      <c r="AZ21" s="2" t="s">
        <v>92</v>
      </c>
      <c r="BA21" s="2" t="s">
        <v>410</v>
      </c>
      <c r="BB21" s="2" t="s">
        <v>100</v>
      </c>
      <c r="BC21" s="2" t="s">
        <v>411</v>
      </c>
      <c r="BD21" s="2" t="s">
        <v>102</v>
      </c>
      <c r="BE21" s="2" t="s">
        <v>79</v>
      </c>
      <c r="BF21" s="2" t="s">
        <v>168</v>
      </c>
      <c r="BG21" s="2" t="s">
        <v>412</v>
      </c>
      <c r="BH21" s="2" t="s">
        <v>153</v>
      </c>
      <c r="BI21" s="2" t="s">
        <v>79</v>
      </c>
      <c r="BJ21" s="2" t="s">
        <v>107</v>
      </c>
      <c r="BK21" s="2" t="s">
        <v>414</v>
      </c>
      <c r="BL21" s="2" t="s">
        <v>79</v>
      </c>
      <c r="BM21" s="2" t="s">
        <v>109</v>
      </c>
    </row>
    <row r="22" spans="1:65" ht="409.5" x14ac:dyDescent="0.25">
      <c r="A22" s="2" t="s">
        <v>415</v>
      </c>
      <c r="B22" s="2">
        <v>2018</v>
      </c>
      <c r="C22" s="2" t="s">
        <v>270</v>
      </c>
      <c r="D22" s="2" t="s">
        <v>79</v>
      </c>
      <c r="E22" s="2" t="s">
        <v>422</v>
      </c>
      <c r="F22" s="2" t="s">
        <v>80</v>
      </c>
      <c r="G22" s="2"/>
      <c r="H22" s="2" t="s">
        <v>79</v>
      </c>
      <c r="I22" s="2" t="s">
        <v>421</v>
      </c>
      <c r="J22" s="2" t="s">
        <v>423</v>
      </c>
      <c r="K22" s="2" t="s">
        <v>80</v>
      </c>
      <c r="L22" s="2" t="s">
        <v>417</v>
      </c>
      <c r="M22" s="2" t="s">
        <v>79</v>
      </c>
      <c r="N22" s="2" t="s">
        <v>92</v>
      </c>
      <c r="O22" s="2" t="s">
        <v>418</v>
      </c>
      <c r="P22" s="2" t="s">
        <v>89</v>
      </c>
      <c r="Q22" s="2" t="s">
        <v>116</v>
      </c>
      <c r="R22" s="2" t="s">
        <v>79</v>
      </c>
      <c r="S22" s="2" t="s">
        <v>92</v>
      </c>
      <c r="T22" s="2" t="s">
        <v>419</v>
      </c>
      <c r="U22" s="2"/>
      <c r="V22" s="2"/>
      <c r="W22" s="2" t="s">
        <v>80</v>
      </c>
      <c r="X22" s="2"/>
      <c r="Y22" s="2" t="s">
        <v>92</v>
      </c>
      <c r="Z22" s="2" t="s">
        <v>271</v>
      </c>
      <c r="AA22" s="2" t="s">
        <v>118</v>
      </c>
      <c r="AB22" s="2" t="s">
        <v>420</v>
      </c>
      <c r="AC22" s="2" t="s">
        <v>95</v>
      </c>
      <c r="AD22" s="2" t="s">
        <v>80</v>
      </c>
      <c r="AE22" s="2"/>
      <c r="AF22" s="2"/>
      <c r="AG22" s="2"/>
      <c r="AH22" s="2" t="s">
        <v>416</v>
      </c>
      <c r="AI22" s="2" t="s">
        <v>82</v>
      </c>
      <c r="AJ22" s="2">
        <v>8</v>
      </c>
      <c r="AK22" s="2" t="s">
        <v>84</v>
      </c>
      <c r="AL22" s="2" t="s">
        <v>84</v>
      </c>
      <c r="AM22" s="2" t="s">
        <v>84</v>
      </c>
      <c r="AN22" s="2" t="s">
        <v>84</v>
      </c>
      <c r="AO22" s="2" t="s">
        <v>84</v>
      </c>
      <c r="AP22" s="2" t="s">
        <v>84</v>
      </c>
      <c r="AQ22" s="2" t="s">
        <v>85</v>
      </c>
      <c r="AR22" s="2" t="s">
        <v>86</v>
      </c>
      <c r="AS22" s="2" t="s">
        <v>84</v>
      </c>
      <c r="AT22" s="2" t="s">
        <v>85</v>
      </c>
      <c r="AU22" s="2" t="s">
        <v>80</v>
      </c>
      <c r="AV22" s="2" t="s">
        <v>80</v>
      </c>
      <c r="AW22" s="2"/>
      <c r="AX22" s="2" t="s">
        <v>80</v>
      </c>
      <c r="AY22" s="2" t="s">
        <v>79</v>
      </c>
      <c r="AZ22" s="2" t="s">
        <v>92</v>
      </c>
      <c r="BA22" s="2" t="s">
        <v>424</v>
      </c>
      <c r="BB22" s="2" t="s">
        <v>303</v>
      </c>
      <c r="BC22" s="2" t="s">
        <v>425</v>
      </c>
      <c r="BD22" s="2" t="s">
        <v>426</v>
      </c>
      <c r="BE22" s="2" t="s">
        <v>79</v>
      </c>
      <c r="BF22" s="2" t="s">
        <v>427</v>
      </c>
      <c r="BG22" s="2" t="s">
        <v>428</v>
      </c>
      <c r="BH22" s="2" t="s">
        <v>104</v>
      </c>
      <c r="BI22" s="2" t="s">
        <v>106</v>
      </c>
      <c r="BJ22" s="2" t="s">
        <v>429</v>
      </c>
      <c r="BK22" s="2" t="s">
        <v>430</v>
      </c>
      <c r="BL22" s="2" t="s">
        <v>79</v>
      </c>
      <c r="BM22" s="2" t="s">
        <v>109</v>
      </c>
    </row>
    <row r="23" spans="1:65" ht="409.5" x14ac:dyDescent="0.25">
      <c r="A23" s="2" t="s">
        <v>431</v>
      </c>
      <c r="B23" s="2">
        <v>2018</v>
      </c>
      <c r="C23" s="2" t="s">
        <v>270</v>
      </c>
      <c r="D23" s="2" t="s">
        <v>79</v>
      </c>
      <c r="E23" s="2" t="s">
        <v>440</v>
      </c>
      <c r="F23" s="2" t="s">
        <v>79</v>
      </c>
      <c r="G23" s="2" t="s">
        <v>446</v>
      </c>
      <c r="H23" s="2" t="s">
        <v>79</v>
      </c>
      <c r="I23" s="2" t="s">
        <v>439</v>
      </c>
      <c r="J23" s="2" t="s">
        <v>441</v>
      </c>
      <c r="K23" s="2" t="s">
        <v>92</v>
      </c>
      <c r="L23" s="2" t="s">
        <v>433</v>
      </c>
      <c r="M23" s="2" t="s">
        <v>79</v>
      </c>
      <c r="N23" s="2" t="s">
        <v>79</v>
      </c>
      <c r="O23" s="2" t="s">
        <v>434</v>
      </c>
      <c r="P23" s="2" t="s">
        <v>89</v>
      </c>
      <c r="Q23" s="2" t="s">
        <v>116</v>
      </c>
      <c r="R23" s="2" t="s">
        <v>79</v>
      </c>
      <c r="S23" s="2" t="s">
        <v>92</v>
      </c>
      <c r="T23" s="2" t="s">
        <v>435</v>
      </c>
      <c r="U23" s="2" t="s">
        <v>276</v>
      </c>
      <c r="V23" s="2" t="s">
        <v>277</v>
      </c>
      <c r="W23" s="2" t="s">
        <v>79</v>
      </c>
      <c r="X23" s="2" t="s">
        <v>436</v>
      </c>
      <c r="Y23" s="2" t="s">
        <v>92</v>
      </c>
      <c r="Z23" s="2" t="s">
        <v>224</v>
      </c>
      <c r="AA23" s="2" t="s">
        <v>437</v>
      </c>
      <c r="AB23" s="2" t="s">
        <v>438</v>
      </c>
      <c r="AC23" s="2" t="s">
        <v>95</v>
      </c>
      <c r="AD23" s="2" t="s">
        <v>80</v>
      </c>
      <c r="AE23" s="2"/>
      <c r="AF23" s="2"/>
      <c r="AG23" s="2"/>
      <c r="AH23" s="2" t="s">
        <v>432</v>
      </c>
      <c r="AI23" s="2" t="s">
        <v>82</v>
      </c>
      <c r="AJ23" s="2">
        <v>9.5</v>
      </c>
      <c r="AK23" s="2" t="s">
        <v>84</v>
      </c>
      <c r="AL23" s="2" t="s">
        <v>84</v>
      </c>
      <c r="AM23" s="2" t="s">
        <v>84</v>
      </c>
      <c r="AN23" s="2" t="s">
        <v>84</v>
      </c>
      <c r="AO23" s="2" t="s">
        <v>84</v>
      </c>
      <c r="AP23" s="2" t="s">
        <v>84</v>
      </c>
      <c r="AQ23" s="2" t="s">
        <v>84</v>
      </c>
      <c r="AR23" s="2" t="s">
        <v>84</v>
      </c>
      <c r="AS23" s="2" t="s">
        <v>84</v>
      </c>
      <c r="AT23" s="2" t="s">
        <v>85</v>
      </c>
      <c r="AU23" s="2" t="s">
        <v>80</v>
      </c>
      <c r="AV23" s="2" t="s">
        <v>80</v>
      </c>
      <c r="AW23" s="2"/>
      <c r="AX23" s="2" t="s">
        <v>80</v>
      </c>
      <c r="AY23" s="2" t="s">
        <v>79</v>
      </c>
      <c r="AZ23" s="2" t="s">
        <v>92</v>
      </c>
      <c r="BA23" s="2" t="s">
        <v>442</v>
      </c>
      <c r="BB23" s="2" t="s">
        <v>100</v>
      </c>
      <c r="BC23" s="2" t="s">
        <v>443</v>
      </c>
      <c r="BD23" s="2" t="s">
        <v>102</v>
      </c>
      <c r="BE23" s="2" t="s">
        <v>79</v>
      </c>
      <c r="BF23" s="2" t="s">
        <v>444</v>
      </c>
      <c r="BG23" s="2" t="s">
        <v>445</v>
      </c>
      <c r="BH23" s="2" t="s">
        <v>153</v>
      </c>
      <c r="BI23" s="2" t="s">
        <v>79</v>
      </c>
      <c r="BJ23" s="2" t="s">
        <v>289</v>
      </c>
      <c r="BK23" s="2" t="s">
        <v>447</v>
      </c>
      <c r="BL23" s="2" t="s">
        <v>79</v>
      </c>
      <c r="BM23" s="2" t="s">
        <v>109</v>
      </c>
    </row>
    <row r="24" spans="1:65" ht="409.5" x14ac:dyDescent="0.25">
      <c r="A24" s="2" t="s">
        <v>448</v>
      </c>
      <c r="B24" s="2">
        <v>2018</v>
      </c>
      <c r="C24" s="2" t="s">
        <v>111</v>
      </c>
      <c r="D24" s="2" t="s">
        <v>79</v>
      </c>
      <c r="E24" s="2" t="s">
        <v>456</v>
      </c>
      <c r="F24" s="2" t="s">
        <v>79</v>
      </c>
      <c r="G24" s="2" t="s">
        <v>461</v>
      </c>
      <c r="H24" s="2" t="s">
        <v>79</v>
      </c>
      <c r="I24" s="2" t="s">
        <v>455</v>
      </c>
      <c r="J24" s="2" t="s">
        <v>457</v>
      </c>
      <c r="K24" s="2" t="s">
        <v>92</v>
      </c>
      <c r="L24" s="2" t="s">
        <v>450</v>
      </c>
      <c r="M24" s="2" t="s">
        <v>79</v>
      </c>
      <c r="N24" s="2" t="s">
        <v>79</v>
      </c>
      <c r="O24" s="2" t="s">
        <v>451</v>
      </c>
      <c r="P24" s="2" t="s">
        <v>89</v>
      </c>
      <c r="Q24" s="2" t="s">
        <v>116</v>
      </c>
      <c r="R24" s="2" t="s">
        <v>79</v>
      </c>
      <c r="S24" s="2" t="s">
        <v>92</v>
      </c>
      <c r="T24" s="2" t="s">
        <v>452</v>
      </c>
      <c r="U24" s="2"/>
      <c r="V24" s="2"/>
      <c r="W24" s="2" t="s">
        <v>80</v>
      </c>
      <c r="X24" s="2"/>
      <c r="Y24" s="2" t="s">
        <v>92</v>
      </c>
      <c r="Z24" s="2" t="s">
        <v>224</v>
      </c>
      <c r="AA24" s="2" t="s">
        <v>453</v>
      </c>
      <c r="AB24" s="2" t="s">
        <v>454</v>
      </c>
      <c r="AC24" s="2" t="s">
        <v>95</v>
      </c>
      <c r="AD24" s="2" t="s">
        <v>80</v>
      </c>
      <c r="AE24" s="2"/>
      <c r="AF24" s="2"/>
      <c r="AG24" s="2"/>
      <c r="AH24" s="2" t="s">
        <v>449</v>
      </c>
      <c r="AI24" s="2" t="s">
        <v>82</v>
      </c>
      <c r="AJ24" s="2">
        <v>8.5</v>
      </c>
      <c r="AK24" s="2" t="s">
        <v>84</v>
      </c>
      <c r="AL24" s="2" t="s">
        <v>84</v>
      </c>
      <c r="AM24" s="2" t="s">
        <v>84</v>
      </c>
      <c r="AN24" s="2" t="s">
        <v>84</v>
      </c>
      <c r="AO24" s="2" t="s">
        <v>84</v>
      </c>
      <c r="AP24" s="2" t="s">
        <v>84</v>
      </c>
      <c r="AQ24" s="2" t="s">
        <v>85</v>
      </c>
      <c r="AR24" s="2" t="s">
        <v>86</v>
      </c>
      <c r="AS24" s="2" t="s">
        <v>84</v>
      </c>
      <c r="AT24" s="2" t="s">
        <v>84</v>
      </c>
      <c r="AU24" s="2" t="s">
        <v>80</v>
      </c>
      <c r="AV24" s="2" t="s">
        <v>80</v>
      </c>
      <c r="AW24" s="2"/>
      <c r="AX24" s="2" t="s">
        <v>80</v>
      </c>
      <c r="AY24" s="2" t="s">
        <v>79</v>
      </c>
      <c r="AZ24" s="2" t="s">
        <v>92</v>
      </c>
      <c r="BA24" s="2" t="s">
        <v>458</v>
      </c>
      <c r="BB24" s="2" t="s">
        <v>100</v>
      </c>
      <c r="BC24" s="2" t="s">
        <v>459</v>
      </c>
      <c r="BD24" s="2" t="s">
        <v>102</v>
      </c>
      <c r="BE24" s="2" t="s">
        <v>79</v>
      </c>
      <c r="BF24" s="2" t="s">
        <v>427</v>
      </c>
      <c r="BG24" s="2" t="s">
        <v>460</v>
      </c>
      <c r="BH24" s="2" t="s">
        <v>153</v>
      </c>
      <c r="BI24" s="2" t="s">
        <v>106</v>
      </c>
      <c r="BJ24" s="2" t="s">
        <v>107</v>
      </c>
      <c r="BK24" s="2" t="s">
        <v>462</v>
      </c>
      <c r="BL24" s="2" t="s">
        <v>79</v>
      </c>
      <c r="BM24" s="2" t="s">
        <v>109</v>
      </c>
    </row>
    <row r="25" spans="1:65" ht="409.5" x14ac:dyDescent="0.25">
      <c r="A25" s="2" t="s">
        <v>463</v>
      </c>
      <c r="B25" s="2">
        <v>2018</v>
      </c>
      <c r="C25" s="2" t="s">
        <v>78</v>
      </c>
      <c r="D25" s="2" t="s">
        <v>79</v>
      </c>
      <c r="E25" s="2" t="s">
        <v>468</v>
      </c>
      <c r="F25" s="2" t="s">
        <v>92</v>
      </c>
      <c r="G25" s="2" t="s">
        <v>473</v>
      </c>
      <c r="H25" s="2" t="s">
        <v>79</v>
      </c>
      <c r="I25" s="2" t="s">
        <v>467</v>
      </c>
      <c r="J25" s="2" t="s">
        <v>470</v>
      </c>
      <c r="K25" s="2" t="s">
        <v>92</v>
      </c>
      <c r="L25" s="2" t="s">
        <v>464</v>
      </c>
      <c r="M25" s="2" t="s">
        <v>80</v>
      </c>
      <c r="N25" s="2"/>
      <c r="O25" s="2"/>
      <c r="P25" s="2" t="s">
        <v>89</v>
      </c>
      <c r="Q25" s="2" t="s">
        <v>90</v>
      </c>
      <c r="R25" s="2" t="s">
        <v>80</v>
      </c>
      <c r="S25" s="2"/>
      <c r="T25" s="2"/>
      <c r="U25" s="2"/>
      <c r="V25" s="2"/>
      <c r="W25" s="2" t="s">
        <v>80</v>
      </c>
      <c r="X25" s="2"/>
      <c r="Y25" s="2" t="s">
        <v>92</v>
      </c>
      <c r="Z25" s="2"/>
      <c r="AA25" s="2" t="s">
        <v>465</v>
      </c>
      <c r="AB25" s="2" t="s">
        <v>466</v>
      </c>
      <c r="AC25" s="2" t="s">
        <v>95</v>
      </c>
      <c r="AD25" s="2" t="s">
        <v>80</v>
      </c>
      <c r="AE25" s="2"/>
      <c r="AF25" s="2"/>
      <c r="AG25" s="2" t="s">
        <v>469</v>
      </c>
      <c r="AH25" s="2"/>
      <c r="AI25" s="2" t="s">
        <v>82</v>
      </c>
      <c r="AJ25" s="2">
        <v>8.5</v>
      </c>
      <c r="AK25" s="2" t="s">
        <v>84</v>
      </c>
      <c r="AL25" s="2" t="s">
        <v>84</v>
      </c>
      <c r="AM25" s="2" t="s">
        <v>84</v>
      </c>
      <c r="AN25" s="2" t="s">
        <v>84</v>
      </c>
      <c r="AO25" s="2" t="s">
        <v>84</v>
      </c>
      <c r="AP25" s="2" t="s">
        <v>84</v>
      </c>
      <c r="AQ25" s="2" t="s">
        <v>84</v>
      </c>
      <c r="AR25" s="2" t="s">
        <v>86</v>
      </c>
      <c r="AS25" s="2" t="s">
        <v>84</v>
      </c>
      <c r="AT25" s="2" t="s">
        <v>85</v>
      </c>
      <c r="AU25" s="2"/>
      <c r="AV25" s="2" t="s">
        <v>80</v>
      </c>
      <c r="AW25" s="2"/>
      <c r="AX25" s="2"/>
      <c r="AY25" s="2" t="s">
        <v>80</v>
      </c>
      <c r="AZ25" s="2"/>
      <c r="BA25" s="2"/>
      <c r="BB25" s="2" t="s">
        <v>100</v>
      </c>
      <c r="BC25" s="2" t="s">
        <v>471</v>
      </c>
      <c r="BD25" s="2" t="s">
        <v>102</v>
      </c>
      <c r="BE25" s="2" t="s">
        <v>79</v>
      </c>
      <c r="BF25" s="2"/>
      <c r="BG25" s="2" t="s">
        <v>472</v>
      </c>
      <c r="BH25" s="2" t="s">
        <v>153</v>
      </c>
      <c r="BI25" s="2" t="s">
        <v>79</v>
      </c>
      <c r="BJ25" s="2" t="s">
        <v>429</v>
      </c>
      <c r="BK25" s="2" t="s">
        <v>474</v>
      </c>
      <c r="BL25" s="2" t="s">
        <v>79</v>
      </c>
      <c r="BM25" s="2" t="s">
        <v>109</v>
      </c>
    </row>
    <row r="26" spans="1:65" ht="405" x14ac:dyDescent="0.25">
      <c r="A26" s="2" t="s">
        <v>475</v>
      </c>
      <c r="B26" s="2">
        <v>2018</v>
      </c>
      <c r="C26" s="2" t="s">
        <v>111</v>
      </c>
      <c r="D26" s="2" t="s">
        <v>79</v>
      </c>
      <c r="E26" s="2" t="s">
        <v>482</v>
      </c>
      <c r="F26" s="2" t="s">
        <v>92</v>
      </c>
      <c r="G26" s="2" t="s">
        <v>487</v>
      </c>
      <c r="H26" s="2" t="s">
        <v>106</v>
      </c>
      <c r="I26" s="2" t="s">
        <v>481</v>
      </c>
      <c r="J26" s="2" t="s">
        <v>484</v>
      </c>
      <c r="K26" s="2" t="s">
        <v>92</v>
      </c>
      <c r="L26" s="2" t="s">
        <v>477</v>
      </c>
      <c r="M26" s="2" t="s">
        <v>80</v>
      </c>
      <c r="N26" s="2"/>
      <c r="O26" s="2"/>
      <c r="P26" s="2" t="s">
        <v>478</v>
      </c>
      <c r="Q26" s="2" t="s">
        <v>116</v>
      </c>
      <c r="R26" s="2" t="s">
        <v>80</v>
      </c>
      <c r="S26" s="2"/>
      <c r="T26" s="2"/>
      <c r="U26" s="2"/>
      <c r="V26" s="2"/>
      <c r="W26" s="2" t="s">
        <v>80</v>
      </c>
      <c r="X26" s="2"/>
      <c r="Y26" s="2" t="s">
        <v>92</v>
      </c>
      <c r="Z26" s="2" t="s">
        <v>476</v>
      </c>
      <c r="AA26" s="2" t="s">
        <v>479</v>
      </c>
      <c r="AB26" s="2" t="s">
        <v>480</v>
      </c>
      <c r="AC26" s="2" t="s">
        <v>95</v>
      </c>
      <c r="AD26" s="2" t="s">
        <v>80</v>
      </c>
      <c r="AE26" s="2"/>
      <c r="AF26" s="2"/>
      <c r="AG26" s="2" t="s">
        <v>483</v>
      </c>
      <c r="AH26" s="2"/>
      <c r="AI26" s="2" t="s">
        <v>82</v>
      </c>
      <c r="AJ26" s="2">
        <v>8.5</v>
      </c>
      <c r="AK26" s="2" t="s">
        <v>84</v>
      </c>
      <c r="AL26" s="2" t="s">
        <v>84</v>
      </c>
      <c r="AM26" s="2" t="s">
        <v>84</v>
      </c>
      <c r="AN26" s="2" t="s">
        <v>84</v>
      </c>
      <c r="AO26" s="2" t="s">
        <v>84</v>
      </c>
      <c r="AP26" s="2" t="s">
        <v>84</v>
      </c>
      <c r="AQ26" s="2" t="s">
        <v>84</v>
      </c>
      <c r="AR26" s="2" t="s">
        <v>86</v>
      </c>
      <c r="AS26" s="2" t="s">
        <v>84</v>
      </c>
      <c r="AT26" s="2" t="s">
        <v>85</v>
      </c>
      <c r="AU26" s="2"/>
      <c r="AV26" s="2" t="s">
        <v>80</v>
      </c>
      <c r="AW26" s="2"/>
      <c r="AX26" s="2"/>
      <c r="AY26" s="2" t="s">
        <v>80</v>
      </c>
      <c r="AZ26" s="2"/>
      <c r="BA26" s="2"/>
      <c r="BB26" s="2" t="s">
        <v>100</v>
      </c>
      <c r="BC26" s="2" t="s">
        <v>485</v>
      </c>
      <c r="BD26" s="2" t="s">
        <v>102</v>
      </c>
      <c r="BE26" s="2" t="s">
        <v>79</v>
      </c>
      <c r="BF26" s="2"/>
      <c r="BG26" s="2" t="s">
        <v>486</v>
      </c>
      <c r="BH26" s="2" t="s">
        <v>153</v>
      </c>
      <c r="BI26" s="2" t="s">
        <v>79</v>
      </c>
      <c r="BJ26" s="2" t="s">
        <v>107</v>
      </c>
      <c r="BK26" s="2" t="s">
        <v>488</v>
      </c>
      <c r="BL26" s="2" t="s">
        <v>79</v>
      </c>
      <c r="BM26" s="2" t="s">
        <v>109</v>
      </c>
    </row>
    <row r="27" spans="1:65" ht="409.5" x14ac:dyDescent="0.25">
      <c r="A27" s="2" t="s">
        <v>489</v>
      </c>
      <c r="B27" s="2">
        <v>2018</v>
      </c>
      <c r="C27" s="2" t="s">
        <v>111</v>
      </c>
      <c r="D27" s="2" t="s">
        <v>79</v>
      </c>
      <c r="E27" s="2" t="s">
        <v>494</v>
      </c>
      <c r="F27" s="2" t="s">
        <v>79</v>
      </c>
      <c r="G27" s="2" t="s">
        <v>499</v>
      </c>
      <c r="H27" s="2" t="s">
        <v>79</v>
      </c>
      <c r="I27" s="2" t="s">
        <v>493</v>
      </c>
      <c r="J27" s="2" t="s">
        <v>496</v>
      </c>
      <c r="K27" s="2" t="s">
        <v>92</v>
      </c>
      <c r="L27" s="2" t="s">
        <v>491</v>
      </c>
      <c r="M27" s="2" t="s">
        <v>80</v>
      </c>
      <c r="N27" s="2"/>
      <c r="O27" s="2"/>
      <c r="P27" s="2" t="s">
        <v>89</v>
      </c>
      <c r="Q27" s="2" t="s">
        <v>90</v>
      </c>
      <c r="R27" s="2" t="s">
        <v>80</v>
      </c>
      <c r="S27" s="2"/>
      <c r="T27" s="2"/>
      <c r="U27" s="2"/>
      <c r="V27" s="2"/>
      <c r="W27" s="2" t="s">
        <v>80</v>
      </c>
      <c r="X27" s="2"/>
      <c r="Y27" s="2" t="s">
        <v>92</v>
      </c>
      <c r="Z27" s="2" t="s">
        <v>476</v>
      </c>
      <c r="AA27" s="2" t="s">
        <v>465</v>
      </c>
      <c r="AB27" s="2" t="s">
        <v>492</v>
      </c>
      <c r="AC27" s="2" t="s">
        <v>95</v>
      </c>
      <c r="AD27" s="2" t="s">
        <v>80</v>
      </c>
      <c r="AE27" s="2"/>
      <c r="AF27" s="2"/>
      <c r="AG27" s="2" t="s">
        <v>495</v>
      </c>
      <c r="AH27" s="2" t="s">
        <v>490</v>
      </c>
      <c r="AI27" s="2" t="s">
        <v>82</v>
      </c>
      <c r="AJ27" s="2">
        <v>8.5</v>
      </c>
      <c r="AK27" s="2" t="s">
        <v>84</v>
      </c>
      <c r="AL27" s="2" t="s">
        <v>84</v>
      </c>
      <c r="AM27" s="2" t="s">
        <v>84</v>
      </c>
      <c r="AN27" s="2" t="s">
        <v>84</v>
      </c>
      <c r="AO27" s="2" t="s">
        <v>84</v>
      </c>
      <c r="AP27" s="2" t="s">
        <v>84</v>
      </c>
      <c r="AQ27" s="2" t="s">
        <v>84</v>
      </c>
      <c r="AR27" s="2" t="s">
        <v>86</v>
      </c>
      <c r="AS27" s="2" t="s">
        <v>84</v>
      </c>
      <c r="AT27" s="2" t="s">
        <v>85</v>
      </c>
      <c r="AU27" s="2"/>
      <c r="AV27" s="2" t="s">
        <v>80</v>
      </c>
      <c r="AW27" s="2"/>
      <c r="AX27" s="2"/>
      <c r="AY27" s="2" t="s">
        <v>80</v>
      </c>
      <c r="AZ27" s="2"/>
      <c r="BA27" s="2"/>
      <c r="BB27" s="2" t="s">
        <v>100</v>
      </c>
      <c r="BC27" s="2" t="s">
        <v>497</v>
      </c>
      <c r="BD27" s="2" t="s">
        <v>102</v>
      </c>
      <c r="BE27" s="2" t="s">
        <v>79</v>
      </c>
      <c r="BF27" s="2"/>
      <c r="BG27" s="2" t="s">
        <v>498</v>
      </c>
      <c r="BH27" s="2" t="s">
        <v>153</v>
      </c>
      <c r="BI27" s="2" t="s">
        <v>79</v>
      </c>
      <c r="BJ27" s="2" t="s">
        <v>107</v>
      </c>
      <c r="BK27" s="2" t="s">
        <v>500</v>
      </c>
      <c r="BL27" s="2" t="s">
        <v>79</v>
      </c>
      <c r="BM27" s="2" t="s">
        <v>109</v>
      </c>
    </row>
    <row r="28" spans="1:65" ht="409.5" x14ac:dyDescent="0.25">
      <c r="A28" s="2" t="s">
        <v>501</v>
      </c>
      <c r="B28" s="2">
        <v>2018</v>
      </c>
      <c r="C28" s="2" t="s">
        <v>111</v>
      </c>
      <c r="D28" s="2" t="s">
        <v>79</v>
      </c>
      <c r="E28" s="2" t="s">
        <v>509</v>
      </c>
      <c r="F28" s="2" t="s">
        <v>80</v>
      </c>
      <c r="G28" s="2"/>
      <c r="H28" s="2" t="s">
        <v>106</v>
      </c>
      <c r="I28" s="2" t="s">
        <v>508</v>
      </c>
      <c r="J28" s="2" t="s">
        <v>511</v>
      </c>
      <c r="K28" s="2" t="s">
        <v>80</v>
      </c>
      <c r="L28" s="2" t="s">
        <v>504</v>
      </c>
      <c r="M28" s="2" t="s">
        <v>79</v>
      </c>
      <c r="N28" s="2" t="s">
        <v>92</v>
      </c>
      <c r="O28" s="2" t="s">
        <v>505</v>
      </c>
      <c r="P28" s="2" t="s">
        <v>143</v>
      </c>
      <c r="Q28" s="2" t="s">
        <v>90</v>
      </c>
      <c r="R28" s="2" t="s">
        <v>79</v>
      </c>
      <c r="S28" s="2" t="s">
        <v>106</v>
      </c>
      <c r="T28" s="2" t="s">
        <v>506</v>
      </c>
      <c r="U28" s="2"/>
      <c r="V28" s="2"/>
      <c r="W28" s="2" t="s">
        <v>80</v>
      </c>
      <c r="X28" s="2"/>
      <c r="Y28" s="2" t="s">
        <v>92</v>
      </c>
      <c r="Z28" s="2" t="s">
        <v>502</v>
      </c>
      <c r="AA28" s="2"/>
      <c r="AB28" s="2" t="s">
        <v>507</v>
      </c>
      <c r="AC28" s="2" t="s">
        <v>95</v>
      </c>
      <c r="AD28" s="2" t="s">
        <v>80</v>
      </c>
      <c r="AE28" s="2"/>
      <c r="AF28" s="2"/>
      <c r="AG28" s="2" t="s">
        <v>510</v>
      </c>
      <c r="AH28" s="2" t="s">
        <v>503</v>
      </c>
      <c r="AI28" s="2" t="s">
        <v>82</v>
      </c>
      <c r="AJ28" s="2">
        <v>7.5</v>
      </c>
      <c r="AK28" s="2" t="s">
        <v>84</v>
      </c>
      <c r="AL28" s="2" t="s">
        <v>84</v>
      </c>
      <c r="AM28" s="2" t="s">
        <v>85</v>
      </c>
      <c r="AN28" s="2" t="s">
        <v>84</v>
      </c>
      <c r="AO28" s="2" t="s">
        <v>84</v>
      </c>
      <c r="AP28" s="2" t="s">
        <v>84</v>
      </c>
      <c r="AQ28" s="2" t="s">
        <v>84</v>
      </c>
      <c r="AR28" s="2" t="s">
        <v>86</v>
      </c>
      <c r="AS28" s="2" t="s">
        <v>86</v>
      </c>
      <c r="AT28" s="2" t="s">
        <v>84</v>
      </c>
      <c r="AU28" s="2"/>
      <c r="AV28" s="2" t="s">
        <v>80</v>
      </c>
      <c r="AW28" s="2"/>
      <c r="AX28" s="2"/>
      <c r="AY28" s="2" t="s">
        <v>79</v>
      </c>
      <c r="AZ28" s="2" t="s">
        <v>106</v>
      </c>
      <c r="BA28" s="2" t="s">
        <v>512</v>
      </c>
      <c r="BB28" s="2" t="s">
        <v>303</v>
      </c>
      <c r="BC28" s="2" t="s">
        <v>513</v>
      </c>
      <c r="BD28" s="2" t="s">
        <v>514</v>
      </c>
      <c r="BE28" s="2" t="s">
        <v>79</v>
      </c>
      <c r="BF28" s="2"/>
      <c r="BG28" s="2" t="s">
        <v>515</v>
      </c>
      <c r="BH28" s="2" t="s">
        <v>104</v>
      </c>
      <c r="BI28" s="2" t="s">
        <v>79</v>
      </c>
      <c r="BJ28" s="2" t="s">
        <v>155</v>
      </c>
      <c r="BK28" s="2"/>
      <c r="BL28" s="2" t="s">
        <v>80</v>
      </c>
      <c r="BM28" s="2" t="s">
        <v>109</v>
      </c>
    </row>
    <row r="29" spans="1:65" ht="409.5" x14ac:dyDescent="0.25">
      <c r="A29" s="2" t="s">
        <v>516</v>
      </c>
      <c r="B29" s="2">
        <v>2019</v>
      </c>
      <c r="C29" s="2" t="s">
        <v>270</v>
      </c>
      <c r="D29" s="2" t="s">
        <v>79</v>
      </c>
      <c r="E29" s="2" t="s">
        <v>524</v>
      </c>
      <c r="F29" s="2" t="s">
        <v>79</v>
      </c>
      <c r="G29" s="2" t="s">
        <v>530</v>
      </c>
      <c r="H29" s="2" t="s">
        <v>79</v>
      </c>
      <c r="I29" s="2" t="s">
        <v>523</v>
      </c>
      <c r="J29" s="2" t="s">
        <v>526</v>
      </c>
      <c r="K29" s="2" t="s">
        <v>92</v>
      </c>
      <c r="L29" s="2" t="s">
        <v>519</v>
      </c>
      <c r="M29" s="2" t="s">
        <v>79</v>
      </c>
      <c r="N29" s="2" t="s">
        <v>79</v>
      </c>
      <c r="O29" s="2" t="s">
        <v>520</v>
      </c>
      <c r="P29" s="2" t="s">
        <v>89</v>
      </c>
      <c r="Q29" s="2" t="s">
        <v>116</v>
      </c>
      <c r="R29" s="2" t="s">
        <v>79</v>
      </c>
      <c r="S29" s="2" t="s">
        <v>92</v>
      </c>
      <c r="T29" s="2" t="s">
        <v>521</v>
      </c>
      <c r="U29" s="2"/>
      <c r="V29" s="2"/>
      <c r="W29" s="2" t="s">
        <v>80</v>
      </c>
      <c r="X29" s="2"/>
      <c r="Y29" s="2" t="s">
        <v>92</v>
      </c>
      <c r="Z29" s="2" t="s">
        <v>517</v>
      </c>
      <c r="AA29" s="2"/>
      <c r="AB29" s="2" t="s">
        <v>522</v>
      </c>
      <c r="AC29" s="2" t="s">
        <v>95</v>
      </c>
      <c r="AD29" s="2" t="s">
        <v>80</v>
      </c>
      <c r="AE29" s="2"/>
      <c r="AF29" s="2"/>
      <c r="AG29" s="2" t="s">
        <v>525</v>
      </c>
      <c r="AH29" s="2" t="s">
        <v>518</v>
      </c>
      <c r="AI29" s="2" t="s">
        <v>82</v>
      </c>
      <c r="AJ29" s="2">
        <v>8.5</v>
      </c>
      <c r="AK29" s="2" t="s">
        <v>84</v>
      </c>
      <c r="AL29" s="2" t="s">
        <v>84</v>
      </c>
      <c r="AM29" s="2" t="s">
        <v>84</v>
      </c>
      <c r="AN29" s="2" t="s">
        <v>84</v>
      </c>
      <c r="AO29" s="2" t="s">
        <v>84</v>
      </c>
      <c r="AP29" s="2" t="s">
        <v>84</v>
      </c>
      <c r="AQ29" s="2" t="s">
        <v>84</v>
      </c>
      <c r="AR29" s="2" t="s">
        <v>86</v>
      </c>
      <c r="AS29" s="2" t="s">
        <v>84</v>
      </c>
      <c r="AT29" s="2" t="s">
        <v>85</v>
      </c>
      <c r="AU29" s="2"/>
      <c r="AV29" s="2" t="s">
        <v>80</v>
      </c>
      <c r="AW29" s="2"/>
      <c r="AX29" s="2"/>
      <c r="AY29" s="2" t="s">
        <v>79</v>
      </c>
      <c r="AZ29" s="2" t="s">
        <v>92</v>
      </c>
      <c r="BA29" s="2" t="s">
        <v>527</v>
      </c>
      <c r="BB29" s="2" t="s">
        <v>100</v>
      </c>
      <c r="BC29" s="2" t="s">
        <v>528</v>
      </c>
      <c r="BD29" s="2" t="s">
        <v>102</v>
      </c>
      <c r="BE29" s="2" t="s">
        <v>79</v>
      </c>
      <c r="BF29" s="2"/>
      <c r="BG29" s="2" t="s">
        <v>529</v>
      </c>
      <c r="BH29" s="2" t="s">
        <v>104</v>
      </c>
      <c r="BI29" s="2" t="s">
        <v>79</v>
      </c>
      <c r="BJ29" s="2" t="s">
        <v>429</v>
      </c>
      <c r="BK29" s="2" t="s">
        <v>531</v>
      </c>
      <c r="BL29" s="2" t="s">
        <v>79</v>
      </c>
      <c r="BM29" s="2" t="s">
        <v>109</v>
      </c>
    </row>
    <row r="30" spans="1:65" ht="409.5" x14ac:dyDescent="0.25">
      <c r="A30" s="2" t="s">
        <v>532</v>
      </c>
      <c r="B30" s="2">
        <v>2019</v>
      </c>
      <c r="C30" s="2" t="s">
        <v>111</v>
      </c>
      <c r="D30" s="2" t="s">
        <v>79</v>
      </c>
      <c r="E30" s="2" t="s">
        <v>539</v>
      </c>
      <c r="F30" s="2" t="s">
        <v>80</v>
      </c>
      <c r="G30" s="2"/>
      <c r="H30" s="2" t="s">
        <v>106</v>
      </c>
      <c r="I30" s="2" t="s">
        <v>538</v>
      </c>
      <c r="J30" s="2" t="s">
        <v>541</v>
      </c>
      <c r="K30" s="2" t="s">
        <v>80</v>
      </c>
      <c r="L30" s="2" t="s">
        <v>534</v>
      </c>
      <c r="M30" s="2" t="s">
        <v>79</v>
      </c>
      <c r="N30" s="2" t="s">
        <v>92</v>
      </c>
      <c r="O30" s="2" t="s">
        <v>535</v>
      </c>
      <c r="P30" s="2" t="s">
        <v>89</v>
      </c>
      <c r="Q30" s="2" t="s">
        <v>90</v>
      </c>
      <c r="R30" s="2" t="s">
        <v>79</v>
      </c>
      <c r="S30" s="2" t="s">
        <v>92</v>
      </c>
      <c r="T30" s="2" t="s">
        <v>536</v>
      </c>
      <c r="U30" s="2"/>
      <c r="V30" s="2"/>
      <c r="W30" s="2" t="s">
        <v>80</v>
      </c>
      <c r="X30" s="2"/>
      <c r="Y30" s="2" t="s">
        <v>92</v>
      </c>
      <c r="Z30" s="2" t="s">
        <v>271</v>
      </c>
      <c r="AA30" s="2" t="s">
        <v>118</v>
      </c>
      <c r="AB30" s="2" t="s">
        <v>537</v>
      </c>
      <c r="AC30" s="2" t="s">
        <v>95</v>
      </c>
      <c r="AD30" s="2" t="s">
        <v>80</v>
      </c>
      <c r="AE30" s="2"/>
      <c r="AF30" s="2"/>
      <c r="AG30" s="2" t="s">
        <v>540</v>
      </c>
      <c r="AH30" s="2" t="s">
        <v>533</v>
      </c>
      <c r="AI30" s="2" t="s">
        <v>82</v>
      </c>
      <c r="AJ30" s="2">
        <v>8.5</v>
      </c>
      <c r="AK30" s="2" t="s">
        <v>84</v>
      </c>
      <c r="AL30" s="2" t="s">
        <v>84</v>
      </c>
      <c r="AM30" s="2" t="s">
        <v>84</v>
      </c>
      <c r="AN30" s="2" t="s">
        <v>84</v>
      </c>
      <c r="AO30" s="2" t="s">
        <v>84</v>
      </c>
      <c r="AP30" s="2" t="s">
        <v>84</v>
      </c>
      <c r="AQ30" s="2" t="s">
        <v>84</v>
      </c>
      <c r="AR30" s="2" t="s">
        <v>86</v>
      </c>
      <c r="AS30" s="2" t="s">
        <v>84</v>
      </c>
      <c r="AT30" s="2" t="s">
        <v>85</v>
      </c>
      <c r="AU30" s="2"/>
      <c r="AV30" s="2" t="s">
        <v>80</v>
      </c>
      <c r="AW30" s="2"/>
      <c r="AX30" s="2"/>
      <c r="AY30" s="2" t="s">
        <v>79</v>
      </c>
      <c r="AZ30" s="2" t="s">
        <v>92</v>
      </c>
      <c r="BA30" s="2" t="s">
        <v>542</v>
      </c>
      <c r="BB30" s="2" t="s">
        <v>100</v>
      </c>
      <c r="BC30" s="2" t="s">
        <v>543</v>
      </c>
      <c r="BD30" s="2" t="s">
        <v>102</v>
      </c>
      <c r="BE30" s="2" t="s">
        <v>79</v>
      </c>
      <c r="BF30" s="2"/>
      <c r="BG30" s="2" t="s">
        <v>544</v>
      </c>
      <c r="BH30" s="2" t="s">
        <v>153</v>
      </c>
      <c r="BI30" s="2" t="s">
        <v>79</v>
      </c>
      <c r="BJ30" s="2" t="s">
        <v>545</v>
      </c>
      <c r="BK30" s="2" t="s">
        <v>546</v>
      </c>
      <c r="BL30" s="2" t="s">
        <v>79</v>
      </c>
      <c r="BM30" s="2" t="s">
        <v>109</v>
      </c>
    </row>
    <row r="31" spans="1:65" ht="409.5" x14ac:dyDescent="0.25">
      <c r="A31" s="2" t="s">
        <v>547</v>
      </c>
      <c r="B31" s="2">
        <v>2019</v>
      </c>
      <c r="C31" s="2" t="s">
        <v>78</v>
      </c>
      <c r="D31" s="2" t="s">
        <v>79</v>
      </c>
      <c r="E31" s="2" t="s">
        <v>556</v>
      </c>
      <c r="F31" s="2" t="s">
        <v>79</v>
      </c>
      <c r="G31" s="2" t="s">
        <v>562</v>
      </c>
      <c r="H31" s="2" t="s">
        <v>79</v>
      </c>
      <c r="I31" s="2" t="s">
        <v>555</v>
      </c>
      <c r="J31" s="2" t="s">
        <v>558</v>
      </c>
      <c r="K31" s="2" t="s">
        <v>92</v>
      </c>
      <c r="L31" s="2" t="s">
        <v>550</v>
      </c>
      <c r="M31" s="2" t="s">
        <v>79</v>
      </c>
      <c r="N31" s="2" t="s">
        <v>92</v>
      </c>
      <c r="O31" s="2" t="s">
        <v>551</v>
      </c>
      <c r="P31" s="2" t="s">
        <v>89</v>
      </c>
      <c r="Q31" s="2" t="s">
        <v>90</v>
      </c>
      <c r="R31" s="2" t="s">
        <v>79</v>
      </c>
      <c r="S31" s="2" t="s">
        <v>92</v>
      </c>
      <c r="T31" s="2" t="s">
        <v>552</v>
      </c>
      <c r="U31" s="2"/>
      <c r="V31" s="2"/>
      <c r="W31" s="2" t="s">
        <v>80</v>
      </c>
      <c r="X31" s="2"/>
      <c r="Y31" s="2" t="s">
        <v>92</v>
      </c>
      <c r="Z31" s="2" t="s">
        <v>548</v>
      </c>
      <c r="AA31" s="2" t="s">
        <v>553</v>
      </c>
      <c r="AB31" s="2" t="s">
        <v>554</v>
      </c>
      <c r="AC31" s="2" t="s">
        <v>95</v>
      </c>
      <c r="AD31" s="2" t="s">
        <v>80</v>
      </c>
      <c r="AE31" s="2"/>
      <c r="AF31" s="2"/>
      <c r="AG31" s="2" t="s">
        <v>557</v>
      </c>
      <c r="AH31" s="2" t="s">
        <v>549</v>
      </c>
      <c r="AI31" s="2" t="s">
        <v>82</v>
      </c>
      <c r="AJ31" s="2">
        <v>8.5</v>
      </c>
      <c r="AK31" s="2" t="s">
        <v>84</v>
      </c>
      <c r="AL31" s="2" t="s">
        <v>84</v>
      </c>
      <c r="AM31" s="2" t="s">
        <v>84</v>
      </c>
      <c r="AN31" s="2" t="s">
        <v>84</v>
      </c>
      <c r="AO31" s="2" t="s">
        <v>84</v>
      </c>
      <c r="AP31" s="2" t="s">
        <v>84</v>
      </c>
      <c r="AQ31" s="2" t="s">
        <v>84</v>
      </c>
      <c r="AR31" s="2" t="s">
        <v>86</v>
      </c>
      <c r="AS31" s="2" t="s">
        <v>84</v>
      </c>
      <c r="AT31" s="2" t="s">
        <v>85</v>
      </c>
      <c r="AU31" s="2"/>
      <c r="AV31" s="2" t="s">
        <v>80</v>
      </c>
      <c r="AW31" s="2"/>
      <c r="AX31" s="2"/>
      <c r="AY31" s="2" t="s">
        <v>79</v>
      </c>
      <c r="AZ31" s="2" t="s">
        <v>92</v>
      </c>
      <c r="BA31" s="2" t="s">
        <v>559</v>
      </c>
      <c r="BB31" s="2" t="s">
        <v>100</v>
      </c>
      <c r="BC31" s="2" t="s">
        <v>560</v>
      </c>
      <c r="BD31" s="2" t="s">
        <v>102</v>
      </c>
      <c r="BE31" s="2" t="s">
        <v>79</v>
      </c>
      <c r="BF31" s="2"/>
      <c r="BG31" s="2" t="s">
        <v>561</v>
      </c>
      <c r="BH31" s="2" t="s">
        <v>153</v>
      </c>
      <c r="BI31" s="2" t="s">
        <v>79</v>
      </c>
      <c r="BJ31" s="2" t="s">
        <v>563</v>
      </c>
      <c r="BK31" s="2" t="s">
        <v>564</v>
      </c>
      <c r="BL31" s="2" t="s">
        <v>79</v>
      </c>
      <c r="BM31" s="2" t="s">
        <v>109</v>
      </c>
    </row>
    <row r="32" spans="1:65" ht="409.5" x14ac:dyDescent="0.25">
      <c r="A32" s="2" t="s">
        <v>565</v>
      </c>
      <c r="B32" s="2">
        <v>2019</v>
      </c>
      <c r="C32" s="2" t="s">
        <v>566</v>
      </c>
      <c r="D32" s="2" t="s">
        <v>79</v>
      </c>
      <c r="E32" s="2" t="s">
        <v>573</v>
      </c>
      <c r="F32" s="2" t="s">
        <v>79</v>
      </c>
      <c r="G32" s="2" t="s">
        <v>579</v>
      </c>
      <c r="H32" s="2" t="s">
        <v>79</v>
      </c>
      <c r="I32" s="2" t="s">
        <v>572</v>
      </c>
      <c r="J32" s="2" t="s">
        <v>575</v>
      </c>
      <c r="K32" s="2" t="s">
        <v>79</v>
      </c>
      <c r="L32" s="2" t="s">
        <v>568</v>
      </c>
      <c r="M32" s="2" t="s">
        <v>79</v>
      </c>
      <c r="N32" s="2" t="s">
        <v>79</v>
      </c>
      <c r="O32" s="2" t="s">
        <v>569</v>
      </c>
      <c r="P32" s="2" t="s">
        <v>89</v>
      </c>
      <c r="Q32" s="2" t="s">
        <v>116</v>
      </c>
      <c r="R32" s="2" t="s">
        <v>79</v>
      </c>
      <c r="S32" s="2" t="s">
        <v>79</v>
      </c>
      <c r="T32" s="2" t="s">
        <v>570</v>
      </c>
      <c r="U32" s="2"/>
      <c r="V32" s="2"/>
      <c r="W32" s="2" t="s">
        <v>80</v>
      </c>
      <c r="X32" s="2"/>
      <c r="Y32" s="2" t="s">
        <v>92</v>
      </c>
      <c r="Z32" s="2" t="s">
        <v>224</v>
      </c>
      <c r="AA32" s="2" t="s">
        <v>118</v>
      </c>
      <c r="AB32" s="2" t="s">
        <v>571</v>
      </c>
      <c r="AC32" s="2" t="s">
        <v>95</v>
      </c>
      <c r="AD32" s="2" t="s">
        <v>80</v>
      </c>
      <c r="AE32" s="2"/>
      <c r="AF32" s="2"/>
      <c r="AG32" s="2" t="s">
        <v>574</v>
      </c>
      <c r="AH32" s="2" t="s">
        <v>567</v>
      </c>
      <c r="AI32" s="2" t="s">
        <v>82</v>
      </c>
      <c r="AJ32" s="2">
        <v>8.5</v>
      </c>
      <c r="AK32" s="2" t="s">
        <v>84</v>
      </c>
      <c r="AL32" s="2" t="s">
        <v>84</v>
      </c>
      <c r="AM32" s="2" t="s">
        <v>84</v>
      </c>
      <c r="AN32" s="2" t="s">
        <v>84</v>
      </c>
      <c r="AO32" s="2" t="s">
        <v>84</v>
      </c>
      <c r="AP32" s="2" t="s">
        <v>84</v>
      </c>
      <c r="AQ32" s="2" t="s">
        <v>84</v>
      </c>
      <c r="AR32" s="2" t="s">
        <v>86</v>
      </c>
      <c r="AS32" s="2" t="s">
        <v>84</v>
      </c>
      <c r="AT32" s="2" t="s">
        <v>85</v>
      </c>
      <c r="AU32" s="2"/>
      <c r="AV32" s="2" t="s">
        <v>80</v>
      </c>
      <c r="AW32" s="2"/>
      <c r="AX32" s="2"/>
      <c r="AY32" s="2" t="s">
        <v>79</v>
      </c>
      <c r="AZ32" s="2" t="s">
        <v>92</v>
      </c>
      <c r="BA32" s="2" t="s">
        <v>576</v>
      </c>
      <c r="BB32" s="2" t="s">
        <v>100</v>
      </c>
      <c r="BC32" s="2" t="s">
        <v>577</v>
      </c>
      <c r="BD32" s="2" t="s">
        <v>102</v>
      </c>
      <c r="BE32" s="2" t="s">
        <v>79</v>
      </c>
      <c r="BF32" s="2"/>
      <c r="BG32" s="2" t="s">
        <v>578</v>
      </c>
      <c r="BH32" s="2" t="s">
        <v>153</v>
      </c>
      <c r="BI32" s="2" t="s">
        <v>79</v>
      </c>
      <c r="BJ32" s="2" t="s">
        <v>563</v>
      </c>
      <c r="BK32" s="2" t="s">
        <v>580</v>
      </c>
      <c r="BL32" s="2" t="s">
        <v>79</v>
      </c>
      <c r="BM32" s="2" t="s">
        <v>109</v>
      </c>
    </row>
    <row r="33" spans="1:65" ht="409.5" x14ac:dyDescent="0.25">
      <c r="A33" s="2" t="s">
        <v>581</v>
      </c>
      <c r="B33" s="2">
        <v>2019</v>
      </c>
      <c r="C33" s="2" t="s">
        <v>111</v>
      </c>
      <c r="D33" s="2" t="s">
        <v>79</v>
      </c>
      <c r="E33" s="2" t="s">
        <v>588</v>
      </c>
      <c r="F33" s="2" t="s">
        <v>79</v>
      </c>
      <c r="G33" s="2" t="s">
        <v>594</v>
      </c>
      <c r="H33" s="2" t="s">
        <v>79</v>
      </c>
      <c r="I33" s="2" t="s">
        <v>587</v>
      </c>
      <c r="J33" s="2" t="s">
        <v>590</v>
      </c>
      <c r="K33" s="2" t="s">
        <v>79</v>
      </c>
      <c r="L33" s="2" t="s">
        <v>583</v>
      </c>
      <c r="M33" s="2" t="s">
        <v>79</v>
      </c>
      <c r="N33" s="2" t="s">
        <v>79</v>
      </c>
      <c r="O33" s="2" t="s">
        <v>584</v>
      </c>
      <c r="P33" s="2" t="s">
        <v>89</v>
      </c>
      <c r="Q33" s="2" t="s">
        <v>116</v>
      </c>
      <c r="R33" s="2" t="s">
        <v>79</v>
      </c>
      <c r="S33" s="2" t="s">
        <v>92</v>
      </c>
      <c r="T33" s="2" t="s">
        <v>585</v>
      </c>
      <c r="U33" s="2"/>
      <c r="V33" s="2"/>
      <c r="W33" s="2" t="s">
        <v>80</v>
      </c>
      <c r="X33" s="2"/>
      <c r="Y33" s="2" t="s">
        <v>92</v>
      </c>
      <c r="Z33" s="2" t="s">
        <v>224</v>
      </c>
      <c r="AA33" s="2" t="s">
        <v>465</v>
      </c>
      <c r="AB33" s="2" t="s">
        <v>586</v>
      </c>
      <c r="AC33" s="2" t="s">
        <v>95</v>
      </c>
      <c r="AD33" s="2" t="s">
        <v>80</v>
      </c>
      <c r="AE33" s="2"/>
      <c r="AF33" s="2"/>
      <c r="AG33" s="2" t="s">
        <v>589</v>
      </c>
      <c r="AH33" s="2" t="s">
        <v>582</v>
      </c>
      <c r="AI33" s="2" t="s">
        <v>82</v>
      </c>
      <c r="AJ33" s="2">
        <v>8.5</v>
      </c>
      <c r="AK33" s="2" t="s">
        <v>84</v>
      </c>
      <c r="AL33" s="2" t="s">
        <v>84</v>
      </c>
      <c r="AM33" s="2" t="s">
        <v>84</v>
      </c>
      <c r="AN33" s="2" t="s">
        <v>84</v>
      </c>
      <c r="AO33" s="2" t="s">
        <v>84</v>
      </c>
      <c r="AP33" s="2" t="s">
        <v>84</v>
      </c>
      <c r="AQ33" s="2" t="s">
        <v>84</v>
      </c>
      <c r="AR33" s="2" t="s">
        <v>86</v>
      </c>
      <c r="AS33" s="2" t="s">
        <v>84</v>
      </c>
      <c r="AT33" s="2" t="s">
        <v>85</v>
      </c>
      <c r="AU33" s="2"/>
      <c r="AV33" s="2" t="s">
        <v>80</v>
      </c>
      <c r="AW33" s="2"/>
      <c r="AX33" s="2"/>
      <c r="AY33" s="2" t="s">
        <v>79</v>
      </c>
      <c r="AZ33" s="2" t="s">
        <v>92</v>
      </c>
      <c r="BA33" s="2" t="s">
        <v>591</v>
      </c>
      <c r="BB33" s="2" t="s">
        <v>100</v>
      </c>
      <c r="BC33" s="2" t="s">
        <v>592</v>
      </c>
      <c r="BD33" s="2" t="s">
        <v>102</v>
      </c>
      <c r="BE33" s="2" t="s">
        <v>79</v>
      </c>
      <c r="BF33" s="2"/>
      <c r="BG33" s="2" t="s">
        <v>593</v>
      </c>
      <c r="BH33" s="2" t="s">
        <v>153</v>
      </c>
      <c r="BI33" s="2" t="s">
        <v>79</v>
      </c>
      <c r="BJ33" s="2" t="s">
        <v>563</v>
      </c>
      <c r="BK33" s="2" t="s">
        <v>595</v>
      </c>
      <c r="BL33" s="2" t="s">
        <v>79</v>
      </c>
      <c r="BM33" s="2" t="s">
        <v>172</v>
      </c>
    </row>
    <row r="34" spans="1:65" ht="409.5" x14ac:dyDescent="0.25">
      <c r="A34" s="2" t="s">
        <v>596</v>
      </c>
      <c r="B34" s="2">
        <v>2019</v>
      </c>
      <c r="C34" s="2" t="s">
        <v>78</v>
      </c>
      <c r="D34" s="2" t="s">
        <v>79</v>
      </c>
      <c r="E34" s="2" t="s">
        <v>604</v>
      </c>
      <c r="F34" s="2" t="s">
        <v>79</v>
      </c>
      <c r="G34" s="2" t="s">
        <v>610</v>
      </c>
      <c r="H34" s="2" t="s">
        <v>79</v>
      </c>
      <c r="I34" s="2" t="s">
        <v>603</v>
      </c>
      <c r="J34" s="2" t="s">
        <v>606</v>
      </c>
      <c r="K34" s="2" t="s">
        <v>92</v>
      </c>
      <c r="L34" s="2" t="s">
        <v>598</v>
      </c>
      <c r="M34" s="2" t="s">
        <v>79</v>
      </c>
      <c r="N34" s="2" t="s">
        <v>79</v>
      </c>
      <c r="O34" s="2" t="s">
        <v>599</v>
      </c>
      <c r="P34" s="2" t="s">
        <v>89</v>
      </c>
      <c r="Q34" s="2" t="s">
        <v>90</v>
      </c>
      <c r="R34" s="2" t="s">
        <v>79</v>
      </c>
      <c r="S34" s="2" t="s">
        <v>92</v>
      </c>
      <c r="T34" s="2" t="s">
        <v>600</v>
      </c>
      <c r="U34" s="2"/>
      <c r="V34" s="2"/>
      <c r="W34" s="2" t="s">
        <v>80</v>
      </c>
      <c r="X34" s="2"/>
      <c r="Y34" s="2" t="s">
        <v>92</v>
      </c>
      <c r="Z34" s="2" t="s">
        <v>224</v>
      </c>
      <c r="AA34" s="2" t="s">
        <v>601</v>
      </c>
      <c r="AB34" s="2" t="s">
        <v>602</v>
      </c>
      <c r="AC34" s="2" t="s">
        <v>95</v>
      </c>
      <c r="AD34" s="2" t="s">
        <v>80</v>
      </c>
      <c r="AE34" s="2"/>
      <c r="AF34" s="2"/>
      <c r="AG34" s="2" t="s">
        <v>605</v>
      </c>
      <c r="AH34" s="2" t="s">
        <v>597</v>
      </c>
      <c r="AI34" s="2" t="s">
        <v>82</v>
      </c>
      <c r="AJ34" s="2">
        <v>8.5</v>
      </c>
      <c r="AK34" s="2" t="s">
        <v>84</v>
      </c>
      <c r="AL34" s="2" t="s">
        <v>84</v>
      </c>
      <c r="AM34" s="2" t="s">
        <v>84</v>
      </c>
      <c r="AN34" s="2" t="s">
        <v>84</v>
      </c>
      <c r="AO34" s="2" t="s">
        <v>84</v>
      </c>
      <c r="AP34" s="2" t="s">
        <v>84</v>
      </c>
      <c r="AQ34" s="2" t="s">
        <v>84</v>
      </c>
      <c r="AR34" s="2" t="s">
        <v>86</v>
      </c>
      <c r="AS34" s="2" t="s">
        <v>84</v>
      </c>
      <c r="AT34" s="2" t="s">
        <v>85</v>
      </c>
      <c r="AU34" s="2"/>
      <c r="AV34" s="2" t="s">
        <v>80</v>
      </c>
      <c r="AW34" s="2"/>
      <c r="AX34" s="2"/>
      <c r="AY34" s="2" t="s">
        <v>79</v>
      </c>
      <c r="AZ34" s="2" t="s">
        <v>92</v>
      </c>
      <c r="BA34" s="2" t="s">
        <v>607</v>
      </c>
      <c r="BB34" s="2" t="s">
        <v>100</v>
      </c>
      <c r="BC34" s="2" t="s">
        <v>608</v>
      </c>
      <c r="BD34" s="2" t="s">
        <v>102</v>
      </c>
      <c r="BE34" s="2" t="s">
        <v>79</v>
      </c>
      <c r="BF34" s="2"/>
      <c r="BG34" s="2" t="s">
        <v>609</v>
      </c>
      <c r="BH34" s="2" t="s">
        <v>104</v>
      </c>
      <c r="BI34" s="2" t="s">
        <v>79</v>
      </c>
      <c r="BJ34" s="2" t="s">
        <v>563</v>
      </c>
      <c r="BK34" s="2" t="s">
        <v>611</v>
      </c>
      <c r="BL34" s="2" t="s">
        <v>79</v>
      </c>
      <c r="BM34" s="2" t="s">
        <v>109</v>
      </c>
    </row>
    <row r="35" spans="1:65" ht="409.5" x14ac:dyDescent="0.25">
      <c r="A35" s="2" t="s">
        <v>612</v>
      </c>
      <c r="B35" s="2">
        <v>2019</v>
      </c>
      <c r="C35" s="2" t="s">
        <v>78</v>
      </c>
      <c r="D35" s="2" t="s">
        <v>79</v>
      </c>
      <c r="E35" s="2" t="s">
        <v>623</v>
      </c>
      <c r="F35" s="2" t="s">
        <v>92</v>
      </c>
      <c r="G35" s="2" t="s">
        <v>630</v>
      </c>
      <c r="H35" s="2" t="s">
        <v>79</v>
      </c>
      <c r="I35" s="2" t="s">
        <v>622</v>
      </c>
      <c r="J35" s="2" t="s">
        <v>625</v>
      </c>
      <c r="K35" s="2" t="s">
        <v>80</v>
      </c>
      <c r="L35" s="2" t="s">
        <v>615</v>
      </c>
      <c r="M35" s="2" t="s">
        <v>79</v>
      </c>
      <c r="N35" s="2" t="s">
        <v>92</v>
      </c>
      <c r="O35" s="2" t="s">
        <v>616</v>
      </c>
      <c r="P35" s="2" t="s">
        <v>143</v>
      </c>
      <c r="Q35" s="2" t="s">
        <v>194</v>
      </c>
      <c r="R35" s="2" t="s">
        <v>79</v>
      </c>
      <c r="S35" s="2" t="s">
        <v>92</v>
      </c>
      <c r="T35" s="2" t="s">
        <v>617</v>
      </c>
      <c r="U35" s="2" t="s">
        <v>618</v>
      </c>
      <c r="V35" s="2" t="s">
        <v>619</v>
      </c>
      <c r="W35" s="2" t="s">
        <v>79</v>
      </c>
      <c r="X35" s="2" t="s">
        <v>620</v>
      </c>
      <c r="Y35" s="2" t="s">
        <v>92</v>
      </c>
      <c r="Z35" s="2" t="s">
        <v>613</v>
      </c>
      <c r="AA35" s="2" t="s">
        <v>93</v>
      </c>
      <c r="AB35" s="2" t="s">
        <v>621</v>
      </c>
      <c r="AC35" s="2" t="s">
        <v>95</v>
      </c>
      <c r="AD35" s="2" t="s">
        <v>80</v>
      </c>
      <c r="AE35" s="2"/>
      <c r="AF35" s="2"/>
      <c r="AG35" s="2" t="s">
        <v>624</v>
      </c>
      <c r="AH35" s="2" t="s">
        <v>614</v>
      </c>
      <c r="AI35" s="2" t="s">
        <v>82</v>
      </c>
      <c r="AJ35" s="2">
        <v>9.5</v>
      </c>
      <c r="AK35" s="2" t="s">
        <v>84</v>
      </c>
      <c r="AL35" s="2" t="s">
        <v>84</v>
      </c>
      <c r="AM35" s="2" t="s">
        <v>84</v>
      </c>
      <c r="AN35" s="2" t="s">
        <v>84</v>
      </c>
      <c r="AO35" s="2" t="s">
        <v>84</v>
      </c>
      <c r="AP35" s="2" t="s">
        <v>84</v>
      </c>
      <c r="AQ35" s="2" t="s">
        <v>84</v>
      </c>
      <c r="AR35" s="2" t="s">
        <v>84</v>
      </c>
      <c r="AS35" s="2" t="s">
        <v>84</v>
      </c>
      <c r="AT35" s="2" t="s">
        <v>85</v>
      </c>
      <c r="AU35" s="2"/>
      <c r="AV35" s="2" t="s">
        <v>80</v>
      </c>
      <c r="AW35" s="2"/>
      <c r="AX35" s="2"/>
      <c r="AY35" s="2" t="s">
        <v>79</v>
      </c>
      <c r="AZ35" s="2" t="s">
        <v>92</v>
      </c>
      <c r="BA35" s="2" t="s">
        <v>626</v>
      </c>
      <c r="BB35" s="2" t="s">
        <v>303</v>
      </c>
      <c r="BC35" s="2" t="s">
        <v>627</v>
      </c>
      <c r="BD35" s="2" t="s">
        <v>514</v>
      </c>
      <c r="BE35" s="2" t="s">
        <v>79</v>
      </c>
      <c r="BF35" s="2" t="s">
        <v>628</v>
      </c>
      <c r="BG35" s="2" t="s">
        <v>629</v>
      </c>
      <c r="BH35" s="2" t="s">
        <v>104</v>
      </c>
      <c r="BI35" s="2" t="s">
        <v>79</v>
      </c>
      <c r="BJ35" s="2" t="s">
        <v>631</v>
      </c>
      <c r="BK35" s="2" t="s">
        <v>632</v>
      </c>
      <c r="BL35" s="2" t="s">
        <v>79</v>
      </c>
      <c r="BM35" s="2" t="s">
        <v>109</v>
      </c>
    </row>
    <row r="36" spans="1:65" ht="409.5" x14ac:dyDescent="0.25">
      <c r="A36" s="2" t="s">
        <v>633</v>
      </c>
      <c r="B36" s="2">
        <v>2019</v>
      </c>
      <c r="C36" s="2" t="s">
        <v>111</v>
      </c>
      <c r="D36" s="2" t="s">
        <v>79</v>
      </c>
      <c r="E36" s="2" t="s">
        <v>642</v>
      </c>
      <c r="F36" s="2" t="s">
        <v>92</v>
      </c>
      <c r="G36" s="2" t="s">
        <v>649</v>
      </c>
      <c r="H36" s="2" t="s">
        <v>106</v>
      </c>
      <c r="I36" s="2" t="s">
        <v>641</v>
      </c>
      <c r="J36" s="2" t="s">
        <v>644</v>
      </c>
      <c r="K36" s="2" t="s">
        <v>80</v>
      </c>
      <c r="L36" s="2" t="s">
        <v>636</v>
      </c>
      <c r="M36" s="2" t="s">
        <v>79</v>
      </c>
      <c r="N36" s="2" t="s">
        <v>92</v>
      </c>
      <c r="O36" s="2" t="s">
        <v>637</v>
      </c>
      <c r="P36" s="2" t="s">
        <v>143</v>
      </c>
      <c r="Q36" s="2" t="s">
        <v>90</v>
      </c>
      <c r="R36" s="2" t="s">
        <v>79</v>
      </c>
      <c r="S36" s="2" t="s">
        <v>92</v>
      </c>
      <c r="T36" s="2" t="s">
        <v>638</v>
      </c>
      <c r="U36" s="2"/>
      <c r="V36" s="2"/>
      <c r="W36" s="2" t="s">
        <v>80</v>
      </c>
      <c r="X36" s="2"/>
      <c r="Y36" s="2" t="s">
        <v>92</v>
      </c>
      <c r="Z36" s="2" t="s">
        <v>634</v>
      </c>
      <c r="AA36" s="2" t="s">
        <v>639</v>
      </c>
      <c r="AB36" s="2" t="s">
        <v>640</v>
      </c>
      <c r="AC36" s="2" t="s">
        <v>95</v>
      </c>
      <c r="AD36" s="2" t="s">
        <v>80</v>
      </c>
      <c r="AE36" s="2"/>
      <c r="AF36" s="2"/>
      <c r="AG36" s="2" t="s">
        <v>643</v>
      </c>
      <c r="AH36" s="2" t="s">
        <v>635</v>
      </c>
      <c r="AI36" s="2" t="s">
        <v>82</v>
      </c>
      <c r="AJ36" s="2">
        <v>8.5</v>
      </c>
      <c r="AK36" s="2" t="s">
        <v>84</v>
      </c>
      <c r="AL36" s="2" t="s">
        <v>84</v>
      </c>
      <c r="AM36" s="2" t="s">
        <v>84</v>
      </c>
      <c r="AN36" s="2" t="s">
        <v>84</v>
      </c>
      <c r="AO36" s="2" t="s">
        <v>84</v>
      </c>
      <c r="AP36" s="2" t="s">
        <v>84</v>
      </c>
      <c r="AQ36" s="2" t="s">
        <v>84</v>
      </c>
      <c r="AR36" s="2" t="s">
        <v>86</v>
      </c>
      <c r="AS36" s="2" t="s">
        <v>85</v>
      </c>
      <c r="AT36" s="2" t="s">
        <v>84</v>
      </c>
      <c r="AU36" s="2"/>
      <c r="AV36" s="2" t="s">
        <v>80</v>
      </c>
      <c r="AW36" s="2"/>
      <c r="AX36" s="2"/>
      <c r="AY36" s="2" t="s">
        <v>79</v>
      </c>
      <c r="AZ36" s="2" t="s">
        <v>92</v>
      </c>
      <c r="BA36" s="2" t="s">
        <v>645</v>
      </c>
      <c r="BB36" s="2" t="s">
        <v>303</v>
      </c>
      <c r="BC36" s="2" t="s">
        <v>646</v>
      </c>
      <c r="BD36" s="2" t="s">
        <v>514</v>
      </c>
      <c r="BE36" s="2" t="s">
        <v>79</v>
      </c>
      <c r="BF36" s="2" t="s">
        <v>168</v>
      </c>
      <c r="BG36" s="2" t="s">
        <v>647</v>
      </c>
      <c r="BH36" s="2" t="s">
        <v>648</v>
      </c>
      <c r="BI36" s="2" t="s">
        <v>79</v>
      </c>
      <c r="BJ36" s="2" t="s">
        <v>143</v>
      </c>
      <c r="BK36" s="2" t="s">
        <v>650</v>
      </c>
      <c r="BL36" s="2" t="s">
        <v>79</v>
      </c>
      <c r="BM36" s="2" t="s">
        <v>109</v>
      </c>
    </row>
    <row r="37" spans="1:65" ht="409.5" x14ac:dyDescent="0.25">
      <c r="A37" s="2" t="s">
        <v>651</v>
      </c>
      <c r="B37" s="2">
        <v>2019</v>
      </c>
      <c r="C37" s="2" t="s">
        <v>111</v>
      </c>
      <c r="D37" s="2" t="s">
        <v>79</v>
      </c>
      <c r="E37" s="2" t="s">
        <v>659</v>
      </c>
      <c r="F37" s="2" t="s">
        <v>80</v>
      </c>
      <c r="G37" s="2"/>
      <c r="H37" s="2" t="s">
        <v>106</v>
      </c>
      <c r="I37" s="2" t="s">
        <v>658</v>
      </c>
      <c r="J37" s="2" t="s">
        <v>661</v>
      </c>
      <c r="K37" s="2" t="s">
        <v>80</v>
      </c>
      <c r="L37" s="2" t="s">
        <v>653</v>
      </c>
      <c r="M37" s="2" t="s">
        <v>79</v>
      </c>
      <c r="N37" s="2" t="s">
        <v>79</v>
      </c>
      <c r="O37" s="2" t="s">
        <v>654</v>
      </c>
      <c r="P37" s="2" t="s">
        <v>478</v>
      </c>
      <c r="Q37" s="2" t="s">
        <v>116</v>
      </c>
      <c r="R37" s="2" t="s">
        <v>79</v>
      </c>
      <c r="S37" s="2" t="s">
        <v>92</v>
      </c>
      <c r="T37" s="2" t="s">
        <v>655</v>
      </c>
      <c r="U37" s="2"/>
      <c r="V37" s="2"/>
      <c r="W37" s="2" t="s">
        <v>80</v>
      </c>
      <c r="X37" s="2"/>
      <c r="Y37" s="2" t="s">
        <v>92</v>
      </c>
      <c r="Z37" s="2" t="s">
        <v>224</v>
      </c>
      <c r="AA37" s="2" t="s">
        <v>656</v>
      </c>
      <c r="AB37" s="2" t="s">
        <v>657</v>
      </c>
      <c r="AC37" s="2" t="s">
        <v>95</v>
      </c>
      <c r="AD37" s="2" t="s">
        <v>80</v>
      </c>
      <c r="AE37" s="2"/>
      <c r="AF37" s="2"/>
      <c r="AG37" s="2" t="s">
        <v>660</v>
      </c>
      <c r="AH37" s="2" t="s">
        <v>652</v>
      </c>
      <c r="AI37" s="2" t="s">
        <v>82</v>
      </c>
      <c r="AJ37" s="2">
        <v>8.5</v>
      </c>
      <c r="AK37" s="2" t="s">
        <v>84</v>
      </c>
      <c r="AL37" s="2" t="s">
        <v>84</v>
      </c>
      <c r="AM37" s="2" t="s">
        <v>84</v>
      </c>
      <c r="AN37" s="2" t="s">
        <v>84</v>
      </c>
      <c r="AO37" s="2" t="s">
        <v>84</v>
      </c>
      <c r="AP37" s="2" t="s">
        <v>84</v>
      </c>
      <c r="AQ37" s="2" t="s">
        <v>84</v>
      </c>
      <c r="AR37" s="2" t="s">
        <v>86</v>
      </c>
      <c r="AS37" s="2" t="s">
        <v>84</v>
      </c>
      <c r="AT37" s="2" t="s">
        <v>85</v>
      </c>
      <c r="AU37" s="2"/>
      <c r="AV37" s="2" t="s">
        <v>80</v>
      </c>
      <c r="AW37" s="2"/>
      <c r="AX37" s="2"/>
      <c r="AY37" s="2" t="s">
        <v>80</v>
      </c>
      <c r="AZ37" s="2" t="s">
        <v>106</v>
      </c>
      <c r="BA37" s="2"/>
      <c r="BB37" s="2" t="s">
        <v>100</v>
      </c>
      <c r="BC37" s="2" t="s">
        <v>662</v>
      </c>
      <c r="BD37" s="2" t="s">
        <v>102</v>
      </c>
      <c r="BE37" s="2" t="s">
        <v>79</v>
      </c>
      <c r="BF37" s="2"/>
      <c r="BG37" s="2" t="s">
        <v>663</v>
      </c>
      <c r="BH37" s="2" t="s">
        <v>153</v>
      </c>
      <c r="BI37" s="2" t="s">
        <v>79</v>
      </c>
      <c r="BJ37" s="2" t="s">
        <v>107</v>
      </c>
      <c r="BK37" s="2" t="s">
        <v>664</v>
      </c>
      <c r="BL37" s="2" t="s">
        <v>79</v>
      </c>
      <c r="BM37" s="2" t="s">
        <v>109</v>
      </c>
    </row>
    <row r="38" spans="1:65" ht="409.5" x14ac:dyDescent="0.25">
      <c r="A38" s="2" t="s">
        <v>665</v>
      </c>
      <c r="B38" s="2">
        <v>2019</v>
      </c>
      <c r="C38" s="2" t="s">
        <v>111</v>
      </c>
      <c r="D38" s="2" t="s">
        <v>79</v>
      </c>
      <c r="E38" s="2" t="s">
        <v>672</v>
      </c>
      <c r="F38" s="2" t="s">
        <v>79</v>
      </c>
      <c r="G38" s="2" t="s">
        <v>678</v>
      </c>
      <c r="H38" s="2" t="s">
        <v>79</v>
      </c>
      <c r="I38" s="2" t="s">
        <v>671</v>
      </c>
      <c r="J38" s="2" t="s">
        <v>674</v>
      </c>
      <c r="K38" s="2" t="s">
        <v>79</v>
      </c>
      <c r="L38" s="2" t="s">
        <v>667</v>
      </c>
      <c r="M38" s="2" t="s">
        <v>79</v>
      </c>
      <c r="N38" s="2" t="s">
        <v>79</v>
      </c>
      <c r="O38" s="2" t="s">
        <v>668</v>
      </c>
      <c r="P38" s="2" t="s">
        <v>89</v>
      </c>
      <c r="Q38" s="2" t="s">
        <v>116</v>
      </c>
      <c r="R38" s="2" t="s">
        <v>79</v>
      </c>
      <c r="S38" s="2" t="s">
        <v>92</v>
      </c>
      <c r="T38" s="2" t="s">
        <v>669</v>
      </c>
      <c r="U38" s="2"/>
      <c r="V38" s="2"/>
      <c r="W38" s="2" t="s">
        <v>80</v>
      </c>
      <c r="X38" s="2"/>
      <c r="Y38" s="2" t="s">
        <v>92</v>
      </c>
      <c r="Z38" s="2" t="s">
        <v>224</v>
      </c>
      <c r="AA38" s="2" t="s">
        <v>161</v>
      </c>
      <c r="AB38" s="2" t="s">
        <v>670</v>
      </c>
      <c r="AC38" s="2" t="s">
        <v>95</v>
      </c>
      <c r="AD38" s="2" t="s">
        <v>80</v>
      </c>
      <c r="AE38" s="2"/>
      <c r="AF38" s="2"/>
      <c r="AG38" s="2" t="s">
        <v>673</v>
      </c>
      <c r="AH38" s="2" t="s">
        <v>666</v>
      </c>
      <c r="AI38" s="2" t="s">
        <v>82</v>
      </c>
      <c r="AJ38" s="2">
        <v>8.5</v>
      </c>
      <c r="AK38" s="2" t="s">
        <v>84</v>
      </c>
      <c r="AL38" s="2" t="s">
        <v>84</v>
      </c>
      <c r="AM38" s="2" t="s">
        <v>84</v>
      </c>
      <c r="AN38" s="2" t="s">
        <v>84</v>
      </c>
      <c r="AO38" s="2" t="s">
        <v>84</v>
      </c>
      <c r="AP38" s="2" t="s">
        <v>84</v>
      </c>
      <c r="AQ38" s="2" t="s">
        <v>84</v>
      </c>
      <c r="AR38" s="2" t="s">
        <v>86</v>
      </c>
      <c r="AS38" s="2" t="s">
        <v>84</v>
      </c>
      <c r="AT38" s="2" t="s">
        <v>85</v>
      </c>
      <c r="AU38" s="2"/>
      <c r="AV38" s="2" t="s">
        <v>80</v>
      </c>
      <c r="AW38" s="2"/>
      <c r="AX38" s="2"/>
      <c r="AY38" s="2" t="s">
        <v>80</v>
      </c>
      <c r="AZ38" s="2" t="s">
        <v>106</v>
      </c>
      <c r="BA38" s="2"/>
      <c r="BB38" s="2" t="s">
        <v>100</v>
      </c>
      <c r="BC38" s="2" t="s">
        <v>675</v>
      </c>
      <c r="BD38" s="2" t="s">
        <v>102</v>
      </c>
      <c r="BE38" s="2" t="s">
        <v>79</v>
      </c>
      <c r="BF38" s="2" t="s">
        <v>676</v>
      </c>
      <c r="BG38" s="2" t="s">
        <v>677</v>
      </c>
      <c r="BH38" s="2" t="s">
        <v>104</v>
      </c>
      <c r="BI38" s="2" t="s">
        <v>79</v>
      </c>
      <c r="BJ38" s="2" t="s">
        <v>107</v>
      </c>
      <c r="BK38" s="2" t="s">
        <v>679</v>
      </c>
      <c r="BL38" s="2" t="s">
        <v>79</v>
      </c>
      <c r="BM38" s="2" t="s">
        <v>172</v>
      </c>
    </row>
    <row r="39" spans="1:65" ht="409.5" x14ac:dyDescent="0.25">
      <c r="A39" s="2" t="s">
        <v>680</v>
      </c>
      <c r="B39" s="2">
        <v>2019</v>
      </c>
      <c r="C39" s="2" t="s">
        <v>111</v>
      </c>
      <c r="D39" s="2" t="s">
        <v>79</v>
      </c>
      <c r="E39" s="2" t="s">
        <v>687</v>
      </c>
      <c r="F39" s="2" t="s">
        <v>92</v>
      </c>
      <c r="G39" s="2" t="s">
        <v>692</v>
      </c>
      <c r="H39" s="2" t="s">
        <v>106</v>
      </c>
      <c r="I39" s="2" t="s">
        <v>686</v>
      </c>
      <c r="J39" s="2" t="s">
        <v>689</v>
      </c>
      <c r="K39" s="2" t="s">
        <v>80</v>
      </c>
      <c r="L39" s="2" t="s">
        <v>682</v>
      </c>
      <c r="M39" s="2" t="s">
        <v>79</v>
      </c>
      <c r="N39" s="2" t="s">
        <v>79</v>
      </c>
      <c r="O39" s="2" t="s">
        <v>683</v>
      </c>
      <c r="P39" s="2" t="s">
        <v>89</v>
      </c>
      <c r="Q39" s="2" t="s">
        <v>116</v>
      </c>
      <c r="R39" s="2" t="s">
        <v>79</v>
      </c>
      <c r="S39" s="2" t="s">
        <v>92</v>
      </c>
      <c r="T39" s="2" t="s">
        <v>684</v>
      </c>
      <c r="U39" s="2"/>
      <c r="V39" s="2"/>
      <c r="W39" s="2" t="s">
        <v>80</v>
      </c>
      <c r="X39" s="2"/>
      <c r="Y39" s="2" t="s">
        <v>92</v>
      </c>
      <c r="Z39" s="2" t="s">
        <v>271</v>
      </c>
      <c r="AA39" s="2" t="s">
        <v>656</v>
      </c>
      <c r="AB39" s="2" t="s">
        <v>685</v>
      </c>
      <c r="AC39" s="2" t="s">
        <v>95</v>
      </c>
      <c r="AD39" s="2" t="s">
        <v>80</v>
      </c>
      <c r="AE39" s="2"/>
      <c r="AF39" s="2"/>
      <c r="AG39" s="2" t="s">
        <v>688</v>
      </c>
      <c r="AH39" s="2" t="s">
        <v>681</v>
      </c>
      <c r="AI39" s="2" t="s">
        <v>82</v>
      </c>
      <c r="AJ39" s="2">
        <v>8.5</v>
      </c>
      <c r="AK39" s="2" t="s">
        <v>84</v>
      </c>
      <c r="AL39" s="2" t="s">
        <v>84</v>
      </c>
      <c r="AM39" s="2" t="s">
        <v>84</v>
      </c>
      <c r="AN39" s="2" t="s">
        <v>84</v>
      </c>
      <c r="AO39" s="2" t="s">
        <v>84</v>
      </c>
      <c r="AP39" s="2" t="s">
        <v>84</v>
      </c>
      <c r="AQ39" s="2" t="s">
        <v>84</v>
      </c>
      <c r="AR39" s="2" t="s">
        <v>86</v>
      </c>
      <c r="AS39" s="2" t="s">
        <v>84</v>
      </c>
      <c r="AT39" s="2" t="s">
        <v>85</v>
      </c>
      <c r="AU39" s="2"/>
      <c r="AV39" s="2" t="s">
        <v>80</v>
      </c>
      <c r="AW39" s="2"/>
      <c r="AX39" s="2"/>
      <c r="AY39" s="2" t="s">
        <v>80</v>
      </c>
      <c r="AZ39" s="2" t="s">
        <v>106</v>
      </c>
      <c r="BA39" s="2"/>
      <c r="BB39" s="2" t="s">
        <v>100</v>
      </c>
      <c r="BC39" s="2" t="s">
        <v>690</v>
      </c>
      <c r="BD39" s="2" t="s">
        <v>102</v>
      </c>
      <c r="BE39" s="2" t="s">
        <v>79</v>
      </c>
      <c r="BF39" s="2" t="s">
        <v>676</v>
      </c>
      <c r="BG39" s="2" t="s">
        <v>691</v>
      </c>
      <c r="BH39" s="2" t="s">
        <v>153</v>
      </c>
      <c r="BI39" s="2" t="s">
        <v>79</v>
      </c>
      <c r="BJ39" s="2" t="s">
        <v>429</v>
      </c>
      <c r="BK39" s="2" t="s">
        <v>693</v>
      </c>
      <c r="BL39" s="2" t="s">
        <v>79</v>
      </c>
      <c r="BM39" s="2" t="s">
        <v>109</v>
      </c>
    </row>
    <row r="40" spans="1:65" ht="409.5" x14ac:dyDescent="0.25">
      <c r="A40" s="2" t="s">
        <v>694</v>
      </c>
      <c r="B40" s="2">
        <v>2019</v>
      </c>
      <c r="C40" s="2" t="s">
        <v>111</v>
      </c>
      <c r="D40" s="2" t="s">
        <v>79</v>
      </c>
      <c r="E40" s="2" t="s">
        <v>703</v>
      </c>
      <c r="F40" s="2" t="s">
        <v>92</v>
      </c>
      <c r="G40" s="2" t="s">
        <v>711</v>
      </c>
      <c r="H40" s="2" t="s">
        <v>79</v>
      </c>
      <c r="I40" s="2" t="s">
        <v>702</v>
      </c>
      <c r="J40" s="2"/>
      <c r="K40" s="2" t="s">
        <v>92</v>
      </c>
      <c r="L40" s="2" t="s">
        <v>697</v>
      </c>
      <c r="M40" s="2" t="s">
        <v>79</v>
      </c>
      <c r="N40" s="2" t="s">
        <v>79</v>
      </c>
      <c r="O40" s="2" t="s">
        <v>698</v>
      </c>
      <c r="P40" s="2" t="s">
        <v>89</v>
      </c>
      <c r="Q40" s="2" t="s">
        <v>194</v>
      </c>
      <c r="R40" s="2" t="s">
        <v>79</v>
      </c>
      <c r="S40" s="2" t="s">
        <v>79</v>
      </c>
      <c r="T40" s="2" t="s">
        <v>699</v>
      </c>
      <c r="U40" s="2"/>
      <c r="V40" s="2" t="s">
        <v>155</v>
      </c>
      <c r="W40" s="2" t="s">
        <v>80</v>
      </c>
      <c r="X40" s="2"/>
      <c r="Y40" s="2" t="s">
        <v>92</v>
      </c>
      <c r="Z40" s="2" t="s">
        <v>695</v>
      </c>
      <c r="AA40" s="2" t="s">
        <v>118</v>
      </c>
      <c r="AB40" s="2" t="s">
        <v>700</v>
      </c>
      <c r="AC40" s="2" t="s">
        <v>701</v>
      </c>
      <c r="AD40" s="2" t="s">
        <v>79</v>
      </c>
      <c r="AE40" s="2" t="s">
        <v>704</v>
      </c>
      <c r="AF40" s="2" t="s">
        <v>705</v>
      </c>
      <c r="AG40" s="2"/>
      <c r="AH40" s="2" t="s">
        <v>696</v>
      </c>
      <c r="AI40" s="2" t="s">
        <v>82</v>
      </c>
      <c r="AJ40" s="2">
        <v>8</v>
      </c>
      <c r="AK40" s="2" t="s">
        <v>84</v>
      </c>
      <c r="AL40" s="2" t="s">
        <v>84</v>
      </c>
      <c r="AM40" s="2" t="s">
        <v>84</v>
      </c>
      <c r="AN40" s="2" t="s">
        <v>84</v>
      </c>
      <c r="AO40" s="2" t="s">
        <v>84</v>
      </c>
      <c r="AP40" s="2" t="s">
        <v>84</v>
      </c>
      <c r="AQ40" s="2" t="s">
        <v>85</v>
      </c>
      <c r="AR40" s="2" t="s">
        <v>86</v>
      </c>
      <c r="AS40" s="2" t="s">
        <v>84</v>
      </c>
      <c r="AT40" s="2" t="s">
        <v>85</v>
      </c>
      <c r="AU40" s="2" t="s">
        <v>79</v>
      </c>
      <c r="AV40" s="2" t="s">
        <v>79</v>
      </c>
      <c r="AW40" s="2" t="s">
        <v>706</v>
      </c>
      <c r="AX40" s="2" t="s">
        <v>79</v>
      </c>
      <c r="AY40" s="2" t="s">
        <v>79</v>
      </c>
      <c r="AZ40" s="2" t="s">
        <v>92</v>
      </c>
      <c r="BA40" s="2" t="s">
        <v>707</v>
      </c>
      <c r="BB40" s="2" t="s">
        <v>100</v>
      </c>
      <c r="BC40" s="2" t="s">
        <v>708</v>
      </c>
      <c r="BD40" s="2" t="s">
        <v>709</v>
      </c>
      <c r="BE40" s="2" t="s">
        <v>79</v>
      </c>
      <c r="BF40" s="2" t="s">
        <v>628</v>
      </c>
      <c r="BG40" s="2" t="s">
        <v>710</v>
      </c>
      <c r="BH40" s="2" t="s">
        <v>648</v>
      </c>
      <c r="BI40" s="2" t="s">
        <v>79</v>
      </c>
      <c r="BJ40" s="2" t="s">
        <v>266</v>
      </c>
      <c r="BK40" s="2" t="s">
        <v>712</v>
      </c>
      <c r="BL40" s="2" t="s">
        <v>79</v>
      </c>
      <c r="BM40" s="2" t="s">
        <v>109</v>
      </c>
    </row>
    <row r="41" spans="1:65" ht="409.5" x14ac:dyDescent="0.25">
      <c r="A41" s="2" t="s">
        <v>713</v>
      </c>
      <c r="B41" s="2">
        <v>2019</v>
      </c>
      <c r="C41" s="2" t="s">
        <v>566</v>
      </c>
      <c r="D41" s="2" t="s">
        <v>79</v>
      </c>
      <c r="E41" s="2" t="s">
        <v>721</v>
      </c>
      <c r="F41" s="2" t="s">
        <v>80</v>
      </c>
      <c r="G41" s="2"/>
      <c r="H41" s="2" t="s">
        <v>106</v>
      </c>
      <c r="I41" s="2" t="s">
        <v>720</v>
      </c>
      <c r="J41" s="2" t="s">
        <v>722</v>
      </c>
      <c r="K41" s="2" t="s">
        <v>80</v>
      </c>
      <c r="L41" s="2" t="s">
        <v>716</v>
      </c>
      <c r="M41" s="2" t="s">
        <v>79</v>
      </c>
      <c r="N41" s="2" t="s">
        <v>92</v>
      </c>
      <c r="O41" s="2" t="s">
        <v>717</v>
      </c>
      <c r="P41" s="2" t="s">
        <v>143</v>
      </c>
      <c r="Q41" s="2" t="s">
        <v>90</v>
      </c>
      <c r="R41" s="2" t="s">
        <v>79</v>
      </c>
      <c r="S41" s="2" t="s">
        <v>92</v>
      </c>
      <c r="T41" s="2" t="s">
        <v>718</v>
      </c>
      <c r="U41" s="2"/>
      <c r="V41" s="2"/>
      <c r="W41" s="2" t="s">
        <v>80</v>
      </c>
      <c r="X41" s="2"/>
      <c r="Y41" s="2" t="s">
        <v>92</v>
      </c>
      <c r="Z41" s="2" t="s">
        <v>714</v>
      </c>
      <c r="AA41" s="2" t="s">
        <v>656</v>
      </c>
      <c r="AB41" s="2" t="s">
        <v>719</v>
      </c>
      <c r="AC41" s="2" t="s">
        <v>95</v>
      </c>
      <c r="AD41" s="2" t="s">
        <v>80</v>
      </c>
      <c r="AE41" s="2"/>
      <c r="AF41" s="2"/>
      <c r="AG41" s="2"/>
      <c r="AH41" s="2" t="s">
        <v>715</v>
      </c>
      <c r="AI41" s="2" t="s">
        <v>82</v>
      </c>
      <c r="AJ41" s="2">
        <v>8.5</v>
      </c>
      <c r="AK41" s="2" t="s">
        <v>84</v>
      </c>
      <c r="AL41" s="2" t="s">
        <v>84</v>
      </c>
      <c r="AM41" s="2" t="s">
        <v>84</v>
      </c>
      <c r="AN41" s="2" t="s">
        <v>84</v>
      </c>
      <c r="AO41" s="2" t="s">
        <v>84</v>
      </c>
      <c r="AP41" s="2" t="s">
        <v>84</v>
      </c>
      <c r="AQ41" s="2" t="s">
        <v>84</v>
      </c>
      <c r="AR41" s="2" t="s">
        <v>86</v>
      </c>
      <c r="AS41" s="2" t="s">
        <v>84</v>
      </c>
      <c r="AT41" s="2" t="s">
        <v>85</v>
      </c>
      <c r="AU41" s="2" t="s">
        <v>106</v>
      </c>
      <c r="AV41" s="2" t="s">
        <v>80</v>
      </c>
      <c r="AW41" s="2"/>
      <c r="AX41" s="2" t="s">
        <v>106</v>
      </c>
      <c r="AY41" s="2" t="s">
        <v>79</v>
      </c>
      <c r="AZ41" s="2" t="s">
        <v>92</v>
      </c>
      <c r="BA41" s="2" t="s">
        <v>723</v>
      </c>
      <c r="BB41" s="2" t="s">
        <v>100</v>
      </c>
      <c r="BC41" s="2" t="s">
        <v>724</v>
      </c>
      <c r="BD41" s="2" t="s">
        <v>102</v>
      </c>
      <c r="BE41" s="2" t="s">
        <v>79</v>
      </c>
      <c r="BF41" s="2"/>
      <c r="BG41" s="2" t="s">
        <v>725</v>
      </c>
      <c r="BH41" s="2" t="s">
        <v>648</v>
      </c>
      <c r="BI41" s="2" t="s">
        <v>79</v>
      </c>
      <c r="BJ41" s="2" t="s">
        <v>367</v>
      </c>
      <c r="BK41" s="2" t="s">
        <v>726</v>
      </c>
      <c r="BL41" s="2" t="s">
        <v>79</v>
      </c>
      <c r="BM41" s="2" t="s">
        <v>268</v>
      </c>
    </row>
    <row r="42" spans="1:65" ht="409.5" x14ac:dyDescent="0.25">
      <c r="A42" s="2" t="s">
        <v>727</v>
      </c>
      <c r="B42" s="2">
        <v>2020</v>
      </c>
      <c r="C42" s="2" t="s">
        <v>111</v>
      </c>
      <c r="D42" s="2" t="s">
        <v>79</v>
      </c>
      <c r="E42" s="2" t="s">
        <v>737</v>
      </c>
      <c r="F42" s="2" t="s">
        <v>79</v>
      </c>
      <c r="G42" s="2" t="s">
        <v>743</v>
      </c>
      <c r="H42" s="2" t="s">
        <v>106</v>
      </c>
      <c r="I42" s="2" t="s">
        <v>736</v>
      </c>
      <c r="J42" s="2" t="s">
        <v>739</v>
      </c>
      <c r="K42" s="2" t="s">
        <v>92</v>
      </c>
      <c r="L42" s="2" t="s">
        <v>730</v>
      </c>
      <c r="M42" s="2" t="s">
        <v>79</v>
      </c>
      <c r="N42" s="2" t="s">
        <v>92</v>
      </c>
      <c r="O42" s="2" t="s">
        <v>731</v>
      </c>
      <c r="P42" s="2" t="s">
        <v>732</v>
      </c>
      <c r="Q42" s="2" t="s">
        <v>90</v>
      </c>
      <c r="R42" s="2" t="s">
        <v>79</v>
      </c>
      <c r="S42" s="2" t="s">
        <v>92</v>
      </c>
      <c r="T42" s="2" t="s">
        <v>733</v>
      </c>
      <c r="U42" s="2"/>
      <c r="V42" s="2"/>
      <c r="W42" s="2" t="s">
        <v>80</v>
      </c>
      <c r="X42" s="2"/>
      <c r="Y42" s="2" t="s">
        <v>92</v>
      </c>
      <c r="Z42" s="2" t="s">
        <v>728</v>
      </c>
      <c r="AA42" s="2" t="s">
        <v>734</v>
      </c>
      <c r="AB42" s="2" t="s">
        <v>735</v>
      </c>
      <c r="AC42" s="2" t="s">
        <v>95</v>
      </c>
      <c r="AD42" s="2" t="s">
        <v>80</v>
      </c>
      <c r="AE42" s="2"/>
      <c r="AF42" s="2"/>
      <c r="AG42" s="2" t="s">
        <v>738</v>
      </c>
      <c r="AH42" s="2" t="s">
        <v>729</v>
      </c>
      <c r="AI42" s="2" t="s">
        <v>82</v>
      </c>
      <c r="AJ42" s="2">
        <v>9</v>
      </c>
      <c r="AK42" s="2" t="s">
        <v>84</v>
      </c>
      <c r="AL42" s="2" t="s">
        <v>84</v>
      </c>
      <c r="AM42" s="2" t="s">
        <v>84</v>
      </c>
      <c r="AN42" s="2" t="s">
        <v>84</v>
      </c>
      <c r="AO42" s="2" t="s">
        <v>84</v>
      </c>
      <c r="AP42" s="2" t="s">
        <v>84</v>
      </c>
      <c r="AQ42" s="2" t="s">
        <v>84</v>
      </c>
      <c r="AR42" s="2" t="s">
        <v>84</v>
      </c>
      <c r="AS42" s="2" t="s">
        <v>85</v>
      </c>
      <c r="AT42" s="2" t="s">
        <v>85</v>
      </c>
      <c r="AU42" s="2" t="s">
        <v>106</v>
      </c>
      <c r="AV42" s="2" t="s">
        <v>80</v>
      </c>
      <c r="AW42" s="2"/>
      <c r="AX42" s="2" t="s">
        <v>106</v>
      </c>
      <c r="AY42" s="2" t="s">
        <v>79</v>
      </c>
      <c r="AZ42" s="2" t="s">
        <v>92</v>
      </c>
      <c r="BA42" s="2" t="s">
        <v>740</v>
      </c>
      <c r="BB42" s="2" t="s">
        <v>303</v>
      </c>
      <c r="BC42" s="2" t="s">
        <v>741</v>
      </c>
      <c r="BD42" s="2" t="s">
        <v>426</v>
      </c>
      <c r="BE42" s="2" t="s">
        <v>79</v>
      </c>
      <c r="BF42" s="2" t="s">
        <v>364</v>
      </c>
      <c r="BG42" s="2" t="s">
        <v>742</v>
      </c>
      <c r="BH42" s="2" t="s">
        <v>153</v>
      </c>
      <c r="BI42" s="2" t="s">
        <v>106</v>
      </c>
      <c r="BJ42" s="2" t="s">
        <v>155</v>
      </c>
      <c r="BK42" s="2"/>
      <c r="BL42" s="2" t="s">
        <v>80</v>
      </c>
      <c r="BM42" s="2" t="s">
        <v>143</v>
      </c>
    </row>
    <row r="43" spans="1:65" ht="409.5" x14ac:dyDescent="0.25">
      <c r="A43" s="2" t="s">
        <v>744</v>
      </c>
      <c r="B43" s="2">
        <v>2020</v>
      </c>
      <c r="C43" s="2" t="s">
        <v>143</v>
      </c>
      <c r="D43" s="2" t="s">
        <v>79</v>
      </c>
      <c r="E43" s="2" t="s">
        <v>751</v>
      </c>
      <c r="F43" s="2" t="s">
        <v>79</v>
      </c>
      <c r="G43" s="2" t="s">
        <v>759</v>
      </c>
      <c r="H43" s="2" t="s">
        <v>79</v>
      </c>
      <c r="I43" s="2" t="s">
        <v>750</v>
      </c>
      <c r="J43" s="2" t="s">
        <v>753</v>
      </c>
      <c r="K43" s="2" t="s">
        <v>79</v>
      </c>
      <c r="L43" s="2" t="s">
        <v>746</v>
      </c>
      <c r="M43" s="2" t="s">
        <v>79</v>
      </c>
      <c r="N43" s="2" t="s">
        <v>79</v>
      </c>
      <c r="O43" s="2" t="s">
        <v>747</v>
      </c>
      <c r="P43" s="2" t="s">
        <v>89</v>
      </c>
      <c r="Q43" s="2" t="s">
        <v>116</v>
      </c>
      <c r="R43" s="2" t="s">
        <v>79</v>
      </c>
      <c r="S43" s="2" t="s">
        <v>92</v>
      </c>
      <c r="T43" s="2" t="s">
        <v>748</v>
      </c>
      <c r="U43" s="2"/>
      <c r="V43" s="2"/>
      <c r="W43" s="2" t="s">
        <v>80</v>
      </c>
      <c r="X43" s="2"/>
      <c r="Y43" s="2" t="s">
        <v>92</v>
      </c>
      <c r="Z43" s="2" t="s">
        <v>224</v>
      </c>
      <c r="AA43" s="2" t="s">
        <v>388</v>
      </c>
      <c r="AB43" s="2" t="s">
        <v>749</v>
      </c>
      <c r="AC43" s="2" t="s">
        <v>95</v>
      </c>
      <c r="AD43" s="2" t="s">
        <v>80</v>
      </c>
      <c r="AE43" s="2"/>
      <c r="AF43" s="2"/>
      <c r="AG43" s="2" t="s">
        <v>752</v>
      </c>
      <c r="AH43" s="2" t="s">
        <v>745</v>
      </c>
      <c r="AI43" s="2" t="s">
        <v>82</v>
      </c>
      <c r="AJ43" s="2">
        <v>8.5</v>
      </c>
      <c r="AK43" s="2" t="s">
        <v>84</v>
      </c>
      <c r="AL43" s="2" t="s">
        <v>84</v>
      </c>
      <c r="AM43" s="2" t="s">
        <v>84</v>
      </c>
      <c r="AN43" s="2" t="s">
        <v>84</v>
      </c>
      <c r="AO43" s="2" t="s">
        <v>84</v>
      </c>
      <c r="AP43" s="2" t="s">
        <v>84</v>
      </c>
      <c r="AQ43" s="2" t="s">
        <v>84</v>
      </c>
      <c r="AR43" s="2" t="s">
        <v>86</v>
      </c>
      <c r="AS43" s="2" t="s">
        <v>84</v>
      </c>
      <c r="AT43" s="2" t="s">
        <v>85</v>
      </c>
      <c r="AU43" s="2" t="s">
        <v>80</v>
      </c>
      <c r="AV43" s="2" t="s">
        <v>80</v>
      </c>
      <c r="AW43" s="2"/>
      <c r="AX43" s="2" t="s">
        <v>80</v>
      </c>
      <c r="AY43" s="2" t="s">
        <v>79</v>
      </c>
      <c r="AZ43" s="2" t="s">
        <v>92</v>
      </c>
      <c r="BA43" s="2" t="s">
        <v>754</v>
      </c>
      <c r="BB43" s="2" t="s">
        <v>100</v>
      </c>
      <c r="BC43" s="2" t="s">
        <v>755</v>
      </c>
      <c r="BD43" s="2" t="s">
        <v>102</v>
      </c>
      <c r="BE43" s="2" t="s">
        <v>79</v>
      </c>
      <c r="BF43" s="2" t="s">
        <v>756</v>
      </c>
      <c r="BG43" s="2" t="s">
        <v>757</v>
      </c>
      <c r="BH43" s="2" t="s">
        <v>758</v>
      </c>
      <c r="BI43" s="2" t="s">
        <v>79</v>
      </c>
      <c r="BJ43" s="2" t="s">
        <v>107</v>
      </c>
      <c r="BK43" s="2" t="s">
        <v>760</v>
      </c>
      <c r="BL43" s="2" t="s">
        <v>79</v>
      </c>
      <c r="BM43" s="2" t="s">
        <v>109</v>
      </c>
    </row>
    <row r="44" spans="1:65" ht="409.5" x14ac:dyDescent="0.25">
      <c r="A44" s="2" t="s">
        <v>761</v>
      </c>
      <c r="B44" s="2">
        <v>2020</v>
      </c>
      <c r="C44" s="2" t="s">
        <v>111</v>
      </c>
      <c r="D44" s="2" t="s">
        <v>79</v>
      </c>
      <c r="E44" s="2" t="s">
        <v>770</v>
      </c>
      <c r="F44" s="2" t="s">
        <v>92</v>
      </c>
      <c r="G44" s="2" t="s">
        <v>776</v>
      </c>
      <c r="H44" s="2" t="s">
        <v>79</v>
      </c>
      <c r="I44" s="2" t="s">
        <v>769</v>
      </c>
      <c r="J44" s="2" t="s">
        <v>772</v>
      </c>
      <c r="K44" s="2" t="s">
        <v>80</v>
      </c>
      <c r="L44" s="2" t="s">
        <v>764</v>
      </c>
      <c r="M44" s="2" t="s">
        <v>79</v>
      </c>
      <c r="N44" s="2" t="s">
        <v>92</v>
      </c>
      <c r="O44" s="2" t="s">
        <v>765</v>
      </c>
      <c r="P44" s="2" t="s">
        <v>143</v>
      </c>
      <c r="Q44" s="2" t="s">
        <v>90</v>
      </c>
      <c r="R44" s="2" t="s">
        <v>79</v>
      </c>
      <c r="S44" s="2" t="s">
        <v>92</v>
      </c>
      <c r="T44" s="2" t="s">
        <v>766</v>
      </c>
      <c r="U44" s="2"/>
      <c r="V44" s="2"/>
      <c r="W44" s="2" t="s">
        <v>80</v>
      </c>
      <c r="X44" s="2"/>
      <c r="Y44" s="2" t="s">
        <v>92</v>
      </c>
      <c r="Z44" s="2" t="s">
        <v>762</v>
      </c>
      <c r="AA44" s="2" t="s">
        <v>767</v>
      </c>
      <c r="AB44" s="2" t="s">
        <v>768</v>
      </c>
      <c r="AC44" s="2" t="s">
        <v>95</v>
      </c>
      <c r="AD44" s="2" t="s">
        <v>80</v>
      </c>
      <c r="AE44" s="2"/>
      <c r="AF44" s="2"/>
      <c r="AG44" s="2" t="s">
        <v>771</v>
      </c>
      <c r="AH44" s="2" t="s">
        <v>763</v>
      </c>
      <c r="AI44" s="2" t="s">
        <v>82</v>
      </c>
      <c r="AJ44" s="2">
        <v>9</v>
      </c>
      <c r="AK44" s="2" t="s">
        <v>84</v>
      </c>
      <c r="AL44" s="2" t="s">
        <v>84</v>
      </c>
      <c r="AM44" s="2" t="s">
        <v>84</v>
      </c>
      <c r="AN44" s="2" t="s">
        <v>84</v>
      </c>
      <c r="AO44" s="2" t="s">
        <v>84</v>
      </c>
      <c r="AP44" s="2" t="s">
        <v>84</v>
      </c>
      <c r="AQ44" s="2" t="s">
        <v>84</v>
      </c>
      <c r="AR44" s="2" t="s">
        <v>86</v>
      </c>
      <c r="AS44" s="2" t="s">
        <v>84</v>
      </c>
      <c r="AT44" s="2" t="s">
        <v>84</v>
      </c>
      <c r="AU44" s="2" t="s">
        <v>80</v>
      </c>
      <c r="AV44" s="2" t="s">
        <v>80</v>
      </c>
      <c r="AW44" s="2"/>
      <c r="AX44" s="2" t="s">
        <v>80</v>
      </c>
      <c r="AY44" s="2" t="s">
        <v>79</v>
      </c>
      <c r="AZ44" s="2" t="s">
        <v>92</v>
      </c>
      <c r="BA44" s="2" t="s">
        <v>773</v>
      </c>
      <c r="BB44" s="2" t="s">
        <v>303</v>
      </c>
      <c r="BC44" s="2" t="s">
        <v>774</v>
      </c>
      <c r="BD44" s="2" t="s">
        <v>426</v>
      </c>
      <c r="BE44" s="2" t="s">
        <v>79</v>
      </c>
      <c r="BF44" s="2" t="s">
        <v>364</v>
      </c>
      <c r="BG44" s="2" t="s">
        <v>775</v>
      </c>
      <c r="BH44" s="2" t="s">
        <v>104</v>
      </c>
      <c r="BI44" s="2" t="s">
        <v>79</v>
      </c>
      <c r="BJ44" s="2" t="s">
        <v>367</v>
      </c>
      <c r="BK44" s="2" t="s">
        <v>777</v>
      </c>
      <c r="BL44" s="2" t="s">
        <v>79</v>
      </c>
      <c r="BM44" s="2" t="s">
        <v>109</v>
      </c>
    </row>
    <row r="45" spans="1:65" ht="409.5" x14ac:dyDescent="0.25">
      <c r="A45" s="2" t="s">
        <v>778</v>
      </c>
      <c r="B45" s="2">
        <v>2020</v>
      </c>
      <c r="C45" s="2" t="s">
        <v>111</v>
      </c>
      <c r="D45" s="2" t="s">
        <v>79</v>
      </c>
      <c r="E45" s="2" t="s">
        <v>787</v>
      </c>
      <c r="F45" s="2" t="s">
        <v>79</v>
      </c>
      <c r="G45" s="2" t="s">
        <v>793</v>
      </c>
      <c r="H45" s="2" t="s">
        <v>79</v>
      </c>
      <c r="I45" s="2" t="s">
        <v>786</v>
      </c>
      <c r="J45" s="2" t="s">
        <v>789</v>
      </c>
      <c r="K45" s="2" t="s">
        <v>92</v>
      </c>
      <c r="L45" s="2" t="s">
        <v>781</v>
      </c>
      <c r="M45" s="2" t="s">
        <v>79</v>
      </c>
      <c r="N45" s="2" t="s">
        <v>79</v>
      </c>
      <c r="O45" s="2" t="s">
        <v>782</v>
      </c>
      <c r="P45" s="2" t="s">
        <v>143</v>
      </c>
      <c r="Q45" s="2" t="s">
        <v>90</v>
      </c>
      <c r="R45" s="2" t="s">
        <v>79</v>
      </c>
      <c r="S45" s="2" t="s">
        <v>92</v>
      </c>
      <c r="T45" s="2" t="s">
        <v>783</v>
      </c>
      <c r="U45" s="2"/>
      <c r="V45" s="2"/>
      <c r="W45" s="2" t="s">
        <v>80</v>
      </c>
      <c r="X45" s="2"/>
      <c r="Y45" s="2" t="s">
        <v>92</v>
      </c>
      <c r="Z45" s="2" t="s">
        <v>779</v>
      </c>
      <c r="AA45" s="2" t="s">
        <v>784</v>
      </c>
      <c r="AB45" s="2" t="s">
        <v>785</v>
      </c>
      <c r="AC45" s="2" t="s">
        <v>95</v>
      </c>
      <c r="AD45" s="2" t="s">
        <v>80</v>
      </c>
      <c r="AE45" s="2"/>
      <c r="AF45" s="2"/>
      <c r="AG45" s="2" t="s">
        <v>788</v>
      </c>
      <c r="AH45" s="2" t="s">
        <v>780</v>
      </c>
      <c r="AI45" s="2" t="s">
        <v>82</v>
      </c>
      <c r="AJ45" s="2">
        <v>9.5</v>
      </c>
      <c r="AK45" s="2" t="s">
        <v>84</v>
      </c>
      <c r="AL45" s="2" t="s">
        <v>84</v>
      </c>
      <c r="AM45" s="2" t="s">
        <v>84</v>
      </c>
      <c r="AN45" s="2" t="s">
        <v>84</v>
      </c>
      <c r="AO45" s="2" t="s">
        <v>84</v>
      </c>
      <c r="AP45" s="2" t="s">
        <v>84</v>
      </c>
      <c r="AQ45" s="2" t="s">
        <v>84</v>
      </c>
      <c r="AR45" s="2" t="s">
        <v>84</v>
      </c>
      <c r="AS45" s="2" t="s">
        <v>84</v>
      </c>
      <c r="AT45" s="2" t="s">
        <v>85</v>
      </c>
      <c r="AU45" s="2" t="s">
        <v>80</v>
      </c>
      <c r="AV45" s="2" t="s">
        <v>80</v>
      </c>
      <c r="AW45" s="2"/>
      <c r="AX45" s="2" t="s">
        <v>80</v>
      </c>
      <c r="AY45" s="2" t="s">
        <v>79</v>
      </c>
      <c r="AZ45" s="2" t="s">
        <v>92</v>
      </c>
      <c r="BA45" s="2" t="s">
        <v>790</v>
      </c>
      <c r="BB45" s="2" t="s">
        <v>303</v>
      </c>
      <c r="BC45" s="2" t="s">
        <v>791</v>
      </c>
      <c r="BD45" s="2" t="s">
        <v>426</v>
      </c>
      <c r="BE45" s="2" t="s">
        <v>79</v>
      </c>
      <c r="BF45" s="2" t="s">
        <v>364</v>
      </c>
      <c r="BG45" s="2" t="s">
        <v>792</v>
      </c>
      <c r="BH45" s="2" t="s">
        <v>104</v>
      </c>
      <c r="BI45" s="2" t="s">
        <v>79</v>
      </c>
      <c r="BJ45" s="2" t="s">
        <v>429</v>
      </c>
      <c r="BK45" s="2" t="s">
        <v>794</v>
      </c>
      <c r="BL45" s="2" t="s">
        <v>79</v>
      </c>
      <c r="BM45" s="2" t="s">
        <v>109</v>
      </c>
    </row>
    <row r="46" spans="1:65" ht="409.5" x14ac:dyDescent="0.25">
      <c r="A46" s="2" t="s">
        <v>795</v>
      </c>
      <c r="B46" s="2">
        <v>2021</v>
      </c>
      <c r="C46" s="2" t="s">
        <v>111</v>
      </c>
      <c r="D46" s="2" t="s">
        <v>79</v>
      </c>
      <c r="E46" s="2" t="s">
        <v>807</v>
      </c>
      <c r="F46" s="2" t="s">
        <v>92</v>
      </c>
      <c r="G46" s="2" t="s">
        <v>816</v>
      </c>
      <c r="H46" s="2" t="s">
        <v>79</v>
      </c>
      <c r="I46" s="2" t="s">
        <v>806</v>
      </c>
      <c r="J46" s="2" t="s">
        <v>811</v>
      </c>
      <c r="K46" s="2" t="s">
        <v>92</v>
      </c>
      <c r="L46" s="2" t="s">
        <v>798</v>
      </c>
      <c r="M46" s="2" t="s">
        <v>79</v>
      </c>
      <c r="N46" s="2" t="s">
        <v>79</v>
      </c>
      <c r="O46" s="2" t="s">
        <v>799</v>
      </c>
      <c r="P46" s="2" t="s">
        <v>89</v>
      </c>
      <c r="Q46" s="2" t="s">
        <v>90</v>
      </c>
      <c r="R46" s="2" t="s">
        <v>79</v>
      </c>
      <c r="S46" s="2" t="s">
        <v>92</v>
      </c>
      <c r="T46" s="2" t="s">
        <v>800</v>
      </c>
      <c r="U46" s="2"/>
      <c r="V46" s="2"/>
      <c r="W46" s="2" t="s">
        <v>79</v>
      </c>
      <c r="X46" s="2" t="s">
        <v>801</v>
      </c>
      <c r="Y46" s="2" t="s">
        <v>802</v>
      </c>
      <c r="Z46" s="2" t="s">
        <v>796</v>
      </c>
      <c r="AA46" s="2" t="s">
        <v>803</v>
      </c>
      <c r="AB46" s="2" t="s">
        <v>804</v>
      </c>
      <c r="AC46" s="2" t="s">
        <v>805</v>
      </c>
      <c r="AD46" s="2" t="s">
        <v>79</v>
      </c>
      <c r="AE46" s="2" t="s">
        <v>808</v>
      </c>
      <c r="AF46" s="2" t="s">
        <v>809</v>
      </c>
      <c r="AG46" s="2" t="s">
        <v>810</v>
      </c>
      <c r="AH46" s="2" t="s">
        <v>797</v>
      </c>
      <c r="AI46" s="2" t="s">
        <v>82</v>
      </c>
      <c r="AJ46" s="2">
        <v>10</v>
      </c>
      <c r="AK46" s="2" t="s">
        <v>84</v>
      </c>
      <c r="AL46" s="2" t="s">
        <v>84</v>
      </c>
      <c r="AM46" s="2" t="s">
        <v>84</v>
      </c>
      <c r="AN46" s="2" t="s">
        <v>84</v>
      </c>
      <c r="AO46" s="2" t="s">
        <v>84</v>
      </c>
      <c r="AP46" s="2" t="s">
        <v>84</v>
      </c>
      <c r="AQ46" s="2" t="s">
        <v>84</v>
      </c>
      <c r="AR46" s="2" t="s">
        <v>84</v>
      </c>
      <c r="AS46" s="2" t="s">
        <v>84</v>
      </c>
      <c r="AT46" s="2" t="s">
        <v>84</v>
      </c>
      <c r="AU46" s="2" t="s">
        <v>106</v>
      </c>
      <c r="AV46" s="2" t="s">
        <v>79</v>
      </c>
      <c r="AW46" s="2" t="s">
        <v>812</v>
      </c>
      <c r="AX46" s="2" t="s">
        <v>106</v>
      </c>
      <c r="AY46" s="2" t="s">
        <v>79</v>
      </c>
      <c r="AZ46" s="2" t="s">
        <v>79</v>
      </c>
      <c r="BA46" s="2" t="s">
        <v>813</v>
      </c>
      <c r="BB46" s="2" t="s">
        <v>100</v>
      </c>
      <c r="BC46" s="2" t="s">
        <v>814</v>
      </c>
      <c r="BD46" s="2" t="s">
        <v>286</v>
      </c>
      <c r="BE46" s="2" t="s">
        <v>79</v>
      </c>
      <c r="BF46" s="2" t="s">
        <v>364</v>
      </c>
      <c r="BG46" s="2" t="s">
        <v>815</v>
      </c>
      <c r="BH46" s="2" t="s">
        <v>153</v>
      </c>
      <c r="BI46" s="2" t="s">
        <v>79</v>
      </c>
      <c r="BJ46" s="2" t="s">
        <v>143</v>
      </c>
      <c r="BK46" s="2" t="s">
        <v>817</v>
      </c>
      <c r="BL46" s="2" t="s">
        <v>79</v>
      </c>
      <c r="BM46" s="2" t="s">
        <v>172</v>
      </c>
    </row>
    <row r="47" spans="1:65" ht="409.5" x14ac:dyDescent="0.25">
      <c r="A47" s="2" t="s">
        <v>818</v>
      </c>
      <c r="B47" s="2">
        <v>2020</v>
      </c>
      <c r="C47" s="2" t="s">
        <v>143</v>
      </c>
      <c r="D47" s="2" t="s">
        <v>79</v>
      </c>
      <c r="E47" s="2" t="s">
        <v>827</v>
      </c>
      <c r="F47" s="2" t="s">
        <v>79</v>
      </c>
      <c r="G47" s="2" t="s">
        <v>835</v>
      </c>
      <c r="H47" s="2" t="s">
        <v>79</v>
      </c>
      <c r="I47" s="2" t="s">
        <v>826</v>
      </c>
      <c r="J47" s="2" t="s">
        <v>830</v>
      </c>
      <c r="K47" s="2" t="s">
        <v>92</v>
      </c>
      <c r="L47" s="2" t="s">
        <v>821</v>
      </c>
      <c r="M47" s="2" t="s">
        <v>79</v>
      </c>
      <c r="N47" s="2" t="s">
        <v>79</v>
      </c>
      <c r="O47" s="2" t="s">
        <v>822</v>
      </c>
      <c r="P47" s="2" t="s">
        <v>89</v>
      </c>
      <c r="Q47" s="2" t="s">
        <v>194</v>
      </c>
      <c r="R47" s="2" t="s">
        <v>79</v>
      </c>
      <c r="S47" s="2" t="s">
        <v>79</v>
      </c>
      <c r="T47" s="2" t="s">
        <v>823</v>
      </c>
      <c r="U47" s="2"/>
      <c r="V47" s="2"/>
      <c r="W47" s="2" t="s">
        <v>79</v>
      </c>
      <c r="X47" s="2" t="s">
        <v>824</v>
      </c>
      <c r="Y47" s="2" t="s">
        <v>802</v>
      </c>
      <c r="Z47" s="2" t="s">
        <v>819</v>
      </c>
      <c r="AA47" s="2" t="s">
        <v>803</v>
      </c>
      <c r="AB47" s="2" t="s">
        <v>825</v>
      </c>
      <c r="AC47" s="2" t="s">
        <v>805</v>
      </c>
      <c r="AD47" s="2" t="s">
        <v>79</v>
      </c>
      <c r="AE47" s="2" t="s">
        <v>828</v>
      </c>
      <c r="AF47" s="2" t="s">
        <v>829</v>
      </c>
      <c r="AG47" s="2"/>
      <c r="AH47" s="2" t="s">
        <v>820</v>
      </c>
      <c r="AI47" s="2" t="s">
        <v>82</v>
      </c>
      <c r="AJ47" s="2">
        <v>10</v>
      </c>
      <c r="AK47" s="2" t="s">
        <v>84</v>
      </c>
      <c r="AL47" s="2" t="s">
        <v>84</v>
      </c>
      <c r="AM47" s="2" t="s">
        <v>84</v>
      </c>
      <c r="AN47" s="2" t="s">
        <v>84</v>
      </c>
      <c r="AO47" s="2" t="s">
        <v>84</v>
      </c>
      <c r="AP47" s="2" t="s">
        <v>84</v>
      </c>
      <c r="AQ47" s="2" t="s">
        <v>84</v>
      </c>
      <c r="AR47" s="2" t="s">
        <v>84</v>
      </c>
      <c r="AS47" s="2" t="s">
        <v>84</v>
      </c>
      <c r="AT47" s="2" t="s">
        <v>84</v>
      </c>
      <c r="AU47" s="2" t="s">
        <v>106</v>
      </c>
      <c r="AV47" s="2" t="s">
        <v>79</v>
      </c>
      <c r="AW47" s="2" t="s">
        <v>831</v>
      </c>
      <c r="AX47" s="2" t="s">
        <v>106</v>
      </c>
      <c r="AY47" s="2" t="s">
        <v>79</v>
      </c>
      <c r="AZ47" s="2" t="s">
        <v>92</v>
      </c>
      <c r="BA47" s="2" t="s">
        <v>832</v>
      </c>
      <c r="BB47" s="2" t="s">
        <v>100</v>
      </c>
      <c r="BC47" s="2" t="s">
        <v>833</v>
      </c>
      <c r="BD47" s="2" t="s">
        <v>202</v>
      </c>
      <c r="BE47" s="2" t="s">
        <v>79</v>
      </c>
      <c r="BF47" s="2" t="s">
        <v>364</v>
      </c>
      <c r="BG47" s="2" t="s">
        <v>834</v>
      </c>
      <c r="BH47" s="2" t="s">
        <v>153</v>
      </c>
      <c r="BI47" s="2" t="s">
        <v>79</v>
      </c>
      <c r="BJ47" s="2" t="s">
        <v>107</v>
      </c>
      <c r="BK47" s="2" t="s">
        <v>836</v>
      </c>
      <c r="BL47" s="2" t="s">
        <v>79</v>
      </c>
      <c r="BM47" s="2" t="s">
        <v>109</v>
      </c>
    </row>
    <row r="48" spans="1:65" ht="409.5" x14ac:dyDescent="0.25">
      <c r="A48" s="2" t="s">
        <v>837</v>
      </c>
      <c r="B48" s="2">
        <v>2021</v>
      </c>
      <c r="C48" s="2" t="s">
        <v>143</v>
      </c>
      <c r="D48" s="2" t="s">
        <v>79</v>
      </c>
      <c r="E48" s="2" t="s">
        <v>848</v>
      </c>
      <c r="F48" s="2" t="s">
        <v>80</v>
      </c>
      <c r="G48" s="2"/>
      <c r="H48" s="2" t="s">
        <v>80</v>
      </c>
      <c r="I48" s="2" t="s">
        <v>847</v>
      </c>
      <c r="J48" s="2" t="s">
        <v>850</v>
      </c>
      <c r="K48" s="2" t="s">
        <v>80</v>
      </c>
      <c r="L48" s="2" t="s">
        <v>840</v>
      </c>
      <c r="M48" s="2" t="s">
        <v>79</v>
      </c>
      <c r="N48" s="2" t="s">
        <v>79</v>
      </c>
      <c r="O48" s="2" t="s">
        <v>841</v>
      </c>
      <c r="P48" s="2" t="s">
        <v>842</v>
      </c>
      <c r="Q48" s="2" t="s">
        <v>116</v>
      </c>
      <c r="R48" s="2" t="s">
        <v>79</v>
      </c>
      <c r="S48" s="2" t="s">
        <v>79</v>
      </c>
      <c r="T48" s="2" t="s">
        <v>843</v>
      </c>
      <c r="U48" s="2" t="s">
        <v>143</v>
      </c>
      <c r="V48" s="2" t="s">
        <v>844</v>
      </c>
      <c r="W48" s="2" t="s">
        <v>79</v>
      </c>
      <c r="X48" s="2" t="s">
        <v>845</v>
      </c>
      <c r="Y48" s="2" t="s">
        <v>92</v>
      </c>
      <c r="Z48" s="2" t="s">
        <v>838</v>
      </c>
      <c r="AA48" s="2" t="s">
        <v>437</v>
      </c>
      <c r="AB48" s="2" t="s">
        <v>846</v>
      </c>
      <c r="AC48" s="2" t="s">
        <v>95</v>
      </c>
      <c r="AD48" s="2" t="s">
        <v>80</v>
      </c>
      <c r="AE48" s="2"/>
      <c r="AF48" s="2"/>
      <c r="AG48" s="2" t="s">
        <v>849</v>
      </c>
      <c r="AH48" s="2" t="s">
        <v>839</v>
      </c>
      <c r="AI48" s="2" t="s">
        <v>82</v>
      </c>
      <c r="AJ48" s="2">
        <v>10</v>
      </c>
      <c r="AK48" s="2" t="s">
        <v>84</v>
      </c>
      <c r="AL48" s="2" t="s">
        <v>84</v>
      </c>
      <c r="AM48" s="2" t="s">
        <v>84</v>
      </c>
      <c r="AN48" s="2" t="s">
        <v>84</v>
      </c>
      <c r="AO48" s="2" t="s">
        <v>84</v>
      </c>
      <c r="AP48" s="2" t="s">
        <v>84</v>
      </c>
      <c r="AQ48" s="2" t="s">
        <v>84</v>
      </c>
      <c r="AR48" s="2" t="s">
        <v>84</v>
      </c>
      <c r="AS48" s="2" t="s">
        <v>84</v>
      </c>
      <c r="AT48" s="2" t="s">
        <v>84</v>
      </c>
      <c r="AU48" s="2" t="s">
        <v>80</v>
      </c>
      <c r="AV48" s="2" t="s">
        <v>80</v>
      </c>
      <c r="AW48" s="2"/>
      <c r="AX48" s="2" t="s">
        <v>80</v>
      </c>
      <c r="AY48" s="2" t="s">
        <v>79</v>
      </c>
      <c r="AZ48" s="2" t="s">
        <v>79</v>
      </c>
      <c r="BA48" s="2" t="s">
        <v>851</v>
      </c>
      <c r="BB48" s="2" t="s">
        <v>100</v>
      </c>
      <c r="BC48" s="2" t="s">
        <v>852</v>
      </c>
      <c r="BD48" s="2" t="s">
        <v>853</v>
      </c>
      <c r="BE48" s="2" t="s">
        <v>79</v>
      </c>
      <c r="BF48" s="2" t="s">
        <v>854</v>
      </c>
      <c r="BG48" s="2" t="s">
        <v>855</v>
      </c>
      <c r="BH48" s="2" t="s">
        <v>856</v>
      </c>
      <c r="BI48" s="2" t="s">
        <v>79</v>
      </c>
      <c r="BJ48" s="2" t="s">
        <v>107</v>
      </c>
      <c r="BK48" s="2" t="s">
        <v>857</v>
      </c>
      <c r="BL48" s="2" t="s">
        <v>79</v>
      </c>
      <c r="BM48" s="2" t="s">
        <v>109</v>
      </c>
    </row>
    <row r="49" spans="1:65" ht="409.5" x14ac:dyDescent="0.25">
      <c r="A49" s="2" t="s">
        <v>858</v>
      </c>
      <c r="B49" s="2">
        <v>2021</v>
      </c>
      <c r="C49" s="2" t="s">
        <v>111</v>
      </c>
      <c r="D49" s="2" t="s">
        <v>79</v>
      </c>
      <c r="E49" s="2" t="s">
        <v>867</v>
      </c>
      <c r="F49" s="2" t="s">
        <v>92</v>
      </c>
      <c r="G49" s="2" t="s">
        <v>872</v>
      </c>
      <c r="H49" s="2" t="s">
        <v>79</v>
      </c>
      <c r="I49" s="2" t="s">
        <v>866</v>
      </c>
      <c r="J49" s="2" t="s">
        <v>868</v>
      </c>
      <c r="K49" s="2" t="s">
        <v>92</v>
      </c>
      <c r="L49" s="2" t="s">
        <v>861</v>
      </c>
      <c r="M49" s="2" t="s">
        <v>79</v>
      </c>
      <c r="N49" s="2" t="s">
        <v>79</v>
      </c>
      <c r="O49" s="2" t="s">
        <v>862</v>
      </c>
      <c r="P49" s="2" t="s">
        <v>89</v>
      </c>
      <c r="Q49" s="2" t="s">
        <v>116</v>
      </c>
      <c r="R49" s="2" t="s">
        <v>79</v>
      </c>
      <c r="S49" s="2" t="s">
        <v>79</v>
      </c>
      <c r="T49" s="2" t="s">
        <v>863</v>
      </c>
      <c r="U49" s="2"/>
      <c r="V49" s="2" t="s">
        <v>155</v>
      </c>
      <c r="W49" s="2" t="s">
        <v>80</v>
      </c>
      <c r="X49" s="2"/>
      <c r="Y49" s="2" t="s">
        <v>92</v>
      </c>
      <c r="Z49" s="2" t="s">
        <v>859</v>
      </c>
      <c r="AA49" s="2" t="s">
        <v>864</v>
      </c>
      <c r="AB49" s="2" t="s">
        <v>865</v>
      </c>
      <c r="AC49" s="2" t="s">
        <v>95</v>
      </c>
      <c r="AD49" s="2" t="s">
        <v>80</v>
      </c>
      <c r="AE49" s="2"/>
      <c r="AF49" s="2"/>
      <c r="AG49" s="2"/>
      <c r="AH49" s="2" t="s">
        <v>860</v>
      </c>
      <c r="AI49" s="2" t="s">
        <v>82</v>
      </c>
      <c r="AJ49" s="2">
        <v>8.5</v>
      </c>
      <c r="AK49" s="2" t="s">
        <v>84</v>
      </c>
      <c r="AL49" s="2" t="s">
        <v>84</v>
      </c>
      <c r="AM49" s="2" t="s">
        <v>84</v>
      </c>
      <c r="AN49" s="2" t="s">
        <v>84</v>
      </c>
      <c r="AO49" s="2" t="s">
        <v>84</v>
      </c>
      <c r="AP49" s="2" t="s">
        <v>84</v>
      </c>
      <c r="AQ49" s="2" t="s">
        <v>84</v>
      </c>
      <c r="AR49" s="2" t="s">
        <v>86</v>
      </c>
      <c r="AS49" s="2" t="s">
        <v>84</v>
      </c>
      <c r="AT49" s="2" t="s">
        <v>85</v>
      </c>
      <c r="AU49" s="2" t="s">
        <v>80</v>
      </c>
      <c r="AV49" s="2" t="s">
        <v>80</v>
      </c>
      <c r="AW49" s="2"/>
      <c r="AX49" s="2" t="s">
        <v>80</v>
      </c>
      <c r="AY49" s="2" t="s">
        <v>79</v>
      </c>
      <c r="AZ49" s="2" t="s">
        <v>79</v>
      </c>
      <c r="BA49" s="2" t="s">
        <v>869</v>
      </c>
      <c r="BB49" s="2" t="s">
        <v>100</v>
      </c>
      <c r="BC49" s="2" t="s">
        <v>870</v>
      </c>
      <c r="BD49" s="2" t="s">
        <v>202</v>
      </c>
      <c r="BE49" s="2" t="s">
        <v>79</v>
      </c>
      <c r="BF49" s="2" t="s">
        <v>168</v>
      </c>
      <c r="BG49" s="2" t="s">
        <v>871</v>
      </c>
      <c r="BH49" s="2" t="s">
        <v>153</v>
      </c>
      <c r="BI49" s="2" t="s">
        <v>79</v>
      </c>
      <c r="BJ49" s="2" t="s">
        <v>107</v>
      </c>
      <c r="BK49" s="2" t="s">
        <v>873</v>
      </c>
      <c r="BL49" s="2" t="s">
        <v>79</v>
      </c>
      <c r="BM49" s="2" t="s">
        <v>109</v>
      </c>
    </row>
    <row r="50" spans="1:65" ht="409.5" x14ac:dyDescent="0.25">
      <c r="A50" s="2" t="s">
        <v>874</v>
      </c>
      <c r="B50" s="2">
        <v>2021</v>
      </c>
      <c r="C50" s="2" t="s">
        <v>143</v>
      </c>
      <c r="D50" s="2" t="s">
        <v>79</v>
      </c>
      <c r="E50" s="2" t="s">
        <v>881</v>
      </c>
      <c r="F50" s="2" t="s">
        <v>92</v>
      </c>
      <c r="G50" s="2" t="s">
        <v>886</v>
      </c>
      <c r="H50" s="2" t="s">
        <v>106</v>
      </c>
      <c r="I50" s="2" t="s">
        <v>880</v>
      </c>
      <c r="J50" s="2" t="s">
        <v>882</v>
      </c>
      <c r="K50" s="2" t="s">
        <v>80</v>
      </c>
      <c r="L50" s="2" t="s">
        <v>876</v>
      </c>
      <c r="M50" s="2" t="s">
        <v>79</v>
      </c>
      <c r="N50" s="2" t="s">
        <v>79</v>
      </c>
      <c r="O50" s="2" t="s">
        <v>877</v>
      </c>
      <c r="P50" s="2" t="s">
        <v>143</v>
      </c>
      <c r="Q50" s="2" t="s">
        <v>116</v>
      </c>
      <c r="R50" s="2" t="s">
        <v>79</v>
      </c>
      <c r="S50" s="2" t="s">
        <v>79</v>
      </c>
      <c r="T50" s="2" t="s">
        <v>878</v>
      </c>
      <c r="U50" s="2"/>
      <c r="V50" s="2" t="s">
        <v>155</v>
      </c>
      <c r="W50" s="2" t="s">
        <v>80</v>
      </c>
      <c r="X50" s="2"/>
      <c r="Y50" s="2" t="s">
        <v>92</v>
      </c>
      <c r="Z50" s="2" t="s">
        <v>112</v>
      </c>
      <c r="AA50" s="2" t="s">
        <v>864</v>
      </c>
      <c r="AB50" s="2" t="s">
        <v>879</v>
      </c>
      <c r="AC50" s="2" t="s">
        <v>95</v>
      </c>
      <c r="AD50" s="2" t="s">
        <v>80</v>
      </c>
      <c r="AE50" s="2"/>
      <c r="AF50" s="2"/>
      <c r="AG50" s="2"/>
      <c r="AH50" s="2" t="s">
        <v>875</v>
      </c>
      <c r="AI50" s="2" t="s">
        <v>82</v>
      </c>
      <c r="AJ50" s="2">
        <v>8.5</v>
      </c>
      <c r="AK50" s="2" t="s">
        <v>84</v>
      </c>
      <c r="AL50" s="2" t="s">
        <v>84</v>
      </c>
      <c r="AM50" s="2" t="s">
        <v>84</v>
      </c>
      <c r="AN50" s="2" t="s">
        <v>84</v>
      </c>
      <c r="AO50" s="2" t="s">
        <v>84</v>
      </c>
      <c r="AP50" s="2" t="s">
        <v>84</v>
      </c>
      <c r="AQ50" s="2" t="s">
        <v>84</v>
      </c>
      <c r="AR50" s="2" t="s">
        <v>86</v>
      </c>
      <c r="AS50" s="2" t="s">
        <v>84</v>
      </c>
      <c r="AT50" s="2" t="s">
        <v>85</v>
      </c>
      <c r="AU50" s="2" t="s">
        <v>80</v>
      </c>
      <c r="AV50" s="2" t="s">
        <v>80</v>
      </c>
      <c r="AW50" s="2"/>
      <c r="AX50" s="2" t="s">
        <v>80</v>
      </c>
      <c r="AY50" s="2" t="s">
        <v>79</v>
      </c>
      <c r="AZ50" s="2" t="s">
        <v>92</v>
      </c>
      <c r="BA50" s="2" t="s">
        <v>883</v>
      </c>
      <c r="BB50" s="2" t="s">
        <v>100</v>
      </c>
      <c r="BC50" s="2" t="s">
        <v>884</v>
      </c>
      <c r="BD50" s="2" t="s">
        <v>202</v>
      </c>
      <c r="BE50" s="2" t="s">
        <v>79</v>
      </c>
      <c r="BF50" s="2" t="s">
        <v>854</v>
      </c>
      <c r="BG50" s="2" t="s">
        <v>885</v>
      </c>
      <c r="BH50" s="2" t="s">
        <v>648</v>
      </c>
      <c r="BI50" s="2" t="s">
        <v>79</v>
      </c>
      <c r="BJ50" s="2" t="s">
        <v>107</v>
      </c>
      <c r="BK50" s="2" t="s">
        <v>887</v>
      </c>
      <c r="BL50" s="2" t="s">
        <v>79</v>
      </c>
      <c r="BM50" s="2" t="s">
        <v>109</v>
      </c>
    </row>
    <row r="51" spans="1:65" ht="409.5" x14ac:dyDescent="0.25">
      <c r="A51" s="2" t="s">
        <v>888</v>
      </c>
      <c r="B51" s="2">
        <v>2021</v>
      </c>
      <c r="C51" s="2" t="s">
        <v>111</v>
      </c>
      <c r="D51" s="2" t="s">
        <v>79</v>
      </c>
      <c r="E51" s="2" t="s">
        <v>896</v>
      </c>
      <c r="F51" s="2" t="s">
        <v>92</v>
      </c>
      <c r="G51" s="2" t="s">
        <v>901</v>
      </c>
      <c r="H51" s="2" t="s">
        <v>79</v>
      </c>
      <c r="I51" s="2" t="s">
        <v>895</v>
      </c>
      <c r="J51" s="2" t="s">
        <v>897</v>
      </c>
      <c r="K51" s="2" t="s">
        <v>92</v>
      </c>
      <c r="L51" s="2" t="s">
        <v>891</v>
      </c>
      <c r="M51" s="2" t="s">
        <v>79</v>
      </c>
      <c r="N51" s="2" t="s">
        <v>79</v>
      </c>
      <c r="O51" s="2" t="s">
        <v>892</v>
      </c>
      <c r="P51" s="2" t="s">
        <v>89</v>
      </c>
      <c r="Q51" s="2" t="s">
        <v>90</v>
      </c>
      <c r="R51" s="2" t="s">
        <v>79</v>
      </c>
      <c r="S51" s="2" t="s">
        <v>79</v>
      </c>
      <c r="T51" s="2" t="s">
        <v>893</v>
      </c>
      <c r="U51" s="2"/>
      <c r="V51" s="2" t="s">
        <v>155</v>
      </c>
      <c r="W51" s="2" t="s">
        <v>80</v>
      </c>
      <c r="X51" s="2"/>
      <c r="Y51" s="2" t="s">
        <v>92</v>
      </c>
      <c r="Z51" s="2" t="s">
        <v>889</v>
      </c>
      <c r="AA51" s="2" t="s">
        <v>243</v>
      </c>
      <c r="AB51" s="2" t="s">
        <v>894</v>
      </c>
      <c r="AC51" s="2" t="s">
        <v>95</v>
      </c>
      <c r="AD51" s="2" t="s">
        <v>80</v>
      </c>
      <c r="AE51" s="2"/>
      <c r="AF51" s="2"/>
      <c r="AG51" s="2"/>
      <c r="AH51" s="2" t="s">
        <v>890</v>
      </c>
      <c r="AI51" s="2" t="s">
        <v>82</v>
      </c>
      <c r="AJ51" s="2">
        <v>8.5</v>
      </c>
      <c r="AK51" s="2" t="s">
        <v>84</v>
      </c>
      <c r="AL51" s="2" t="s">
        <v>84</v>
      </c>
      <c r="AM51" s="2" t="s">
        <v>84</v>
      </c>
      <c r="AN51" s="2" t="s">
        <v>84</v>
      </c>
      <c r="AO51" s="2" t="s">
        <v>84</v>
      </c>
      <c r="AP51" s="2" t="s">
        <v>84</v>
      </c>
      <c r="AQ51" s="2" t="s">
        <v>84</v>
      </c>
      <c r="AR51" s="2" t="s">
        <v>86</v>
      </c>
      <c r="AS51" s="2" t="s">
        <v>85</v>
      </c>
      <c r="AT51" s="2" t="s">
        <v>84</v>
      </c>
      <c r="AU51" s="2" t="s">
        <v>80</v>
      </c>
      <c r="AV51" s="2" t="s">
        <v>80</v>
      </c>
      <c r="AW51" s="2"/>
      <c r="AX51" s="2" t="s">
        <v>80</v>
      </c>
      <c r="AY51" s="2" t="s">
        <v>79</v>
      </c>
      <c r="AZ51" s="2" t="s">
        <v>79</v>
      </c>
      <c r="BA51" s="2" t="s">
        <v>898</v>
      </c>
      <c r="BB51" s="2" t="s">
        <v>100</v>
      </c>
      <c r="BC51" s="2" t="s">
        <v>899</v>
      </c>
      <c r="BD51" s="2" t="s">
        <v>709</v>
      </c>
      <c r="BE51" s="2" t="s">
        <v>79</v>
      </c>
      <c r="BF51" s="2" t="s">
        <v>168</v>
      </c>
      <c r="BG51" s="2" t="s">
        <v>900</v>
      </c>
      <c r="BH51" s="2" t="s">
        <v>153</v>
      </c>
      <c r="BI51" s="2" t="s">
        <v>79</v>
      </c>
      <c r="BJ51" s="2" t="s">
        <v>143</v>
      </c>
      <c r="BK51" s="2" t="s">
        <v>902</v>
      </c>
      <c r="BL51" s="2" t="s">
        <v>79</v>
      </c>
      <c r="BM51" s="2" t="s">
        <v>109</v>
      </c>
    </row>
    <row r="52" spans="1:65" ht="409.5" x14ac:dyDescent="0.25">
      <c r="A52" s="2" t="s">
        <v>903</v>
      </c>
      <c r="B52" s="2">
        <v>2021</v>
      </c>
      <c r="C52" s="2" t="s">
        <v>189</v>
      </c>
      <c r="D52" s="2" t="s">
        <v>79</v>
      </c>
      <c r="E52" s="2" t="s">
        <v>912</v>
      </c>
      <c r="F52" s="2" t="s">
        <v>92</v>
      </c>
      <c r="G52" s="2" t="s">
        <v>917</v>
      </c>
      <c r="H52" s="2" t="s">
        <v>79</v>
      </c>
      <c r="I52" s="2" t="s">
        <v>911</v>
      </c>
      <c r="J52" s="2" t="s">
        <v>913</v>
      </c>
      <c r="K52" s="2" t="s">
        <v>92</v>
      </c>
      <c r="L52" s="2" t="s">
        <v>906</v>
      </c>
      <c r="M52" s="2" t="s">
        <v>79</v>
      </c>
      <c r="N52" s="2" t="s">
        <v>79</v>
      </c>
      <c r="O52" s="2" t="s">
        <v>907</v>
      </c>
      <c r="P52" s="2" t="s">
        <v>842</v>
      </c>
      <c r="Q52" s="2" t="s">
        <v>116</v>
      </c>
      <c r="R52" s="2" t="s">
        <v>79</v>
      </c>
      <c r="S52" s="2" t="s">
        <v>79</v>
      </c>
      <c r="T52" s="2" t="s">
        <v>908</v>
      </c>
      <c r="U52" s="2"/>
      <c r="V52" s="2" t="s">
        <v>155</v>
      </c>
      <c r="W52" s="2" t="s">
        <v>80</v>
      </c>
      <c r="X52" s="2"/>
      <c r="Y52" s="2" t="s">
        <v>92</v>
      </c>
      <c r="Z52" s="2" t="s">
        <v>904</v>
      </c>
      <c r="AA52" s="2" t="s">
        <v>909</v>
      </c>
      <c r="AB52" s="2" t="s">
        <v>910</v>
      </c>
      <c r="AC52" s="2" t="s">
        <v>95</v>
      </c>
      <c r="AD52" s="2" t="s">
        <v>80</v>
      </c>
      <c r="AE52" s="2"/>
      <c r="AF52" s="2"/>
      <c r="AG52" s="2"/>
      <c r="AH52" s="2" t="s">
        <v>905</v>
      </c>
      <c r="AI52" s="2" t="s">
        <v>82</v>
      </c>
      <c r="AJ52" s="2">
        <v>8.5</v>
      </c>
      <c r="AK52" s="2" t="s">
        <v>84</v>
      </c>
      <c r="AL52" s="2" t="s">
        <v>84</v>
      </c>
      <c r="AM52" s="2" t="s">
        <v>84</v>
      </c>
      <c r="AN52" s="2" t="s">
        <v>84</v>
      </c>
      <c r="AO52" s="2" t="s">
        <v>84</v>
      </c>
      <c r="AP52" s="2" t="s">
        <v>84</v>
      </c>
      <c r="AQ52" s="2" t="s">
        <v>84</v>
      </c>
      <c r="AR52" s="2" t="s">
        <v>86</v>
      </c>
      <c r="AS52" s="2" t="s">
        <v>84</v>
      </c>
      <c r="AT52" s="2" t="s">
        <v>85</v>
      </c>
      <c r="AU52" s="2" t="s">
        <v>80</v>
      </c>
      <c r="AV52" s="2" t="s">
        <v>80</v>
      </c>
      <c r="AW52" s="2"/>
      <c r="AX52" s="2" t="s">
        <v>80</v>
      </c>
      <c r="AY52" s="2" t="s">
        <v>79</v>
      </c>
      <c r="AZ52" s="2" t="s">
        <v>79</v>
      </c>
      <c r="BA52" s="2" t="s">
        <v>914</v>
      </c>
      <c r="BB52" s="2" t="s">
        <v>100</v>
      </c>
      <c r="BC52" s="2" t="s">
        <v>915</v>
      </c>
      <c r="BD52" s="2" t="s">
        <v>286</v>
      </c>
      <c r="BE52" s="2" t="s">
        <v>79</v>
      </c>
      <c r="BF52" s="2" t="s">
        <v>287</v>
      </c>
      <c r="BG52" s="2" t="s">
        <v>916</v>
      </c>
      <c r="BH52" s="2" t="s">
        <v>856</v>
      </c>
      <c r="BI52" s="2" t="s">
        <v>79</v>
      </c>
      <c r="BJ52" s="2" t="s">
        <v>107</v>
      </c>
      <c r="BK52" s="2" t="s">
        <v>918</v>
      </c>
      <c r="BL52" s="2" t="s">
        <v>79</v>
      </c>
      <c r="BM52" s="2" t="s">
        <v>109</v>
      </c>
    </row>
    <row r="53" spans="1:65" ht="409.5" x14ac:dyDescent="0.25">
      <c r="A53" s="2" t="s">
        <v>919</v>
      </c>
      <c r="B53" s="2">
        <v>2021</v>
      </c>
      <c r="C53" s="2" t="s">
        <v>111</v>
      </c>
      <c r="D53" s="2" t="s">
        <v>79</v>
      </c>
      <c r="E53" s="2" t="s">
        <v>928</v>
      </c>
      <c r="F53" s="2" t="s">
        <v>80</v>
      </c>
      <c r="G53" s="2"/>
      <c r="H53" s="2" t="s">
        <v>79</v>
      </c>
      <c r="I53" s="2" t="s">
        <v>927</v>
      </c>
      <c r="J53" s="2" t="s">
        <v>929</v>
      </c>
      <c r="K53" s="2" t="s">
        <v>92</v>
      </c>
      <c r="L53" s="2" t="s">
        <v>921</v>
      </c>
      <c r="M53" s="2" t="s">
        <v>79</v>
      </c>
      <c r="N53" s="2" t="s">
        <v>79</v>
      </c>
      <c r="O53" s="2" t="s">
        <v>922</v>
      </c>
      <c r="P53" s="2" t="s">
        <v>842</v>
      </c>
      <c r="Q53" s="2" t="s">
        <v>116</v>
      </c>
      <c r="R53" s="2" t="s">
        <v>79</v>
      </c>
      <c r="S53" s="2" t="s">
        <v>79</v>
      </c>
      <c r="T53" s="2" t="s">
        <v>923</v>
      </c>
      <c r="U53" s="2" t="s">
        <v>143</v>
      </c>
      <c r="V53" s="2" t="s">
        <v>924</v>
      </c>
      <c r="W53" s="2" t="s">
        <v>79</v>
      </c>
      <c r="X53" s="2" t="s">
        <v>925</v>
      </c>
      <c r="Y53" s="2" t="s">
        <v>92</v>
      </c>
      <c r="Z53" s="2" t="s">
        <v>502</v>
      </c>
      <c r="AA53" s="2" t="s">
        <v>465</v>
      </c>
      <c r="AB53" s="2" t="s">
        <v>926</v>
      </c>
      <c r="AC53" s="2" t="s">
        <v>95</v>
      </c>
      <c r="AD53" s="2" t="s">
        <v>80</v>
      </c>
      <c r="AE53" s="2"/>
      <c r="AF53" s="2"/>
      <c r="AG53" s="2"/>
      <c r="AH53" s="2" t="s">
        <v>920</v>
      </c>
      <c r="AI53" s="2" t="s">
        <v>82</v>
      </c>
      <c r="AJ53" s="2">
        <v>9</v>
      </c>
      <c r="AK53" s="2" t="s">
        <v>84</v>
      </c>
      <c r="AL53" s="2" t="s">
        <v>84</v>
      </c>
      <c r="AM53" s="2" t="s">
        <v>84</v>
      </c>
      <c r="AN53" s="2" t="s">
        <v>84</v>
      </c>
      <c r="AO53" s="2" t="s">
        <v>84</v>
      </c>
      <c r="AP53" s="2" t="s">
        <v>84</v>
      </c>
      <c r="AQ53" s="2" t="s">
        <v>85</v>
      </c>
      <c r="AR53" s="2" t="s">
        <v>84</v>
      </c>
      <c r="AS53" s="2" t="s">
        <v>84</v>
      </c>
      <c r="AT53" s="2" t="s">
        <v>85</v>
      </c>
      <c r="AU53" s="2" t="s">
        <v>79</v>
      </c>
      <c r="AV53" s="2" t="s">
        <v>79</v>
      </c>
      <c r="AW53" s="2" t="s">
        <v>930</v>
      </c>
      <c r="AX53" s="2" t="s">
        <v>106</v>
      </c>
      <c r="AY53" s="2" t="s">
        <v>79</v>
      </c>
      <c r="AZ53" s="2" t="s">
        <v>79</v>
      </c>
      <c r="BA53" s="2" t="s">
        <v>931</v>
      </c>
      <c r="BB53" s="2" t="s">
        <v>100</v>
      </c>
      <c r="BC53" s="2" t="s">
        <v>932</v>
      </c>
      <c r="BD53" s="2" t="s">
        <v>709</v>
      </c>
      <c r="BE53" s="2" t="s">
        <v>79</v>
      </c>
      <c r="BF53" s="2" t="s">
        <v>287</v>
      </c>
      <c r="BG53" s="2" t="s">
        <v>933</v>
      </c>
      <c r="BH53" s="2" t="s">
        <v>856</v>
      </c>
      <c r="BI53" s="2" t="s">
        <v>79</v>
      </c>
      <c r="BJ53" s="2" t="s">
        <v>206</v>
      </c>
      <c r="BK53" s="2" t="s">
        <v>934</v>
      </c>
      <c r="BL53" s="2" t="s">
        <v>79</v>
      </c>
      <c r="BM53" s="2" t="s">
        <v>109</v>
      </c>
    </row>
    <row r="54" spans="1:65" ht="409.5" x14ac:dyDescent="0.25">
      <c r="A54" s="2" t="s">
        <v>935</v>
      </c>
      <c r="B54" s="2">
        <v>2023</v>
      </c>
      <c r="C54" s="2" t="s">
        <v>111</v>
      </c>
      <c r="D54" s="2" t="s">
        <v>79</v>
      </c>
      <c r="E54" s="2" t="s">
        <v>943</v>
      </c>
      <c r="F54" s="2" t="s">
        <v>92</v>
      </c>
      <c r="G54" s="2" t="s">
        <v>948</v>
      </c>
      <c r="H54" s="2" t="s">
        <v>79</v>
      </c>
      <c r="I54" s="2" t="s">
        <v>942</v>
      </c>
      <c r="J54" s="2" t="s">
        <v>944</v>
      </c>
      <c r="K54" s="2" t="s">
        <v>92</v>
      </c>
      <c r="L54" s="2" t="s">
        <v>938</v>
      </c>
      <c r="M54" s="2" t="s">
        <v>79</v>
      </c>
      <c r="N54" s="2" t="s">
        <v>79</v>
      </c>
      <c r="O54" s="2" t="s">
        <v>939</v>
      </c>
      <c r="P54" s="2" t="s">
        <v>89</v>
      </c>
      <c r="Q54" s="2" t="s">
        <v>116</v>
      </c>
      <c r="R54" s="2" t="s">
        <v>79</v>
      </c>
      <c r="S54" s="2" t="s">
        <v>92</v>
      </c>
      <c r="T54" s="2" t="s">
        <v>940</v>
      </c>
      <c r="U54" s="2"/>
      <c r="V54" s="2" t="s">
        <v>155</v>
      </c>
      <c r="W54" s="2" t="s">
        <v>80</v>
      </c>
      <c r="X54" s="2"/>
      <c r="Y54" s="2" t="s">
        <v>92</v>
      </c>
      <c r="Z54" s="2" t="s">
        <v>936</v>
      </c>
      <c r="AA54" s="2" t="s">
        <v>279</v>
      </c>
      <c r="AB54" s="2" t="s">
        <v>941</v>
      </c>
      <c r="AC54" s="2" t="s">
        <v>95</v>
      </c>
      <c r="AD54" s="2" t="s">
        <v>80</v>
      </c>
      <c r="AE54" s="2"/>
      <c r="AF54" s="2"/>
      <c r="AG54" s="2"/>
      <c r="AH54" s="2" t="s">
        <v>937</v>
      </c>
      <c r="AI54" s="2" t="s">
        <v>82</v>
      </c>
      <c r="AJ54" s="2">
        <v>8.5</v>
      </c>
      <c r="AK54" s="2" t="s">
        <v>84</v>
      </c>
      <c r="AL54" s="2" t="s">
        <v>84</v>
      </c>
      <c r="AM54" s="2" t="s">
        <v>84</v>
      </c>
      <c r="AN54" s="2" t="s">
        <v>84</v>
      </c>
      <c r="AO54" s="2" t="s">
        <v>84</v>
      </c>
      <c r="AP54" s="2" t="s">
        <v>84</v>
      </c>
      <c r="AQ54" s="2" t="s">
        <v>84</v>
      </c>
      <c r="AR54" s="2" t="s">
        <v>86</v>
      </c>
      <c r="AS54" s="2" t="s">
        <v>84</v>
      </c>
      <c r="AT54" s="2" t="s">
        <v>85</v>
      </c>
      <c r="AU54" s="2" t="s">
        <v>106</v>
      </c>
      <c r="AV54" s="2" t="s">
        <v>80</v>
      </c>
      <c r="AW54" s="2"/>
      <c r="AX54" s="2" t="s">
        <v>80</v>
      </c>
      <c r="AY54" s="2" t="s">
        <v>79</v>
      </c>
      <c r="AZ54" s="2" t="s">
        <v>92</v>
      </c>
      <c r="BA54" s="2" t="s">
        <v>945</v>
      </c>
      <c r="BB54" s="2" t="s">
        <v>100</v>
      </c>
      <c r="BC54" s="2" t="s">
        <v>946</v>
      </c>
      <c r="BD54" s="2" t="s">
        <v>286</v>
      </c>
      <c r="BE54" s="2" t="s">
        <v>79</v>
      </c>
      <c r="BF54" s="2" t="s">
        <v>854</v>
      </c>
      <c r="BG54" s="2" t="s">
        <v>947</v>
      </c>
      <c r="BH54" s="2" t="s">
        <v>153</v>
      </c>
      <c r="BI54" s="2" t="s">
        <v>79</v>
      </c>
      <c r="BJ54" s="2" t="s">
        <v>107</v>
      </c>
      <c r="BK54" s="2" t="s">
        <v>949</v>
      </c>
      <c r="BL54" s="2" t="s">
        <v>79</v>
      </c>
      <c r="BM54" s="2" t="s">
        <v>109</v>
      </c>
    </row>
    <row r="55" spans="1:65" ht="409.5" x14ac:dyDescent="0.25">
      <c r="A55" s="2" t="s">
        <v>950</v>
      </c>
      <c r="B55" s="2">
        <v>2022</v>
      </c>
      <c r="C55" s="2" t="s">
        <v>111</v>
      </c>
      <c r="D55" s="2" t="s">
        <v>79</v>
      </c>
      <c r="E55" s="2" t="s">
        <v>959</v>
      </c>
      <c r="F55" s="2" t="s">
        <v>79</v>
      </c>
      <c r="G55" s="2" t="s">
        <v>966</v>
      </c>
      <c r="H55" s="2" t="s">
        <v>79</v>
      </c>
      <c r="I55" s="2" t="s">
        <v>958</v>
      </c>
      <c r="J55" s="2" t="s">
        <v>960</v>
      </c>
      <c r="K55" s="2" t="s">
        <v>79</v>
      </c>
      <c r="L55" s="2" t="s">
        <v>953</v>
      </c>
      <c r="M55" s="2" t="s">
        <v>79</v>
      </c>
      <c r="N55" s="2" t="s">
        <v>79</v>
      </c>
      <c r="O55" s="2" t="s">
        <v>954</v>
      </c>
      <c r="P55" s="2" t="s">
        <v>143</v>
      </c>
      <c r="Q55" s="2" t="s">
        <v>90</v>
      </c>
      <c r="R55" s="2" t="s">
        <v>79</v>
      </c>
      <c r="S55" s="2" t="s">
        <v>92</v>
      </c>
      <c r="T55" s="2" t="s">
        <v>955</v>
      </c>
      <c r="U55" s="2"/>
      <c r="V55" s="2" t="s">
        <v>155</v>
      </c>
      <c r="W55" s="2" t="s">
        <v>80</v>
      </c>
      <c r="X55" s="2"/>
      <c r="Y55" s="2" t="s">
        <v>92</v>
      </c>
      <c r="Z55" s="2" t="s">
        <v>951</v>
      </c>
      <c r="AA55" s="2" t="s">
        <v>956</v>
      </c>
      <c r="AB55" s="2" t="s">
        <v>957</v>
      </c>
      <c r="AC55" s="2" t="s">
        <v>95</v>
      </c>
      <c r="AD55" s="2" t="s">
        <v>80</v>
      </c>
      <c r="AE55" s="2"/>
      <c r="AF55" s="2"/>
      <c r="AG55" s="2"/>
      <c r="AH55" s="2" t="s">
        <v>952</v>
      </c>
      <c r="AI55" s="2" t="s">
        <v>82</v>
      </c>
      <c r="AJ55" s="2">
        <v>8.5</v>
      </c>
      <c r="AK55" s="2" t="s">
        <v>84</v>
      </c>
      <c r="AL55" s="2" t="s">
        <v>84</v>
      </c>
      <c r="AM55" s="2" t="s">
        <v>84</v>
      </c>
      <c r="AN55" s="2" t="s">
        <v>84</v>
      </c>
      <c r="AO55" s="2" t="s">
        <v>84</v>
      </c>
      <c r="AP55" s="2" t="s">
        <v>84</v>
      </c>
      <c r="AQ55" s="2" t="s">
        <v>84</v>
      </c>
      <c r="AR55" s="2" t="s">
        <v>86</v>
      </c>
      <c r="AS55" s="2" t="s">
        <v>84</v>
      </c>
      <c r="AT55" s="2" t="s">
        <v>85</v>
      </c>
      <c r="AU55" s="2" t="s">
        <v>106</v>
      </c>
      <c r="AV55" s="2" t="s">
        <v>80</v>
      </c>
      <c r="AW55" s="2"/>
      <c r="AX55" s="2" t="s">
        <v>80</v>
      </c>
      <c r="AY55" s="2" t="s">
        <v>79</v>
      </c>
      <c r="AZ55" s="2" t="s">
        <v>92</v>
      </c>
      <c r="BA55" s="2" t="s">
        <v>961</v>
      </c>
      <c r="BB55" s="2" t="s">
        <v>100</v>
      </c>
      <c r="BC55" s="2" t="s">
        <v>962</v>
      </c>
      <c r="BD55" s="2" t="s">
        <v>963</v>
      </c>
      <c r="BE55" s="2" t="s">
        <v>79</v>
      </c>
      <c r="BF55" s="2" t="s">
        <v>964</v>
      </c>
      <c r="BG55" s="2" t="s">
        <v>965</v>
      </c>
      <c r="BH55" s="2" t="s">
        <v>758</v>
      </c>
      <c r="BI55" s="2" t="s">
        <v>79</v>
      </c>
      <c r="BJ55" s="2" t="s">
        <v>429</v>
      </c>
      <c r="BK55" s="2" t="s">
        <v>967</v>
      </c>
      <c r="BL55" s="2" t="s">
        <v>79</v>
      </c>
      <c r="BM55" s="2" t="s">
        <v>109</v>
      </c>
    </row>
    <row r="56" spans="1:65" ht="409.5" x14ac:dyDescent="0.25">
      <c r="A56" s="2" t="s">
        <v>968</v>
      </c>
      <c r="B56" s="2">
        <v>2022</v>
      </c>
      <c r="C56" s="2" t="s">
        <v>143</v>
      </c>
      <c r="D56" s="2" t="s">
        <v>79</v>
      </c>
      <c r="E56" s="2" t="s">
        <v>977</v>
      </c>
      <c r="F56" s="2" t="s">
        <v>80</v>
      </c>
      <c r="G56" s="2"/>
      <c r="H56" s="2" t="s">
        <v>80</v>
      </c>
      <c r="I56" s="2" t="s">
        <v>976</v>
      </c>
      <c r="J56" s="2" t="s">
        <v>978</v>
      </c>
      <c r="K56" s="2" t="s">
        <v>80</v>
      </c>
      <c r="L56" s="2" t="s">
        <v>970</v>
      </c>
      <c r="M56" s="2" t="s">
        <v>79</v>
      </c>
      <c r="N56" s="2" t="s">
        <v>79</v>
      </c>
      <c r="O56" s="2" t="s">
        <v>971</v>
      </c>
      <c r="P56" s="2" t="s">
        <v>143</v>
      </c>
      <c r="Q56" s="2" t="s">
        <v>90</v>
      </c>
      <c r="R56" s="2" t="s">
        <v>79</v>
      </c>
      <c r="S56" s="2" t="s">
        <v>92</v>
      </c>
      <c r="T56" s="2" t="s">
        <v>972</v>
      </c>
      <c r="U56" s="2" t="s">
        <v>276</v>
      </c>
      <c r="V56" s="2" t="s">
        <v>973</v>
      </c>
      <c r="W56" s="2" t="s">
        <v>79</v>
      </c>
      <c r="X56" s="2" t="s">
        <v>974</v>
      </c>
      <c r="Y56" s="2" t="s">
        <v>92</v>
      </c>
      <c r="Z56" s="2" t="s">
        <v>951</v>
      </c>
      <c r="AA56" s="2" t="s">
        <v>734</v>
      </c>
      <c r="AB56" s="2" t="s">
        <v>975</v>
      </c>
      <c r="AC56" s="2" t="s">
        <v>95</v>
      </c>
      <c r="AD56" s="2" t="s">
        <v>80</v>
      </c>
      <c r="AE56" s="2"/>
      <c r="AF56" s="2"/>
      <c r="AG56" s="2"/>
      <c r="AH56" s="2" t="s">
        <v>969</v>
      </c>
      <c r="AI56" s="2" t="s">
        <v>82</v>
      </c>
      <c r="AJ56" s="2">
        <v>8.5</v>
      </c>
      <c r="AK56" s="2" t="s">
        <v>84</v>
      </c>
      <c r="AL56" s="2" t="s">
        <v>84</v>
      </c>
      <c r="AM56" s="2" t="s">
        <v>84</v>
      </c>
      <c r="AN56" s="2" t="s">
        <v>86</v>
      </c>
      <c r="AO56" s="2" t="s">
        <v>84</v>
      </c>
      <c r="AP56" s="2" t="s">
        <v>84</v>
      </c>
      <c r="AQ56" s="2" t="s">
        <v>84</v>
      </c>
      <c r="AR56" s="2" t="s">
        <v>84</v>
      </c>
      <c r="AS56" s="2" t="s">
        <v>85</v>
      </c>
      <c r="AT56" s="2" t="s">
        <v>84</v>
      </c>
      <c r="AU56" s="2" t="s">
        <v>106</v>
      </c>
      <c r="AV56" s="2" t="s">
        <v>80</v>
      </c>
      <c r="AW56" s="2"/>
      <c r="AX56" s="2" t="s">
        <v>80</v>
      </c>
      <c r="AY56" s="2" t="s">
        <v>79</v>
      </c>
      <c r="AZ56" s="2" t="s">
        <v>79</v>
      </c>
      <c r="BA56" s="2" t="s">
        <v>979</v>
      </c>
      <c r="BB56" s="2" t="s">
        <v>303</v>
      </c>
      <c r="BC56" s="2" t="s">
        <v>980</v>
      </c>
      <c r="BD56" s="2" t="s">
        <v>514</v>
      </c>
      <c r="BE56" s="2" t="s">
        <v>79</v>
      </c>
      <c r="BF56" s="2" t="s">
        <v>981</v>
      </c>
      <c r="BG56" s="2" t="s">
        <v>982</v>
      </c>
      <c r="BH56" s="2" t="s">
        <v>648</v>
      </c>
      <c r="BI56" s="2" t="s">
        <v>79</v>
      </c>
      <c r="BJ56" s="2" t="s">
        <v>143</v>
      </c>
      <c r="BK56" s="2" t="s">
        <v>983</v>
      </c>
      <c r="BL56" s="2" t="s">
        <v>79</v>
      </c>
      <c r="BM56" s="2" t="s">
        <v>172</v>
      </c>
    </row>
    <row r="57" spans="1:65" ht="409.5" x14ac:dyDescent="0.25">
      <c r="A57" s="2" t="s">
        <v>984</v>
      </c>
      <c r="B57" s="2">
        <v>2022</v>
      </c>
      <c r="C57" s="2" t="s">
        <v>111</v>
      </c>
      <c r="D57" s="2" t="s">
        <v>79</v>
      </c>
      <c r="E57" s="2" t="s">
        <v>992</v>
      </c>
      <c r="F57" s="2" t="s">
        <v>92</v>
      </c>
      <c r="G57" s="2" t="s">
        <v>997</v>
      </c>
      <c r="H57" s="2" t="s">
        <v>79</v>
      </c>
      <c r="I57" s="2" t="s">
        <v>991</v>
      </c>
      <c r="J57" s="2" t="s">
        <v>993</v>
      </c>
      <c r="K57" s="2" t="s">
        <v>92</v>
      </c>
      <c r="L57" s="2" t="s">
        <v>987</v>
      </c>
      <c r="M57" s="2" t="s">
        <v>79</v>
      </c>
      <c r="N57" s="2" t="s">
        <v>79</v>
      </c>
      <c r="O57" s="2" t="s">
        <v>988</v>
      </c>
      <c r="P57" s="2" t="s">
        <v>89</v>
      </c>
      <c r="Q57" s="2" t="s">
        <v>116</v>
      </c>
      <c r="R57" s="2" t="s">
        <v>79</v>
      </c>
      <c r="S57" s="2" t="s">
        <v>92</v>
      </c>
      <c r="T57" s="2" t="s">
        <v>989</v>
      </c>
      <c r="U57" s="2"/>
      <c r="V57" s="2" t="s">
        <v>155</v>
      </c>
      <c r="W57" s="2" t="s">
        <v>80</v>
      </c>
      <c r="X57" s="2"/>
      <c r="Y57" s="2" t="s">
        <v>92</v>
      </c>
      <c r="Z57" s="2" t="s">
        <v>985</v>
      </c>
      <c r="AA57" s="2" t="s">
        <v>465</v>
      </c>
      <c r="AB57" s="2" t="s">
        <v>990</v>
      </c>
      <c r="AC57" s="2" t="s">
        <v>95</v>
      </c>
      <c r="AD57" s="2" t="s">
        <v>80</v>
      </c>
      <c r="AE57" s="2"/>
      <c r="AF57" s="2"/>
      <c r="AG57" s="2"/>
      <c r="AH57" s="2" t="s">
        <v>986</v>
      </c>
      <c r="AI57" s="2" t="s">
        <v>82</v>
      </c>
      <c r="AJ57" s="2">
        <v>8.5</v>
      </c>
      <c r="AK57" s="2" t="s">
        <v>84</v>
      </c>
      <c r="AL57" s="2" t="s">
        <v>84</v>
      </c>
      <c r="AM57" s="2" t="s">
        <v>84</v>
      </c>
      <c r="AN57" s="2" t="s">
        <v>84</v>
      </c>
      <c r="AO57" s="2" t="s">
        <v>84</v>
      </c>
      <c r="AP57" s="2" t="s">
        <v>84</v>
      </c>
      <c r="AQ57" s="2" t="s">
        <v>84</v>
      </c>
      <c r="AR57" s="2" t="s">
        <v>86</v>
      </c>
      <c r="AS57" s="2" t="s">
        <v>84</v>
      </c>
      <c r="AT57" s="2" t="s">
        <v>85</v>
      </c>
      <c r="AU57" s="2" t="s">
        <v>106</v>
      </c>
      <c r="AV57" s="2" t="s">
        <v>80</v>
      </c>
      <c r="AW57" s="2"/>
      <c r="AX57" s="2" t="s">
        <v>80</v>
      </c>
      <c r="AY57" s="2" t="s">
        <v>79</v>
      </c>
      <c r="AZ57" s="2" t="s">
        <v>92</v>
      </c>
      <c r="BA57" s="2" t="s">
        <v>994</v>
      </c>
      <c r="BB57" s="2" t="s">
        <v>100</v>
      </c>
      <c r="BC57" s="2" t="s">
        <v>995</v>
      </c>
      <c r="BD57" s="2" t="s">
        <v>286</v>
      </c>
      <c r="BE57" s="2" t="s">
        <v>79</v>
      </c>
      <c r="BF57" s="2" t="s">
        <v>203</v>
      </c>
      <c r="BG57" s="2" t="s">
        <v>996</v>
      </c>
      <c r="BH57" s="2" t="s">
        <v>153</v>
      </c>
      <c r="BI57" s="2" t="s">
        <v>79</v>
      </c>
      <c r="BJ57" s="2" t="s">
        <v>107</v>
      </c>
      <c r="BK57" s="2" t="s">
        <v>998</v>
      </c>
      <c r="BL57" s="2" t="s">
        <v>79</v>
      </c>
      <c r="BM57" s="2" t="s">
        <v>109</v>
      </c>
    </row>
    <row r="58" spans="1:65" ht="409.5" x14ac:dyDescent="0.25">
      <c r="A58" s="2" t="s">
        <v>999</v>
      </c>
      <c r="B58" s="2">
        <v>2022</v>
      </c>
      <c r="C58" s="2" t="s">
        <v>111</v>
      </c>
      <c r="D58" s="2" t="s">
        <v>79</v>
      </c>
      <c r="E58" s="2" t="s">
        <v>1011</v>
      </c>
      <c r="F58" s="2" t="s">
        <v>92</v>
      </c>
      <c r="G58" s="2" t="s">
        <v>1018</v>
      </c>
      <c r="H58" s="2" t="s">
        <v>106</v>
      </c>
      <c r="I58" s="2" t="s">
        <v>1010</v>
      </c>
      <c r="J58" s="2" t="s">
        <v>1012</v>
      </c>
      <c r="K58" s="2" t="s">
        <v>92</v>
      </c>
      <c r="L58" s="2" t="s">
        <v>1002</v>
      </c>
      <c r="M58" s="2" t="s">
        <v>79</v>
      </c>
      <c r="N58" s="2" t="s">
        <v>79</v>
      </c>
      <c r="O58" s="2" t="s">
        <v>1003</v>
      </c>
      <c r="P58" s="2" t="s">
        <v>143</v>
      </c>
      <c r="Q58" s="2" t="s">
        <v>90</v>
      </c>
      <c r="R58" s="2" t="s">
        <v>79</v>
      </c>
      <c r="S58" s="2" t="s">
        <v>92</v>
      </c>
      <c r="T58" s="2" t="s">
        <v>1004</v>
      </c>
      <c r="U58" s="2" t="s">
        <v>1005</v>
      </c>
      <c r="V58" s="2" t="s">
        <v>1006</v>
      </c>
      <c r="W58" s="2" t="s">
        <v>79</v>
      </c>
      <c r="X58" s="2" t="s">
        <v>1007</v>
      </c>
      <c r="Y58" s="2" t="s">
        <v>92</v>
      </c>
      <c r="Z58" s="2" t="s">
        <v>1000</v>
      </c>
      <c r="AA58" s="2" t="s">
        <v>1008</v>
      </c>
      <c r="AB58" s="2" t="s">
        <v>1009</v>
      </c>
      <c r="AC58" s="2" t="s">
        <v>95</v>
      </c>
      <c r="AD58" s="2" t="s">
        <v>80</v>
      </c>
      <c r="AE58" s="2"/>
      <c r="AF58" s="2"/>
      <c r="AG58" s="2"/>
      <c r="AH58" s="2" t="s">
        <v>1001</v>
      </c>
      <c r="AI58" s="2" t="s">
        <v>82</v>
      </c>
      <c r="AJ58" s="2">
        <v>8.5</v>
      </c>
      <c r="AK58" s="2" t="s">
        <v>84</v>
      </c>
      <c r="AL58" s="2" t="s">
        <v>84</v>
      </c>
      <c r="AM58" s="2" t="s">
        <v>84</v>
      </c>
      <c r="AN58" s="2" t="s">
        <v>86</v>
      </c>
      <c r="AO58" s="2" t="s">
        <v>84</v>
      </c>
      <c r="AP58" s="2" t="s">
        <v>84</v>
      </c>
      <c r="AQ58" s="2" t="s">
        <v>84</v>
      </c>
      <c r="AR58" s="2" t="s">
        <v>84</v>
      </c>
      <c r="AS58" s="2" t="s">
        <v>85</v>
      </c>
      <c r="AT58" s="2" t="s">
        <v>84</v>
      </c>
      <c r="AU58" s="2" t="s">
        <v>106</v>
      </c>
      <c r="AV58" s="2" t="s">
        <v>79</v>
      </c>
      <c r="AW58" s="2" t="s">
        <v>1013</v>
      </c>
      <c r="AX58" s="2" t="s">
        <v>106</v>
      </c>
      <c r="AY58" s="2" t="s">
        <v>79</v>
      </c>
      <c r="AZ58" s="2" t="s">
        <v>79</v>
      </c>
      <c r="BA58" s="2" t="s">
        <v>1014</v>
      </c>
      <c r="BB58" s="2" t="s">
        <v>303</v>
      </c>
      <c r="BC58" s="2" t="s">
        <v>1015</v>
      </c>
      <c r="BD58" s="2" t="s">
        <v>709</v>
      </c>
      <c r="BE58" s="2" t="s">
        <v>79</v>
      </c>
      <c r="BF58" s="2" t="s">
        <v>1016</v>
      </c>
      <c r="BG58" s="2" t="s">
        <v>1017</v>
      </c>
      <c r="BH58" s="2" t="s">
        <v>153</v>
      </c>
      <c r="BI58" s="2" t="s">
        <v>79</v>
      </c>
      <c r="BJ58" s="2" t="s">
        <v>143</v>
      </c>
      <c r="BK58" s="2" t="s">
        <v>1019</v>
      </c>
      <c r="BL58" s="2" t="s">
        <v>79</v>
      </c>
      <c r="BM58" s="2" t="s">
        <v>109</v>
      </c>
    </row>
    <row r="59" spans="1:65" ht="409.5" x14ac:dyDescent="0.25">
      <c r="A59" s="2" t="s">
        <v>1020</v>
      </c>
      <c r="B59" s="2">
        <v>2022</v>
      </c>
      <c r="C59" s="2" t="s">
        <v>143</v>
      </c>
      <c r="D59" s="2" t="s">
        <v>79</v>
      </c>
      <c r="E59" s="2" t="s">
        <v>1028</v>
      </c>
      <c r="F59" s="2" t="s">
        <v>80</v>
      </c>
      <c r="G59" s="2"/>
      <c r="H59" s="2" t="s">
        <v>80</v>
      </c>
      <c r="I59" s="2" t="s">
        <v>1027</v>
      </c>
      <c r="J59" s="2" t="s">
        <v>1029</v>
      </c>
      <c r="K59" s="2" t="s">
        <v>80</v>
      </c>
      <c r="L59" s="2" t="s">
        <v>1023</v>
      </c>
      <c r="M59" s="2" t="s">
        <v>79</v>
      </c>
      <c r="N59" s="2" t="s">
        <v>79</v>
      </c>
      <c r="O59" s="2" t="s">
        <v>1024</v>
      </c>
      <c r="P59" s="2" t="s">
        <v>478</v>
      </c>
      <c r="Q59" s="2" t="s">
        <v>116</v>
      </c>
      <c r="R59" s="2" t="s">
        <v>79</v>
      </c>
      <c r="S59" s="2" t="s">
        <v>92</v>
      </c>
      <c r="T59" s="2" t="s">
        <v>1025</v>
      </c>
      <c r="U59" s="2"/>
      <c r="V59" s="2" t="s">
        <v>155</v>
      </c>
      <c r="W59" s="2" t="s">
        <v>80</v>
      </c>
      <c r="X59" s="2"/>
      <c r="Y59" s="2" t="s">
        <v>92</v>
      </c>
      <c r="Z59" s="2" t="s">
        <v>1021</v>
      </c>
      <c r="AA59" s="2" t="s">
        <v>328</v>
      </c>
      <c r="AB59" s="2" t="s">
        <v>1026</v>
      </c>
      <c r="AC59" s="2" t="s">
        <v>95</v>
      </c>
      <c r="AD59" s="2" t="s">
        <v>80</v>
      </c>
      <c r="AE59" s="2"/>
      <c r="AF59" s="2"/>
      <c r="AG59" s="2"/>
      <c r="AH59" s="2" t="s">
        <v>1022</v>
      </c>
      <c r="AI59" s="2" t="s">
        <v>82</v>
      </c>
      <c r="AJ59" s="2">
        <v>8.5</v>
      </c>
      <c r="AK59" s="2" t="s">
        <v>84</v>
      </c>
      <c r="AL59" s="2" t="s">
        <v>84</v>
      </c>
      <c r="AM59" s="2" t="s">
        <v>84</v>
      </c>
      <c r="AN59" s="2" t="s">
        <v>84</v>
      </c>
      <c r="AO59" s="2" t="s">
        <v>84</v>
      </c>
      <c r="AP59" s="2" t="s">
        <v>84</v>
      </c>
      <c r="AQ59" s="2" t="s">
        <v>85</v>
      </c>
      <c r="AR59" s="2" t="s">
        <v>86</v>
      </c>
      <c r="AS59" s="2" t="s">
        <v>84</v>
      </c>
      <c r="AT59" s="2" t="s">
        <v>84</v>
      </c>
      <c r="AU59" s="2" t="s">
        <v>106</v>
      </c>
      <c r="AV59" s="2" t="s">
        <v>79</v>
      </c>
      <c r="AW59" s="2" t="s">
        <v>1030</v>
      </c>
      <c r="AX59" s="2" t="s">
        <v>80</v>
      </c>
      <c r="AY59" s="2" t="s">
        <v>79</v>
      </c>
      <c r="AZ59" s="2" t="s">
        <v>79</v>
      </c>
      <c r="BA59" s="2" t="s">
        <v>1031</v>
      </c>
      <c r="BB59" s="2" t="s">
        <v>100</v>
      </c>
      <c r="BC59" s="2" t="s">
        <v>1032</v>
      </c>
      <c r="BD59" s="2" t="s">
        <v>286</v>
      </c>
      <c r="BE59" s="2" t="s">
        <v>79</v>
      </c>
      <c r="BF59" s="2" t="s">
        <v>287</v>
      </c>
      <c r="BG59" s="2" t="s">
        <v>1033</v>
      </c>
      <c r="BH59" s="2" t="s">
        <v>153</v>
      </c>
      <c r="BI59" s="2" t="s">
        <v>79</v>
      </c>
      <c r="BJ59" s="2" t="s">
        <v>206</v>
      </c>
      <c r="BK59" s="2" t="s">
        <v>1034</v>
      </c>
      <c r="BL59" s="2" t="s">
        <v>79</v>
      </c>
      <c r="BM59" s="2" t="s">
        <v>109</v>
      </c>
    </row>
    <row r="60" spans="1:65" ht="409.5" x14ac:dyDescent="0.25">
      <c r="A60" s="2" t="s">
        <v>1035</v>
      </c>
      <c r="B60" s="2">
        <v>2025</v>
      </c>
      <c r="C60" s="2" t="s">
        <v>143</v>
      </c>
      <c r="D60" s="2" t="s">
        <v>79</v>
      </c>
      <c r="E60" s="2" t="s">
        <v>1043</v>
      </c>
      <c r="F60" s="2" t="s">
        <v>92</v>
      </c>
      <c r="G60" s="2" t="s">
        <v>1049</v>
      </c>
      <c r="H60" s="2" t="s">
        <v>79</v>
      </c>
      <c r="I60" s="2" t="s">
        <v>1042</v>
      </c>
      <c r="J60" s="2" t="s">
        <v>1044</v>
      </c>
      <c r="K60" s="2" t="s">
        <v>92</v>
      </c>
      <c r="L60" s="2" t="s">
        <v>1038</v>
      </c>
      <c r="M60" s="2" t="s">
        <v>79</v>
      </c>
      <c r="N60" s="2" t="s">
        <v>79</v>
      </c>
      <c r="O60" s="2" t="s">
        <v>1039</v>
      </c>
      <c r="P60" s="2" t="s">
        <v>89</v>
      </c>
      <c r="Q60" s="2" t="s">
        <v>116</v>
      </c>
      <c r="R60" s="2" t="s">
        <v>79</v>
      </c>
      <c r="S60" s="2" t="s">
        <v>92</v>
      </c>
      <c r="T60" s="2" t="s">
        <v>1040</v>
      </c>
      <c r="U60" s="2"/>
      <c r="V60" s="2" t="s">
        <v>155</v>
      </c>
      <c r="W60" s="2" t="s">
        <v>80</v>
      </c>
      <c r="X60" s="2"/>
      <c r="Y60" s="2" t="s">
        <v>92</v>
      </c>
      <c r="Z60" s="2" t="s">
        <v>1036</v>
      </c>
      <c r="AA60" s="2" t="s">
        <v>279</v>
      </c>
      <c r="AB60" s="2" t="s">
        <v>1041</v>
      </c>
      <c r="AC60" s="2" t="s">
        <v>95</v>
      </c>
      <c r="AD60" s="2" t="s">
        <v>80</v>
      </c>
      <c r="AE60" s="2"/>
      <c r="AF60" s="2"/>
      <c r="AG60" s="2"/>
      <c r="AH60" s="2" t="s">
        <v>1037</v>
      </c>
      <c r="AI60" s="2" t="s">
        <v>82</v>
      </c>
      <c r="AJ60" s="2">
        <v>9</v>
      </c>
      <c r="AK60" s="2" t="s">
        <v>84</v>
      </c>
      <c r="AL60" s="2" t="s">
        <v>84</v>
      </c>
      <c r="AM60" s="2" t="s">
        <v>84</v>
      </c>
      <c r="AN60" s="2" t="s">
        <v>84</v>
      </c>
      <c r="AO60" s="2" t="s">
        <v>84</v>
      </c>
      <c r="AP60" s="2" t="s">
        <v>84</v>
      </c>
      <c r="AQ60" s="2" t="s">
        <v>84</v>
      </c>
      <c r="AR60" s="2" t="s">
        <v>86</v>
      </c>
      <c r="AS60" s="2" t="s">
        <v>84</v>
      </c>
      <c r="AT60" s="2" t="s">
        <v>84</v>
      </c>
      <c r="AU60" s="2" t="s">
        <v>106</v>
      </c>
      <c r="AV60" s="2" t="s">
        <v>79</v>
      </c>
      <c r="AW60" s="2" t="s">
        <v>1045</v>
      </c>
      <c r="AX60" s="2" t="s">
        <v>106</v>
      </c>
      <c r="AY60" s="2" t="s">
        <v>79</v>
      </c>
      <c r="AZ60" s="2" t="s">
        <v>79</v>
      </c>
      <c r="BA60" s="2" t="s">
        <v>1046</v>
      </c>
      <c r="BB60" s="2" t="s">
        <v>100</v>
      </c>
      <c r="BC60" s="2" t="s">
        <v>1047</v>
      </c>
      <c r="BD60" s="2" t="s">
        <v>709</v>
      </c>
      <c r="BE60" s="2" t="s">
        <v>79</v>
      </c>
      <c r="BF60" s="2" t="s">
        <v>1016</v>
      </c>
      <c r="BG60" s="2" t="s">
        <v>1048</v>
      </c>
      <c r="BH60" s="2" t="s">
        <v>153</v>
      </c>
      <c r="BI60" s="2" t="s">
        <v>79</v>
      </c>
      <c r="BJ60" s="2" t="s">
        <v>206</v>
      </c>
      <c r="BK60" s="2" t="s">
        <v>1050</v>
      </c>
      <c r="BL60" s="2" t="s">
        <v>79</v>
      </c>
      <c r="BM60" s="2" t="s">
        <v>172</v>
      </c>
    </row>
    <row r="61" spans="1:65" ht="409.5" x14ac:dyDescent="0.25">
      <c r="A61" s="2" t="s">
        <v>1051</v>
      </c>
      <c r="B61" s="2">
        <v>2022</v>
      </c>
      <c r="C61" s="2" t="s">
        <v>111</v>
      </c>
      <c r="D61" s="2" t="s">
        <v>79</v>
      </c>
      <c r="E61" s="2" t="s">
        <v>1059</v>
      </c>
      <c r="F61" s="2" t="s">
        <v>80</v>
      </c>
      <c r="G61" s="2"/>
      <c r="H61" s="2" t="s">
        <v>106</v>
      </c>
      <c r="I61" s="2" t="s">
        <v>1058</v>
      </c>
      <c r="J61" s="2" t="s">
        <v>1060</v>
      </c>
      <c r="K61" s="2" t="s">
        <v>80</v>
      </c>
      <c r="L61" s="2" t="s">
        <v>1054</v>
      </c>
      <c r="M61" s="2" t="s">
        <v>79</v>
      </c>
      <c r="N61" s="2" t="s">
        <v>79</v>
      </c>
      <c r="O61" s="2" t="s">
        <v>1055</v>
      </c>
      <c r="P61" s="2" t="s">
        <v>842</v>
      </c>
      <c r="Q61" s="2" t="s">
        <v>116</v>
      </c>
      <c r="R61" s="2" t="s">
        <v>79</v>
      </c>
      <c r="S61" s="2" t="s">
        <v>92</v>
      </c>
      <c r="T61" s="2" t="s">
        <v>1056</v>
      </c>
      <c r="U61" s="2"/>
      <c r="V61" s="2" t="s">
        <v>155</v>
      </c>
      <c r="W61" s="2" t="s">
        <v>80</v>
      </c>
      <c r="X61" s="2"/>
      <c r="Y61" s="2" t="s">
        <v>92</v>
      </c>
      <c r="Z61" s="2" t="s">
        <v>1052</v>
      </c>
      <c r="AA61" s="2" t="s">
        <v>118</v>
      </c>
      <c r="AB61" s="2" t="s">
        <v>1057</v>
      </c>
      <c r="AC61" s="2" t="s">
        <v>95</v>
      </c>
      <c r="AD61" s="2" t="s">
        <v>80</v>
      </c>
      <c r="AE61" s="2"/>
      <c r="AF61" s="2"/>
      <c r="AG61" s="2"/>
      <c r="AH61" s="2" t="s">
        <v>1053</v>
      </c>
      <c r="AI61" s="2" t="s">
        <v>82</v>
      </c>
      <c r="AJ61" s="2">
        <v>9</v>
      </c>
      <c r="AK61" s="2" t="s">
        <v>84</v>
      </c>
      <c r="AL61" s="2" t="s">
        <v>84</v>
      </c>
      <c r="AM61" s="2" t="s">
        <v>84</v>
      </c>
      <c r="AN61" s="2" t="s">
        <v>84</v>
      </c>
      <c r="AO61" s="2" t="s">
        <v>84</v>
      </c>
      <c r="AP61" s="2" t="s">
        <v>84</v>
      </c>
      <c r="AQ61" s="2" t="s">
        <v>84</v>
      </c>
      <c r="AR61" s="2" t="s">
        <v>86</v>
      </c>
      <c r="AS61" s="2" t="s">
        <v>84</v>
      </c>
      <c r="AT61" s="2" t="s">
        <v>84</v>
      </c>
      <c r="AU61" s="2" t="s">
        <v>106</v>
      </c>
      <c r="AV61" s="2" t="s">
        <v>80</v>
      </c>
      <c r="AW61" s="2"/>
      <c r="AX61" s="2" t="s">
        <v>106</v>
      </c>
      <c r="AY61" s="2" t="s">
        <v>79</v>
      </c>
      <c r="AZ61" s="2" t="s">
        <v>92</v>
      </c>
      <c r="BA61" s="2" t="s">
        <v>1061</v>
      </c>
      <c r="BB61" s="2" t="s">
        <v>100</v>
      </c>
      <c r="BC61" s="2" t="s">
        <v>1062</v>
      </c>
      <c r="BD61" s="2" t="s">
        <v>143</v>
      </c>
      <c r="BE61" s="2" t="s">
        <v>79</v>
      </c>
      <c r="BF61" s="2" t="s">
        <v>1063</v>
      </c>
      <c r="BG61" s="2" t="s">
        <v>1064</v>
      </c>
      <c r="BH61" s="2" t="s">
        <v>856</v>
      </c>
      <c r="BI61" s="2" t="s">
        <v>79</v>
      </c>
      <c r="BJ61" s="2" t="s">
        <v>206</v>
      </c>
      <c r="BK61" s="2" t="s">
        <v>1065</v>
      </c>
      <c r="BL61" s="2" t="s">
        <v>79</v>
      </c>
      <c r="BM61" s="2" t="s">
        <v>172</v>
      </c>
    </row>
    <row r="62" spans="1:65" ht="409.5" x14ac:dyDescent="0.25">
      <c r="A62" s="2" t="s">
        <v>1066</v>
      </c>
      <c r="B62" s="2">
        <v>2023</v>
      </c>
      <c r="C62" s="2" t="s">
        <v>111</v>
      </c>
      <c r="D62" s="2" t="s">
        <v>79</v>
      </c>
      <c r="E62" s="2" t="s">
        <v>1076</v>
      </c>
      <c r="F62" s="2" t="s">
        <v>80</v>
      </c>
      <c r="G62" s="2"/>
      <c r="H62" s="2" t="s">
        <v>79</v>
      </c>
      <c r="I62" s="2" t="s">
        <v>1075</v>
      </c>
      <c r="J62" s="2" t="s">
        <v>1077</v>
      </c>
      <c r="K62" s="2" t="s">
        <v>80</v>
      </c>
      <c r="L62" s="2" t="s">
        <v>1068</v>
      </c>
      <c r="M62" s="2" t="s">
        <v>79</v>
      </c>
      <c r="N62" s="2" t="s">
        <v>79</v>
      </c>
      <c r="O62" s="2" t="s">
        <v>1069</v>
      </c>
      <c r="P62" s="2" t="s">
        <v>89</v>
      </c>
      <c r="Q62" s="2" t="s">
        <v>116</v>
      </c>
      <c r="R62" s="2" t="s">
        <v>79</v>
      </c>
      <c r="S62" s="2" t="s">
        <v>92</v>
      </c>
      <c r="T62" s="2" t="s">
        <v>1070</v>
      </c>
      <c r="U62" s="2" t="s">
        <v>1071</v>
      </c>
      <c r="V62" s="2" t="s">
        <v>1072</v>
      </c>
      <c r="W62" s="2" t="s">
        <v>79</v>
      </c>
      <c r="X62" s="2" t="s">
        <v>1073</v>
      </c>
      <c r="Y62" s="2" t="s">
        <v>92</v>
      </c>
      <c r="Z62" s="2" t="s">
        <v>838</v>
      </c>
      <c r="AA62" s="2" t="s">
        <v>803</v>
      </c>
      <c r="AB62" s="2" t="s">
        <v>1074</v>
      </c>
      <c r="AC62" s="2" t="s">
        <v>95</v>
      </c>
      <c r="AD62" s="2" t="s">
        <v>80</v>
      </c>
      <c r="AE62" s="2"/>
      <c r="AF62" s="2"/>
      <c r="AG62" s="2"/>
      <c r="AH62" s="2" t="s">
        <v>1067</v>
      </c>
      <c r="AI62" s="2" t="s">
        <v>82</v>
      </c>
      <c r="AJ62" s="2">
        <v>10</v>
      </c>
      <c r="AK62" s="2" t="s">
        <v>84</v>
      </c>
      <c r="AL62" s="2" t="s">
        <v>84</v>
      </c>
      <c r="AM62" s="2" t="s">
        <v>84</v>
      </c>
      <c r="AN62" s="2" t="s">
        <v>84</v>
      </c>
      <c r="AO62" s="2" t="s">
        <v>84</v>
      </c>
      <c r="AP62" s="2" t="s">
        <v>84</v>
      </c>
      <c r="AQ62" s="2" t="s">
        <v>84</v>
      </c>
      <c r="AR62" s="2" t="s">
        <v>84</v>
      </c>
      <c r="AS62" s="2" t="s">
        <v>84</v>
      </c>
      <c r="AT62" s="2" t="s">
        <v>84</v>
      </c>
      <c r="AU62" s="2" t="s">
        <v>106</v>
      </c>
      <c r="AV62" s="2" t="s">
        <v>80</v>
      </c>
      <c r="AW62" s="2"/>
      <c r="AX62" s="2" t="s">
        <v>106</v>
      </c>
      <c r="AY62" s="2" t="s">
        <v>79</v>
      </c>
      <c r="AZ62" s="2" t="s">
        <v>92</v>
      </c>
      <c r="BA62" s="2" t="s">
        <v>1078</v>
      </c>
      <c r="BB62" s="2" t="s">
        <v>100</v>
      </c>
      <c r="BC62" s="2" t="s">
        <v>1079</v>
      </c>
      <c r="BD62" s="2" t="s">
        <v>286</v>
      </c>
      <c r="BE62" s="2" t="s">
        <v>79</v>
      </c>
      <c r="BF62" s="2" t="s">
        <v>1080</v>
      </c>
      <c r="BG62" s="2" t="s">
        <v>1081</v>
      </c>
      <c r="BH62" s="2" t="s">
        <v>104</v>
      </c>
      <c r="BI62" s="2" t="s">
        <v>79</v>
      </c>
      <c r="BJ62" s="2" t="s">
        <v>289</v>
      </c>
      <c r="BK62" s="2" t="s">
        <v>1082</v>
      </c>
      <c r="BL62" s="2" t="s">
        <v>79</v>
      </c>
      <c r="BM62" s="2" t="s">
        <v>172</v>
      </c>
    </row>
    <row r="63" spans="1:65" ht="409.5" x14ac:dyDescent="0.25">
      <c r="A63" s="2" t="s">
        <v>1083</v>
      </c>
      <c r="B63" s="2">
        <v>2026</v>
      </c>
      <c r="C63" s="2" t="s">
        <v>111</v>
      </c>
      <c r="D63" s="2" t="s">
        <v>79</v>
      </c>
      <c r="E63" s="2" t="s">
        <v>1090</v>
      </c>
      <c r="F63" s="2" t="s">
        <v>80</v>
      </c>
      <c r="G63" s="2"/>
      <c r="H63" s="2" t="s">
        <v>106</v>
      </c>
      <c r="I63" s="2" t="s">
        <v>1089</v>
      </c>
      <c r="J63" s="2" t="s">
        <v>1091</v>
      </c>
      <c r="K63" s="2" t="s">
        <v>80</v>
      </c>
      <c r="L63" s="2" t="s">
        <v>1085</v>
      </c>
      <c r="M63" s="2" t="s">
        <v>79</v>
      </c>
      <c r="N63" s="2" t="s">
        <v>79</v>
      </c>
      <c r="O63" s="2" t="s">
        <v>1086</v>
      </c>
      <c r="P63" s="2" t="s">
        <v>89</v>
      </c>
      <c r="Q63" s="2" t="s">
        <v>116</v>
      </c>
      <c r="R63" s="2" t="s">
        <v>79</v>
      </c>
      <c r="S63" s="2" t="s">
        <v>92</v>
      </c>
      <c r="T63" s="2" t="s">
        <v>1087</v>
      </c>
      <c r="U63" s="2"/>
      <c r="V63" s="2" t="s">
        <v>155</v>
      </c>
      <c r="W63" s="2" t="s">
        <v>80</v>
      </c>
      <c r="X63" s="2"/>
      <c r="Y63" s="2" t="s">
        <v>92</v>
      </c>
      <c r="Z63" s="2" t="s">
        <v>889</v>
      </c>
      <c r="AA63" s="2" t="s">
        <v>864</v>
      </c>
      <c r="AB63" s="2" t="s">
        <v>1088</v>
      </c>
      <c r="AC63" s="2" t="s">
        <v>95</v>
      </c>
      <c r="AD63" s="2" t="s">
        <v>80</v>
      </c>
      <c r="AE63" s="2"/>
      <c r="AF63" s="2"/>
      <c r="AG63" s="2"/>
      <c r="AH63" s="2" t="s">
        <v>1084</v>
      </c>
      <c r="AI63" s="2" t="s">
        <v>82</v>
      </c>
      <c r="AJ63" s="2">
        <v>8.5</v>
      </c>
      <c r="AK63" s="2" t="s">
        <v>84</v>
      </c>
      <c r="AL63" s="2" t="s">
        <v>84</v>
      </c>
      <c r="AM63" s="2" t="s">
        <v>84</v>
      </c>
      <c r="AN63" s="2" t="s">
        <v>84</v>
      </c>
      <c r="AO63" s="2" t="s">
        <v>84</v>
      </c>
      <c r="AP63" s="2" t="s">
        <v>84</v>
      </c>
      <c r="AQ63" s="2" t="s">
        <v>84</v>
      </c>
      <c r="AR63" s="2" t="s">
        <v>86</v>
      </c>
      <c r="AS63" s="2" t="s">
        <v>84</v>
      </c>
      <c r="AT63" s="2" t="s">
        <v>85</v>
      </c>
      <c r="AU63" s="2" t="s">
        <v>106</v>
      </c>
      <c r="AV63" s="2" t="s">
        <v>80</v>
      </c>
      <c r="AW63" s="2"/>
      <c r="AX63" s="2" t="s">
        <v>106</v>
      </c>
      <c r="AY63" s="2" t="s">
        <v>79</v>
      </c>
      <c r="AZ63" s="2" t="s">
        <v>92</v>
      </c>
      <c r="BA63" s="2" t="s">
        <v>1092</v>
      </c>
      <c r="BB63" s="2" t="s">
        <v>100</v>
      </c>
      <c r="BC63" s="2" t="s">
        <v>1093</v>
      </c>
      <c r="BD63" s="2" t="s">
        <v>286</v>
      </c>
      <c r="BE63" s="2" t="s">
        <v>79</v>
      </c>
      <c r="BF63" s="2" t="s">
        <v>1063</v>
      </c>
      <c r="BG63" s="2" t="s">
        <v>1094</v>
      </c>
      <c r="BH63" s="2" t="s">
        <v>153</v>
      </c>
      <c r="BI63" s="2" t="s">
        <v>79</v>
      </c>
      <c r="BJ63" s="2" t="s">
        <v>206</v>
      </c>
      <c r="BK63" s="2" t="s">
        <v>1095</v>
      </c>
      <c r="BL63" s="2" t="s">
        <v>79</v>
      </c>
      <c r="BM63" s="2" t="s">
        <v>172</v>
      </c>
    </row>
    <row r="64" spans="1:65" ht="409.5" x14ac:dyDescent="0.25">
      <c r="A64" s="2" t="s">
        <v>1096</v>
      </c>
      <c r="B64" s="2">
        <v>2019</v>
      </c>
      <c r="C64" s="2" t="s">
        <v>111</v>
      </c>
      <c r="D64" s="2" t="s">
        <v>79</v>
      </c>
      <c r="E64" s="2" t="s">
        <v>1103</v>
      </c>
      <c r="F64" s="2" t="s">
        <v>80</v>
      </c>
      <c r="G64" s="2"/>
      <c r="H64" s="2" t="s">
        <v>106</v>
      </c>
      <c r="I64" s="2" t="s">
        <v>1102</v>
      </c>
      <c r="J64" s="2" t="s">
        <v>1104</v>
      </c>
      <c r="K64" s="2" t="s">
        <v>80</v>
      </c>
      <c r="L64" s="2" t="s">
        <v>1098</v>
      </c>
      <c r="M64" s="2" t="s">
        <v>79</v>
      </c>
      <c r="N64" s="2" t="s">
        <v>79</v>
      </c>
      <c r="O64" s="2" t="s">
        <v>1099</v>
      </c>
      <c r="P64" s="2" t="s">
        <v>143</v>
      </c>
      <c r="Q64" s="2" t="s">
        <v>194</v>
      </c>
      <c r="R64" s="2" t="s">
        <v>79</v>
      </c>
      <c r="S64" s="2" t="s">
        <v>92</v>
      </c>
      <c r="T64" s="2" t="s">
        <v>1100</v>
      </c>
      <c r="U64" s="2"/>
      <c r="V64" s="2" t="s">
        <v>155</v>
      </c>
      <c r="W64" s="2" t="s">
        <v>80</v>
      </c>
      <c r="X64" s="2"/>
      <c r="Y64" s="2" t="s">
        <v>92</v>
      </c>
      <c r="Z64" s="2" t="s">
        <v>889</v>
      </c>
      <c r="AA64" s="2" t="s">
        <v>465</v>
      </c>
      <c r="AB64" s="2" t="s">
        <v>1101</v>
      </c>
      <c r="AC64" s="2" t="s">
        <v>95</v>
      </c>
      <c r="AD64" s="2" t="s">
        <v>80</v>
      </c>
      <c r="AE64" s="2"/>
      <c r="AF64" s="2"/>
      <c r="AG64" s="2"/>
      <c r="AH64" s="2" t="s">
        <v>1097</v>
      </c>
      <c r="AI64" s="2" t="s">
        <v>82</v>
      </c>
      <c r="AJ64" s="2">
        <v>8.5</v>
      </c>
      <c r="AK64" s="2" t="s">
        <v>84</v>
      </c>
      <c r="AL64" s="2" t="s">
        <v>84</v>
      </c>
      <c r="AM64" s="2" t="s">
        <v>84</v>
      </c>
      <c r="AN64" s="2" t="s">
        <v>84</v>
      </c>
      <c r="AO64" s="2" t="s">
        <v>84</v>
      </c>
      <c r="AP64" s="2" t="s">
        <v>84</v>
      </c>
      <c r="AQ64" s="2" t="s">
        <v>84</v>
      </c>
      <c r="AR64" s="2" t="s">
        <v>86</v>
      </c>
      <c r="AS64" s="2" t="s">
        <v>84</v>
      </c>
      <c r="AT64" s="2" t="s">
        <v>85</v>
      </c>
      <c r="AU64" s="2" t="s">
        <v>106</v>
      </c>
      <c r="AV64" s="2" t="s">
        <v>80</v>
      </c>
      <c r="AW64" s="2"/>
      <c r="AX64" s="2" t="s">
        <v>106</v>
      </c>
      <c r="AY64" s="2" t="s">
        <v>79</v>
      </c>
      <c r="AZ64" s="2" t="s">
        <v>92</v>
      </c>
      <c r="BA64" s="2" t="s">
        <v>1105</v>
      </c>
      <c r="BB64" s="2" t="s">
        <v>100</v>
      </c>
      <c r="BC64" s="2" t="s">
        <v>1106</v>
      </c>
      <c r="BD64" s="2" t="s">
        <v>286</v>
      </c>
      <c r="BE64" s="2" t="s">
        <v>79</v>
      </c>
      <c r="BF64" s="2" t="s">
        <v>756</v>
      </c>
      <c r="BG64" s="2" t="s">
        <v>1107</v>
      </c>
      <c r="BH64" s="2" t="s">
        <v>1108</v>
      </c>
      <c r="BI64" s="2" t="s">
        <v>79</v>
      </c>
      <c r="BJ64" s="2" t="s">
        <v>206</v>
      </c>
      <c r="BK64" s="2" t="s">
        <v>1109</v>
      </c>
      <c r="BL64" s="2" t="s">
        <v>79</v>
      </c>
      <c r="BM64" s="2" t="s">
        <v>109</v>
      </c>
    </row>
    <row r="65" spans="1:65" ht="409.5" x14ac:dyDescent="0.25">
      <c r="A65" s="2" t="s">
        <v>1110</v>
      </c>
      <c r="B65" s="2">
        <v>2023</v>
      </c>
      <c r="C65" s="2" t="s">
        <v>111</v>
      </c>
      <c r="D65" s="2" t="s">
        <v>79</v>
      </c>
      <c r="E65" s="2" t="s">
        <v>1117</v>
      </c>
      <c r="F65" s="2" t="s">
        <v>92</v>
      </c>
      <c r="G65" s="2" t="s">
        <v>1122</v>
      </c>
      <c r="H65" s="2" t="s">
        <v>79</v>
      </c>
      <c r="I65" s="2" t="s">
        <v>1116</v>
      </c>
      <c r="J65" s="2" t="s">
        <v>1118</v>
      </c>
      <c r="K65" s="2" t="s">
        <v>80</v>
      </c>
      <c r="L65" s="2" t="s">
        <v>1112</v>
      </c>
      <c r="M65" s="2" t="s">
        <v>79</v>
      </c>
      <c r="N65" s="2" t="s">
        <v>79</v>
      </c>
      <c r="O65" s="2" t="s">
        <v>1113</v>
      </c>
      <c r="P65" s="2" t="s">
        <v>143</v>
      </c>
      <c r="Q65" s="2" t="s">
        <v>116</v>
      </c>
      <c r="R65" s="2" t="s">
        <v>79</v>
      </c>
      <c r="S65" s="2" t="s">
        <v>92</v>
      </c>
      <c r="T65" s="2" t="s">
        <v>1114</v>
      </c>
      <c r="U65" s="2"/>
      <c r="V65" s="2" t="s">
        <v>155</v>
      </c>
      <c r="W65" s="2" t="s">
        <v>80</v>
      </c>
      <c r="X65" s="2"/>
      <c r="Y65" s="2" t="s">
        <v>92</v>
      </c>
      <c r="Z65" s="2" t="s">
        <v>1000</v>
      </c>
      <c r="AA65" s="2" t="s">
        <v>465</v>
      </c>
      <c r="AB65" s="2" t="s">
        <v>1115</v>
      </c>
      <c r="AC65" s="2" t="s">
        <v>95</v>
      </c>
      <c r="AD65" s="2" t="s">
        <v>80</v>
      </c>
      <c r="AE65" s="2"/>
      <c r="AF65" s="2"/>
      <c r="AG65" s="2"/>
      <c r="AH65" s="2" t="s">
        <v>1111</v>
      </c>
      <c r="AI65" s="2" t="s">
        <v>82</v>
      </c>
      <c r="AJ65" s="2">
        <v>8.5</v>
      </c>
      <c r="AK65" s="2" t="s">
        <v>84</v>
      </c>
      <c r="AL65" s="2" t="s">
        <v>84</v>
      </c>
      <c r="AM65" s="2" t="s">
        <v>84</v>
      </c>
      <c r="AN65" s="2" t="s">
        <v>84</v>
      </c>
      <c r="AO65" s="2" t="s">
        <v>84</v>
      </c>
      <c r="AP65" s="2" t="s">
        <v>84</v>
      </c>
      <c r="AQ65" s="2" t="s">
        <v>84</v>
      </c>
      <c r="AR65" s="2" t="s">
        <v>86</v>
      </c>
      <c r="AS65" s="2" t="s">
        <v>84</v>
      </c>
      <c r="AT65" s="2" t="s">
        <v>85</v>
      </c>
      <c r="AU65" s="2" t="s">
        <v>106</v>
      </c>
      <c r="AV65" s="2" t="s">
        <v>80</v>
      </c>
      <c r="AW65" s="2"/>
      <c r="AX65" s="2" t="s">
        <v>106</v>
      </c>
      <c r="AY65" s="2" t="s">
        <v>79</v>
      </c>
      <c r="AZ65" s="2" t="s">
        <v>92</v>
      </c>
      <c r="BA65" s="2" t="s">
        <v>1119</v>
      </c>
      <c r="BB65" s="2" t="s">
        <v>100</v>
      </c>
      <c r="BC65" s="2" t="s">
        <v>1120</v>
      </c>
      <c r="BD65" s="2" t="s">
        <v>286</v>
      </c>
      <c r="BE65" s="2" t="s">
        <v>79</v>
      </c>
      <c r="BF65" s="2" t="s">
        <v>168</v>
      </c>
      <c r="BG65" s="2" t="s">
        <v>1121</v>
      </c>
      <c r="BH65" s="2" t="s">
        <v>153</v>
      </c>
      <c r="BI65" s="2" t="s">
        <v>79</v>
      </c>
      <c r="BJ65" s="2" t="s">
        <v>107</v>
      </c>
      <c r="BK65" s="2" t="s">
        <v>1123</v>
      </c>
      <c r="BL65" s="2" t="s">
        <v>79</v>
      </c>
      <c r="BM65" s="2" t="s">
        <v>109</v>
      </c>
    </row>
    <row r="66" spans="1:65" ht="409.5" x14ac:dyDescent="0.25">
      <c r="A66" s="2" t="s">
        <v>1124</v>
      </c>
      <c r="B66" s="2">
        <v>2023</v>
      </c>
      <c r="C66" s="2" t="s">
        <v>111</v>
      </c>
      <c r="D66" s="2" t="s">
        <v>79</v>
      </c>
      <c r="E66" s="2" t="s">
        <v>1130</v>
      </c>
      <c r="F66" s="2" t="s">
        <v>80</v>
      </c>
      <c r="G66" s="2"/>
      <c r="H66" s="2" t="s">
        <v>80</v>
      </c>
      <c r="I66" s="2" t="s">
        <v>1129</v>
      </c>
      <c r="J66" s="2" t="s">
        <v>1131</v>
      </c>
      <c r="K66" s="2" t="s">
        <v>80</v>
      </c>
      <c r="L66" s="2" t="s">
        <v>1126</v>
      </c>
      <c r="M66" s="2" t="s">
        <v>79</v>
      </c>
      <c r="N66" s="2" t="s">
        <v>92</v>
      </c>
      <c r="O66" s="2" t="s">
        <v>1127</v>
      </c>
      <c r="P66" s="2" t="s">
        <v>143</v>
      </c>
      <c r="Q66" s="2" t="s">
        <v>90</v>
      </c>
      <c r="R66" s="2" t="s">
        <v>80</v>
      </c>
      <c r="S66" s="2" t="s">
        <v>80</v>
      </c>
      <c r="T66" s="2"/>
      <c r="U66" s="2"/>
      <c r="V66" s="2"/>
      <c r="W66" s="2" t="s">
        <v>80</v>
      </c>
      <c r="X66" s="2"/>
      <c r="Y66" s="2" t="s">
        <v>92</v>
      </c>
      <c r="Z66" s="2" t="s">
        <v>714</v>
      </c>
      <c r="AA66" s="2" t="s">
        <v>465</v>
      </c>
      <c r="AB66" s="2" t="s">
        <v>1128</v>
      </c>
      <c r="AC66" s="2" t="s">
        <v>95</v>
      </c>
      <c r="AD66" s="2" t="s">
        <v>80</v>
      </c>
      <c r="AE66" s="2"/>
      <c r="AF66" s="2"/>
      <c r="AG66" s="2"/>
      <c r="AH66" s="2" t="s">
        <v>1125</v>
      </c>
      <c r="AI66" s="2" t="s">
        <v>82</v>
      </c>
      <c r="AJ66" s="2">
        <v>6.5</v>
      </c>
      <c r="AK66" s="2" t="s">
        <v>84</v>
      </c>
      <c r="AL66" s="2" t="s">
        <v>86</v>
      </c>
      <c r="AM66" s="2" t="s">
        <v>84</v>
      </c>
      <c r="AN66" s="2" t="s">
        <v>84</v>
      </c>
      <c r="AO66" s="2" t="s">
        <v>84</v>
      </c>
      <c r="AP66" s="2" t="s">
        <v>84</v>
      </c>
      <c r="AQ66" s="2" t="s">
        <v>85</v>
      </c>
      <c r="AR66" s="2" t="s">
        <v>86</v>
      </c>
      <c r="AS66" s="2" t="s">
        <v>84</v>
      </c>
      <c r="AT66" s="2" t="s">
        <v>86</v>
      </c>
      <c r="AU66" s="2"/>
      <c r="AV66" s="2" t="s">
        <v>80</v>
      </c>
      <c r="AW66" s="2"/>
      <c r="AX66" s="2"/>
      <c r="AY66" s="2" t="s">
        <v>80</v>
      </c>
      <c r="AZ66" s="2" t="s">
        <v>80</v>
      </c>
      <c r="BA66" s="2"/>
      <c r="BB66" s="2" t="s">
        <v>100</v>
      </c>
      <c r="BC66" s="2" t="s">
        <v>1132</v>
      </c>
      <c r="BD66" s="2" t="s">
        <v>102</v>
      </c>
      <c r="BE66" s="2" t="s">
        <v>79</v>
      </c>
      <c r="BF66" s="2"/>
      <c r="BG66" s="2" t="s">
        <v>1133</v>
      </c>
      <c r="BH66" s="2" t="s">
        <v>153</v>
      </c>
      <c r="BI66" s="2" t="s">
        <v>79</v>
      </c>
      <c r="BJ66" s="2" t="s">
        <v>107</v>
      </c>
      <c r="BK66" s="2" t="s">
        <v>1134</v>
      </c>
      <c r="BL66" s="2" t="s">
        <v>79</v>
      </c>
      <c r="BM66" s="2" t="s">
        <v>109</v>
      </c>
    </row>
    <row r="67" spans="1:65" ht="409.5" x14ac:dyDescent="0.25">
      <c r="A67" s="2" t="s">
        <v>1135</v>
      </c>
      <c r="B67" s="2">
        <v>2023</v>
      </c>
      <c r="C67" s="2" t="s">
        <v>111</v>
      </c>
      <c r="D67" s="2" t="s">
        <v>79</v>
      </c>
      <c r="E67" s="2" t="s">
        <v>1141</v>
      </c>
      <c r="F67" s="2" t="s">
        <v>106</v>
      </c>
      <c r="G67" s="2"/>
      <c r="H67" s="2" t="s">
        <v>106</v>
      </c>
      <c r="I67" s="2" t="s">
        <v>1140</v>
      </c>
      <c r="J67" s="2" t="s">
        <v>1142</v>
      </c>
      <c r="K67" s="2" t="s">
        <v>80</v>
      </c>
      <c r="L67" s="2" t="s">
        <v>1137</v>
      </c>
      <c r="M67" s="2" t="s">
        <v>79</v>
      </c>
      <c r="N67" s="2" t="s">
        <v>92</v>
      </c>
      <c r="O67" s="2" t="s">
        <v>1138</v>
      </c>
      <c r="P67" s="2" t="s">
        <v>143</v>
      </c>
      <c r="Q67" s="2" t="s">
        <v>90</v>
      </c>
      <c r="R67" s="2" t="s">
        <v>80</v>
      </c>
      <c r="S67" s="2" t="s">
        <v>80</v>
      </c>
      <c r="T67" s="2"/>
      <c r="U67" s="2"/>
      <c r="V67" s="2"/>
      <c r="W67" s="2" t="s">
        <v>80</v>
      </c>
      <c r="X67" s="2"/>
      <c r="Y67" s="2" t="s">
        <v>92</v>
      </c>
      <c r="Z67" s="2" t="s">
        <v>271</v>
      </c>
      <c r="AA67" s="2" t="s">
        <v>656</v>
      </c>
      <c r="AB67" s="2" t="s">
        <v>1139</v>
      </c>
      <c r="AC67" s="2" t="s">
        <v>95</v>
      </c>
      <c r="AD67" s="2" t="s">
        <v>80</v>
      </c>
      <c r="AE67" s="2"/>
      <c r="AF67" s="2"/>
      <c r="AG67" s="2"/>
      <c r="AH67" s="2" t="s">
        <v>1136</v>
      </c>
      <c r="AI67" s="2" t="s">
        <v>82</v>
      </c>
      <c r="AJ67" s="2">
        <v>4.5</v>
      </c>
      <c r="AK67" s="2" t="s">
        <v>84</v>
      </c>
      <c r="AL67" s="2" t="s">
        <v>86</v>
      </c>
      <c r="AM67" s="2" t="s">
        <v>85</v>
      </c>
      <c r="AN67" s="2" t="s">
        <v>86</v>
      </c>
      <c r="AO67" s="2" t="s">
        <v>84</v>
      </c>
      <c r="AP67" s="2" t="s">
        <v>84</v>
      </c>
      <c r="AQ67" s="2" t="s">
        <v>86</v>
      </c>
      <c r="AR67" s="2" t="s">
        <v>86</v>
      </c>
      <c r="AS67" s="2" t="s">
        <v>84</v>
      </c>
      <c r="AT67" s="2" t="s">
        <v>86</v>
      </c>
      <c r="AU67" s="2"/>
      <c r="AV67" s="2" t="s">
        <v>80</v>
      </c>
      <c r="AW67" s="2"/>
      <c r="AX67" s="2"/>
      <c r="AY67" s="2" t="s">
        <v>80</v>
      </c>
      <c r="AZ67" s="2" t="s">
        <v>80</v>
      </c>
      <c r="BA67" s="2"/>
      <c r="BB67" s="2" t="s">
        <v>1143</v>
      </c>
      <c r="BC67" s="2" t="s">
        <v>1144</v>
      </c>
      <c r="BD67" s="2" t="s">
        <v>514</v>
      </c>
      <c r="BE67" s="2" t="s">
        <v>79</v>
      </c>
      <c r="BF67" s="2"/>
      <c r="BG67" s="2" t="s">
        <v>1145</v>
      </c>
      <c r="BH67" s="2" t="s">
        <v>153</v>
      </c>
      <c r="BI67" s="2" t="s">
        <v>106</v>
      </c>
      <c r="BJ67" s="2" t="s">
        <v>107</v>
      </c>
      <c r="BK67" s="2" t="s">
        <v>1146</v>
      </c>
      <c r="BL67" s="2" t="s">
        <v>79</v>
      </c>
      <c r="BM67" s="2" t="s">
        <v>172</v>
      </c>
    </row>
    <row r="68" spans="1:65" ht="409.5" x14ac:dyDescent="0.25">
      <c r="A68" s="2" t="s">
        <v>1147</v>
      </c>
      <c r="B68" s="2">
        <v>2023</v>
      </c>
      <c r="C68" s="2" t="s">
        <v>111</v>
      </c>
      <c r="D68" s="2" t="s">
        <v>79</v>
      </c>
      <c r="E68" s="2" t="s">
        <v>1154</v>
      </c>
      <c r="F68" s="2" t="s">
        <v>80</v>
      </c>
      <c r="G68" s="2"/>
      <c r="H68" s="2" t="s">
        <v>106</v>
      </c>
      <c r="I68" s="2" t="s">
        <v>1153</v>
      </c>
      <c r="J68" s="2" t="s">
        <v>1155</v>
      </c>
      <c r="K68" s="2" t="s">
        <v>80</v>
      </c>
      <c r="L68" s="2" t="s">
        <v>1149</v>
      </c>
      <c r="M68" s="2" t="s">
        <v>79</v>
      </c>
      <c r="N68" s="2" t="s">
        <v>79</v>
      </c>
      <c r="O68" s="2" t="s">
        <v>1150</v>
      </c>
      <c r="P68" s="2" t="s">
        <v>143</v>
      </c>
      <c r="Q68" s="2" t="s">
        <v>90</v>
      </c>
      <c r="R68" s="2" t="s">
        <v>79</v>
      </c>
      <c r="S68" s="2" t="s">
        <v>92</v>
      </c>
      <c r="T68" s="2" t="s">
        <v>1151</v>
      </c>
      <c r="U68" s="2"/>
      <c r="V68" s="2" t="s">
        <v>155</v>
      </c>
      <c r="W68" s="2" t="s">
        <v>80</v>
      </c>
      <c r="X68" s="2"/>
      <c r="Y68" s="2" t="s">
        <v>92</v>
      </c>
      <c r="Z68" s="2" t="s">
        <v>613</v>
      </c>
      <c r="AA68" s="2" t="s">
        <v>243</v>
      </c>
      <c r="AB68" s="2" t="s">
        <v>1152</v>
      </c>
      <c r="AC68" s="2" t="s">
        <v>95</v>
      </c>
      <c r="AD68" s="2" t="s">
        <v>80</v>
      </c>
      <c r="AE68" s="2"/>
      <c r="AF68" s="2"/>
      <c r="AG68" s="2"/>
      <c r="AH68" s="2" t="s">
        <v>1148</v>
      </c>
      <c r="AI68" s="2" t="s">
        <v>82</v>
      </c>
      <c r="AJ68" s="2">
        <v>9.5</v>
      </c>
      <c r="AK68" s="2" t="s">
        <v>84</v>
      </c>
      <c r="AL68" s="2" t="s">
        <v>84</v>
      </c>
      <c r="AM68" s="2" t="s">
        <v>84</v>
      </c>
      <c r="AN68" s="2" t="s">
        <v>84</v>
      </c>
      <c r="AO68" s="2" t="s">
        <v>84</v>
      </c>
      <c r="AP68" s="2" t="s">
        <v>84</v>
      </c>
      <c r="AQ68" s="2" t="s">
        <v>84</v>
      </c>
      <c r="AR68" s="2" t="s">
        <v>84</v>
      </c>
      <c r="AS68" s="2" t="s">
        <v>84</v>
      </c>
      <c r="AT68" s="2" t="s">
        <v>85</v>
      </c>
      <c r="AU68" s="2" t="s">
        <v>106</v>
      </c>
      <c r="AV68" s="2" t="s">
        <v>80</v>
      </c>
      <c r="AW68" s="2"/>
      <c r="AX68" s="2" t="s">
        <v>106</v>
      </c>
      <c r="AY68" s="2" t="s">
        <v>79</v>
      </c>
      <c r="AZ68" s="2" t="s">
        <v>92</v>
      </c>
      <c r="BA68" s="2" t="s">
        <v>1156</v>
      </c>
      <c r="BB68" s="2" t="s">
        <v>303</v>
      </c>
      <c r="BC68" s="2" t="s">
        <v>1157</v>
      </c>
      <c r="BD68" s="2" t="s">
        <v>143</v>
      </c>
      <c r="BE68" s="2" t="s">
        <v>79</v>
      </c>
      <c r="BF68" s="2" t="s">
        <v>364</v>
      </c>
      <c r="BG68" s="2" t="s">
        <v>1158</v>
      </c>
      <c r="BH68" s="2" t="s">
        <v>104</v>
      </c>
      <c r="BI68" s="2" t="s">
        <v>79</v>
      </c>
      <c r="BJ68" s="2" t="s">
        <v>429</v>
      </c>
      <c r="BK68" s="2" t="s">
        <v>1159</v>
      </c>
      <c r="BL68" s="2" t="s">
        <v>79</v>
      </c>
      <c r="BM68" s="2" t="s">
        <v>172</v>
      </c>
    </row>
    <row r="69" spans="1:65" ht="409.5" x14ac:dyDescent="0.25">
      <c r="A69" s="2" t="s">
        <v>1160</v>
      </c>
      <c r="B69" s="2">
        <v>2024</v>
      </c>
      <c r="C69" s="2" t="s">
        <v>111</v>
      </c>
      <c r="D69" s="2" t="s">
        <v>79</v>
      </c>
      <c r="E69" s="2" t="s">
        <v>1169</v>
      </c>
      <c r="F69" s="2" t="s">
        <v>80</v>
      </c>
      <c r="G69" s="2"/>
      <c r="H69" s="2" t="s">
        <v>80</v>
      </c>
      <c r="I69" s="2" t="s">
        <v>1168</v>
      </c>
      <c r="J69" s="2" t="s">
        <v>1170</v>
      </c>
      <c r="K69" s="2" t="s">
        <v>80</v>
      </c>
      <c r="L69" s="2" t="s">
        <v>1162</v>
      </c>
      <c r="M69" s="2" t="s">
        <v>79</v>
      </c>
      <c r="N69" s="2" t="s">
        <v>79</v>
      </c>
      <c r="O69" s="2" t="s">
        <v>1163</v>
      </c>
      <c r="P69" s="2" t="s">
        <v>842</v>
      </c>
      <c r="Q69" s="2" t="s">
        <v>116</v>
      </c>
      <c r="R69" s="2" t="s">
        <v>79</v>
      </c>
      <c r="S69" s="2" t="s">
        <v>92</v>
      </c>
      <c r="T69" s="2" t="s">
        <v>1164</v>
      </c>
      <c r="U69" s="2" t="s">
        <v>143</v>
      </c>
      <c r="V69" s="2" t="s">
        <v>1165</v>
      </c>
      <c r="W69" s="2" t="s">
        <v>79</v>
      </c>
      <c r="X69" s="2" t="s">
        <v>1166</v>
      </c>
      <c r="Y69" s="2" t="s">
        <v>92</v>
      </c>
      <c r="Z69" s="2" t="s">
        <v>936</v>
      </c>
      <c r="AA69" s="2" t="s">
        <v>909</v>
      </c>
      <c r="AB69" s="2" t="s">
        <v>1167</v>
      </c>
      <c r="AC69" s="2" t="s">
        <v>95</v>
      </c>
      <c r="AD69" s="2" t="s">
        <v>80</v>
      </c>
      <c r="AE69" s="2"/>
      <c r="AF69" s="2"/>
      <c r="AG69" s="2"/>
      <c r="AH69" s="2" t="s">
        <v>1161</v>
      </c>
      <c r="AI69" s="2" t="s">
        <v>82</v>
      </c>
      <c r="AJ69" s="2">
        <v>10</v>
      </c>
      <c r="AK69" s="2" t="s">
        <v>84</v>
      </c>
      <c r="AL69" s="2" t="s">
        <v>84</v>
      </c>
      <c r="AM69" s="2" t="s">
        <v>84</v>
      </c>
      <c r="AN69" s="2" t="s">
        <v>84</v>
      </c>
      <c r="AO69" s="2" t="s">
        <v>84</v>
      </c>
      <c r="AP69" s="2" t="s">
        <v>84</v>
      </c>
      <c r="AQ69" s="2" t="s">
        <v>84</v>
      </c>
      <c r="AR69" s="2" t="s">
        <v>84</v>
      </c>
      <c r="AS69" s="2" t="s">
        <v>84</v>
      </c>
      <c r="AT69" s="2" t="s">
        <v>84</v>
      </c>
      <c r="AU69" s="2" t="s">
        <v>106</v>
      </c>
      <c r="AV69" s="2" t="s">
        <v>80</v>
      </c>
      <c r="AW69" s="2"/>
      <c r="AX69" s="2" t="s">
        <v>106</v>
      </c>
      <c r="AY69" s="2" t="s">
        <v>79</v>
      </c>
      <c r="AZ69" s="2" t="s">
        <v>80</v>
      </c>
      <c r="BA69" s="2" t="s">
        <v>1171</v>
      </c>
      <c r="BB69" s="2" t="s">
        <v>100</v>
      </c>
      <c r="BC69" s="2" t="s">
        <v>1172</v>
      </c>
      <c r="BD69" s="2" t="s">
        <v>102</v>
      </c>
      <c r="BE69" s="2" t="s">
        <v>79</v>
      </c>
      <c r="BF69" s="2"/>
      <c r="BG69" s="2" t="s">
        <v>1173</v>
      </c>
      <c r="BH69" s="2" t="s">
        <v>856</v>
      </c>
      <c r="BI69" s="2" t="s">
        <v>79</v>
      </c>
      <c r="BJ69" s="2" t="s">
        <v>107</v>
      </c>
      <c r="BK69" s="2" t="s">
        <v>1174</v>
      </c>
      <c r="BL69" s="2" t="s">
        <v>79</v>
      </c>
      <c r="BM69" s="2" t="s">
        <v>109</v>
      </c>
    </row>
    <row r="70" spans="1:65" ht="409.5" x14ac:dyDescent="0.25">
      <c r="A70" s="2" t="s">
        <v>1175</v>
      </c>
      <c r="B70" s="2">
        <v>2024</v>
      </c>
      <c r="C70" s="2" t="s">
        <v>566</v>
      </c>
      <c r="D70" s="2" t="s">
        <v>79</v>
      </c>
      <c r="E70" s="2" t="s">
        <v>1183</v>
      </c>
      <c r="F70" s="2" t="s">
        <v>80</v>
      </c>
      <c r="G70" s="2"/>
      <c r="H70" s="2" t="s">
        <v>80</v>
      </c>
      <c r="I70" s="2" t="s">
        <v>1182</v>
      </c>
      <c r="J70" s="2" t="s">
        <v>1184</v>
      </c>
      <c r="K70" s="2" t="s">
        <v>80</v>
      </c>
      <c r="L70" s="2" t="s">
        <v>1177</v>
      </c>
      <c r="M70" s="2" t="s">
        <v>79</v>
      </c>
      <c r="N70" s="2" t="s">
        <v>79</v>
      </c>
      <c r="O70" s="2" t="s">
        <v>1178</v>
      </c>
      <c r="P70" s="2" t="s">
        <v>478</v>
      </c>
      <c r="Q70" s="2" t="s">
        <v>116</v>
      </c>
      <c r="R70" s="2" t="s">
        <v>79</v>
      </c>
      <c r="S70" s="2" t="s">
        <v>92</v>
      </c>
      <c r="T70" s="2" t="s">
        <v>1179</v>
      </c>
      <c r="U70" s="2" t="s">
        <v>143</v>
      </c>
      <c r="V70" s="2" t="s">
        <v>844</v>
      </c>
      <c r="W70" s="2" t="s">
        <v>79</v>
      </c>
      <c r="X70" s="2" t="s">
        <v>1180</v>
      </c>
      <c r="Y70" s="2" t="s">
        <v>92</v>
      </c>
      <c r="Z70" s="2" t="s">
        <v>714</v>
      </c>
      <c r="AA70" s="2" t="s">
        <v>465</v>
      </c>
      <c r="AB70" s="2" t="s">
        <v>1181</v>
      </c>
      <c r="AC70" s="2" t="s">
        <v>95</v>
      </c>
      <c r="AD70" s="2" t="s">
        <v>80</v>
      </c>
      <c r="AE70" s="2"/>
      <c r="AF70" s="2"/>
      <c r="AG70" s="2"/>
      <c r="AH70" s="2" t="s">
        <v>1176</v>
      </c>
      <c r="AI70" s="2" t="s">
        <v>82</v>
      </c>
      <c r="AJ70" s="2">
        <v>9</v>
      </c>
      <c r="AK70" s="2" t="s">
        <v>84</v>
      </c>
      <c r="AL70" s="2" t="s">
        <v>84</v>
      </c>
      <c r="AM70" s="2" t="s">
        <v>84</v>
      </c>
      <c r="AN70" s="2" t="s">
        <v>84</v>
      </c>
      <c r="AO70" s="2" t="s">
        <v>86</v>
      </c>
      <c r="AP70" s="2" t="s">
        <v>84</v>
      </c>
      <c r="AQ70" s="2" t="s">
        <v>84</v>
      </c>
      <c r="AR70" s="2" t="s">
        <v>84</v>
      </c>
      <c r="AS70" s="2" t="s">
        <v>84</v>
      </c>
      <c r="AT70" s="2" t="s">
        <v>84</v>
      </c>
      <c r="AU70" s="2" t="s">
        <v>106</v>
      </c>
      <c r="AV70" s="2" t="s">
        <v>80</v>
      </c>
      <c r="AW70" s="2"/>
      <c r="AX70" s="2" t="s">
        <v>106</v>
      </c>
      <c r="AY70" s="2" t="s">
        <v>79</v>
      </c>
      <c r="AZ70" s="2" t="s">
        <v>92</v>
      </c>
      <c r="BA70" s="2" t="s">
        <v>1185</v>
      </c>
      <c r="BB70" s="2" t="s">
        <v>100</v>
      </c>
      <c r="BC70" s="2" t="s">
        <v>1186</v>
      </c>
      <c r="BD70" s="2" t="s">
        <v>102</v>
      </c>
      <c r="BE70" s="2" t="s">
        <v>79</v>
      </c>
      <c r="BF70" s="2"/>
      <c r="BG70" s="2" t="s">
        <v>1187</v>
      </c>
      <c r="BH70" s="2" t="s">
        <v>648</v>
      </c>
      <c r="BI70" s="2" t="s">
        <v>79</v>
      </c>
      <c r="BJ70" s="2" t="s">
        <v>107</v>
      </c>
      <c r="BK70" s="2" t="s">
        <v>1188</v>
      </c>
      <c r="BL70" s="2" t="s">
        <v>79</v>
      </c>
      <c r="BM70" s="2" t="s">
        <v>109</v>
      </c>
    </row>
    <row r="71" spans="1:65" ht="409.5" x14ac:dyDescent="0.25">
      <c r="A71" s="2" t="s">
        <v>1189</v>
      </c>
      <c r="B71" s="2">
        <v>2024</v>
      </c>
      <c r="C71" s="2" t="s">
        <v>78</v>
      </c>
      <c r="D71" s="2" t="s">
        <v>79</v>
      </c>
      <c r="E71" s="2" t="s">
        <v>1197</v>
      </c>
      <c r="F71" s="2" t="s">
        <v>79</v>
      </c>
      <c r="G71" s="2" t="s">
        <v>1202</v>
      </c>
      <c r="H71" s="2" t="s">
        <v>79</v>
      </c>
      <c r="I71" s="2" t="s">
        <v>1196</v>
      </c>
      <c r="J71" s="2" t="s">
        <v>1198</v>
      </c>
      <c r="K71" s="2" t="s">
        <v>79</v>
      </c>
      <c r="L71" s="2" t="s">
        <v>1192</v>
      </c>
      <c r="M71" s="2" t="s">
        <v>79</v>
      </c>
      <c r="N71" s="2" t="s">
        <v>79</v>
      </c>
      <c r="O71" s="2" t="s">
        <v>1193</v>
      </c>
      <c r="P71" s="2" t="s">
        <v>89</v>
      </c>
      <c r="Q71" s="2" t="s">
        <v>90</v>
      </c>
      <c r="R71" s="2" t="s">
        <v>79</v>
      </c>
      <c r="S71" s="2" t="s">
        <v>92</v>
      </c>
      <c r="T71" s="2" t="s">
        <v>1194</v>
      </c>
      <c r="U71" s="2"/>
      <c r="V71" s="2" t="s">
        <v>155</v>
      </c>
      <c r="W71" s="2" t="s">
        <v>80</v>
      </c>
      <c r="X71" s="2"/>
      <c r="Y71" s="2" t="s">
        <v>92</v>
      </c>
      <c r="Z71" s="2" t="s">
        <v>1190</v>
      </c>
      <c r="AA71" s="2" t="s">
        <v>465</v>
      </c>
      <c r="AB71" s="2" t="s">
        <v>1195</v>
      </c>
      <c r="AC71" s="2" t="s">
        <v>95</v>
      </c>
      <c r="AD71" s="2" t="s">
        <v>80</v>
      </c>
      <c r="AE71" s="2"/>
      <c r="AF71" s="2"/>
      <c r="AG71" s="2"/>
      <c r="AH71" s="2" t="s">
        <v>1191</v>
      </c>
      <c r="AI71" s="2" t="s">
        <v>82</v>
      </c>
      <c r="AJ71" s="2">
        <v>8.5</v>
      </c>
      <c r="AK71" s="2" t="s">
        <v>84</v>
      </c>
      <c r="AL71" s="2" t="s">
        <v>84</v>
      </c>
      <c r="AM71" s="2" t="s">
        <v>84</v>
      </c>
      <c r="AN71" s="2" t="s">
        <v>84</v>
      </c>
      <c r="AO71" s="2" t="s">
        <v>84</v>
      </c>
      <c r="AP71" s="2" t="s">
        <v>84</v>
      </c>
      <c r="AQ71" s="2" t="s">
        <v>84</v>
      </c>
      <c r="AR71" s="2" t="s">
        <v>86</v>
      </c>
      <c r="AS71" s="2" t="s">
        <v>84</v>
      </c>
      <c r="AT71" s="2" t="s">
        <v>85</v>
      </c>
      <c r="AU71" s="2" t="s">
        <v>106</v>
      </c>
      <c r="AV71" s="2" t="s">
        <v>80</v>
      </c>
      <c r="AW71" s="2"/>
      <c r="AX71" s="2" t="s">
        <v>106</v>
      </c>
      <c r="AY71" s="2" t="s">
        <v>79</v>
      </c>
      <c r="AZ71" s="2" t="s">
        <v>92</v>
      </c>
      <c r="BA71" s="2" t="s">
        <v>1199</v>
      </c>
      <c r="BB71" s="2" t="s">
        <v>100</v>
      </c>
      <c r="BC71" s="2" t="s">
        <v>1200</v>
      </c>
      <c r="BD71" s="2" t="s">
        <v>202</v>
      </c>
      <c r="BE71" s="2" t="s">
        <v>79</v>
      </c>
      <c r="BF71" s="2"/>
      <c r="BG71" s="2" t="s">
        <v>1201</v>
      </c>
      <c r="BH71" s="2" t="s">
        <v>104</v>
      </c>
      <c r="BI71" s="2" t="s">
        <v>79</v>
      </c>
      <c r="BJ71" s="2" t="s">
        <v>367</v>
      </c>
      <c r="BK71" s="2" t="s">
        <v>1203</v>
      </c>
      <c r="BL71" s="2" t="s">
        <v>79</v>
      </c>
      <c r="BM71" s="2" t="s">
        <v>109</v>
      </c>
    </row>
    <row r="72" spans="1:65" ht="409.5" x14ac:dyDescent="0.25">
      <c r="A72" s="2" t="s">
        <v>1204</v>
      </c>
      <c r="B72" s="2">
        <v>2024</v>
      </c>
      <c r="C72" s="2" t="s">
        <v>111</v>
      </c>
      <c r="D72" s="2" t="s">
        <v>79</v>
      </c>
      <c r="E72" s="2" t="s">
        <v>1212</v>
      </c>
      <c r="F72" s="2" t="s">
        <v>79</v>
      </c>
      <c r="G72" s="2" t="s">
        <v>1217</v>
      </c>
      <c r="H72" s="2" t="s">
        <v>79</v>
      </c>
      <c r="I72" s="2" t="s">
        <v>1211</v>
      </c>
      <c r="J72" s="2" t="s">
        <v>1213</v>
      </c>
      <c r="K72" s="2" t="s">
        <v>79</v>
      </c>
      <c r="L72" s="2" t="s">
        <v>1206</v>
      </c>
      <c r="M72" s="2" t="s">
        <v>79</v>
      </c>
      <c r="N72" s="2" t="s">
        <v>79</v>
      </c>
      <c r="O72" s="2" t="s">
        <v>1207</v>
      </c>
      <c r="P72" s="2" t="s">
        <v>89</v>
      </c>
      <c r="Q72" s="2" t="s">
        <v>116</v>
      </c>
      <c r="R72" s="2" t="s">
        <v>79</v>
      </c>
      <c r="S72" s="2" t="s">
        <v>92</v>
      </c>
      <c r="T72" s="2" t="s">
        <v>1208</v>
      </c>
      <c r="U72" s="2" t="s">
        <v>143</v>
      </c>
      <c r="V72" s="2" t="s">
        <v>1072</v>
      </c>
      <c r="W72" s="2" t="s">
        <v>79</v>
      </c>
      <c r="X72" s="2" t="s">
        <v>1209</v>
      </c>
      <c r="Y72" s="2" t="s">
        <v>92</v>
      </c>
      <c r="Z72" s="2" t="s">
        <v>1190</v>
      </c>
      <c r="AA72" s="2" t="s">
        <v>465</v>
      </c>
      <c r="AB72" s="2" t="s">
        <v>1210</v>
      </c>
      <c r="AC72" s="2" t="s">
        <v>95</v>
      </c>
      <c r="AD72" s="2" t="s">
        <v>80</v>
      </c>
      <c r="AE72" s="2"/>
      <c r="AF72" s="2"/>
      <c r="AG72" s="2"/>
      <c r="AH72" s="2" t="s">
        <v>1205</v>
      </c>
      <c r="AI72" s="2" t="s">
        <v>82</v>
      </c>
      <c r="AJ72" s="2">
        <v>10</v>
      </c>
      <c r="AK72" s="2" t="s">
        <v>84</v>
      </c>
      <c r="AL72" s="2" t="s">
        <v>84</v>
      </c>
      <c r="AM72" s="2" t="s">
        <v>84</v>
      </c>
      <c r="AN72" s="2" t="s">
        <v>84</v>
      </c>
      <c r="AO72" s="2" t="s">
        <v>84</v>
      </c>
      <c r="AP72" s="2" t="s">
        <v>84</v>
      </c>
      <c r="AQ72" s="2" t="s">
        <v>84</v>
      </c>
      <c r="AR72" s="2" t="s">
        <v>84</v>
      </c>
      <c r="AS72" s="2" t="s">
        <v>84</v>
      </c>
      <c r="AT72" s="2" t="s">
        <v>84</v>
      </c>
      <c r="AU72" s="2" t="s">
        <v>106</v>
      </c>
      <c r="AV72" s="2" t="s">
        <v>80</v>
      </c>
      <c r="AW72" s="2"/>
      <c r="AX72" s="2" t="s">
        <v>106</v>
      </c>
      <c r="AY72" s="2" t="s">
        <v>79</v>
      </c>
      <c r="AZ72" s="2" t="s">
        <v>92</v>
      </c>
      <c r="BA72" s="2" t="s">
        <v>1214</v>
      </c>
      <c r="BB72" s="2" t="s">
        <v>100</v>
      </c>
      <c r="BC72" s="2" t="s">
        <v>1215</v>
      </c>
      <c r="BD72" s="2" t="s">
        <v>202</v>
      </c>
      <c r="BE72" s="2" t="s">
        <v>79</v>
      </c>
      <c r="BF72" s="2"/>
      <c r="BG72" s="2" t="s">
        <v>1216</v>
      </c>
      <c r="BH72" s="2" t="s">
        <v>153</v>
      </c>
      <c r="BI72" s="2" t="s">
        <v>79</v>
      </c>
      <c r="BJ72" s="2" t="s">
        <v>107</v>
      </c>
      <c r="BK72" s="2" t="s">
        <v>1218</v>
      </c>
      <c r="BL72" s="2" t="s">
        <v>79</v>
      </c>
      <c r="BM72" s="2" t="s">
        <v>109</v>
      </c>
    </row>
    <row r="73" spans="1:65" ht="409.5" x14ac:dyDescent="0.25">
      <c r="A73" s="2" t="s">
        <v>1219</v>
      </c>
      <c r="B73" s="2">
        <v>2024</v>
      </c>
      <c r="C73" s="2" t="s">
        <v>111</v>
      </c>
      <c r="D73" s="2" t="s">
        <v>79</v>
      </c>
      <c r="E73" s="2" t="s">
        <v>1226</v>
      </c>
      <c r="F73" s="2" t="s">
        <v>92</v>
      </c>
      <c r="G73" s="2" t="s">
        <v>1231</v>
      </c>
      <c r="H73" s="2" t="s">
        <v>106</v>
      </c>
      <c r="I73" s="2" t="s">
        <v>1225</v>
      </c>
      <c r="J73" s="2" t="s">
        <v>1227</v>
      </c>
      <c r="K73" s="2" t="s">
        <v>80</v>
      </c>
      <c r="L73" s="2" t="s">
        <v>1221</v>
      </c>
      <c r="M73" s="2" t="s">
        <v>79</v>
      </c>
      <c r="N73" s="2" t="s">
        <v>79</v>
      </c>
      <c r="O73" s="2" t="s">
        <v>1222</v>
      </c>
      <c r="P73" s="2" t="s">
        <v>143</v>
      </c>
      <c r="Q73" s="2" t="s">
        <v>116</v>
      </c>
      <c r="R73" s="2" t="s">
        <v>79</v>
      </c>
      <c r="S73" s="2" t="s">
        <v>92</v>
      </c>
      <c r="T73" s="2" t="s">
        <v>1223</v>
      </c>
      <c r="U73" s="2"/>
      <c r="V73" s="2" t="s">
        <v>155</v>
      </c>
      <c r="W73" s="2" t="s">
        <v>80</v>
      </c>
      <c r="X73" s="2"/>
      <c r="Y73" s="2" t="s">
        <v>92</v>
      </c>
      <c r="Z73" s="2" t="s">
        <v>714</v>
      </c>
      <c r="AA73" s="2" t="s">
        <v>118</v>
      </c>
      <c r="AB73" s="2" t="s">
        <v>1224</v>
      </c>
      <c r="AC73" s="2" t="s">
        <v>95</v>
      </c>
      <c r="AD73" s="2" t="s">
        <v>80</v>
      </c>
      <c r="AE73" s="2"/>
      <c r="AF73" s="2"/>
      <c r="AG73" s="2"/>
      <c r="AH73" s="2" t="s">
        <v>1220</v>
      </c>
      <c r="AI73" s="2" t="s">
        <v>82</v>
      </c>
      <c r="AJ73" s="2">
        <v>8.5</v>
      </c>
      <c r="AK73" s="2" t="s">
        <v>84</v>
      </c>
      <c r="AL73" s="2" t="s">
        <v>84</v>
      </c>
      <c r="AM73" s="2" t="s">
        <v>84</v>
      </c>
      <c r="AN73" s="2" t="s">
        <v>84</v>
      </c>
      <c r="AO73" s="2" t="s">
        <v>84</v>
      </c>
      <c r="AP73" s="2" t="s">
        <v>84</v>
      </c>
      <c r="AQ73" s="2" t="s">
        <v>84</v>
      </c>
      <c r="AR73" s="2" t="s">
        <v>86</v>
      </c>
      <c r="AS73" s="2" t="s">
        <v>84</v>
      </c>
      <c r="AT73" s="2" t="s">
        <v>85</v>
      </c>
      <c r="AU73" s="2" t="s">
        <v>106</v>
      </c>
      <c r="AV73" s="2" t="s">
        <v>80</v>
      </c>
      <c r="AW73" s="2"/>
      <c r="AX73" s="2" t="s">
        <v>106</v>
      </c>
      <c r="AY73" s="2" t="s">
        <v>79</v>
      </c>
      <c r="AZ73" s="2" t="s">
        <v>92</v>
      </c>
      <c r="BA73" s="2" t="s">
        <v>1228</v>
      </c>
      <c r="BB73" s="2" t="s">
        <v>100</v>
      </c>
      <c r="BC73" s="2" t="s">
        <v>1229</v>
      </c>
      <c r="BD73" s="2" t="s">
        <v>426</v>
      </c>
      <c r="BE73" s="2" t="s">
        <v>79</v>
      </c>
      <c r="BF73" s="2"/>
      <c r="BG73" s="2" t="s">
        <v>1230</v>
      </c>
      <c r="BH73" s="2" t="s">
        <v>153</v>
      </c>
      <c r="BI73" s="2" t="s">
        <v>79</v>
      </c>
      <c r="BJ73" s="2" t="s">
        <v>107</v>
      </c>
      <c r="BK73" s="2" t="s">
        <v>1232</v>
      </c>
      <c r="BL73" s="2" t="s">
        <v>79</v>
      </c>
      <c r="BM73" s="2" t="s">
        <v>172</v>
      </c>
    </row>
    <row r="74" spans="1:65" ht="409.5" x14ac:dyDescent="0.25">
      <c r="A74" s="2" t="s">
        <v>1233</v>
      </c>
      <c r="B74" s="2">
        <v>2025</v>
      </c>
      <c r="C74" s="2" t="s">
        <v>111</v>
      </c>
      <c r="D74" s="2" t="s">
        <v>79</v>
      </c>
      <c r="E74" s="2" t="s">
        <v>1240</v>
      </c>
      <c r="F74" s="2" t="s">
        <v>92</v>
      </c>
      <c r="G74" s="2" t="s">
        <v>1246</v>
      </c>
      <c r="H74" s="2" t="s">
        <v>106</v>
      </c>
      <c r="I74" s="2" t="s">
        <v>1239</v>
      </c>
      <c r="J74" s="2" t="s">
        <v>1241</v>
      </c>
      <c r="K74" s="2" t="s">
        <v>80</v>
      </c>
      <c r="L74" s="2" t="s">
        <v>1235</v>
      </c>
      <c r="M74" s="2" t="s">
        <v>79</v>
      </c>
      <c r="N74" s="2" t="s">
        <v>79</v>
      </c>
      <c r="O74" s="2" t="s">
        <v>1236</v>
      </c>
      <c r="P74" s="2" t="s">
        <v>143</v>
      </c>
      <c r="Q74" s="2" t="s">
        <v>116</v>
      </c>
      <c r="R74" s="2" t="s">
        <v>79</v>
      </c>
      <c r="S74" s="2" t="s">
        <v>92</v>
      </c>
      <c r="T74" s="2" t="s">
        <v>1237</v>
      </c>
      <c r="U74" s="2"/>
      <c r="V74" s="2" t="s">
        <v>155</v>
      </c>
      <c r="W74" s="2" t="s">
        <v>80</v>
      </c>
      <c r="X74" s="2"/>
      <c r="Y74" s="2" t="s">
        <v>92</v>
      </c>
      <c r="Z74" s="2" t="s">
        <v>714</v>
      </c>
      <c r="AA74" s="2" t="s">
        <v>118</v>
      </c>
      <c r="AB74" s="2" t="s">
        <v>1238</v>
      </c>
      <c r="AC74" s="2" t="s">
        <v>95</v>
      </c>
      <c r="AD74" s="2" t="s">
        <v>80</v>
      </c>
      <c r="AE74" s="2"/>
      <c r="AF74" s="2"/>
      <c r="AG74" s="2"/>
      <c r="AH74" s="2" t="s">
        <v>1234</v>
      </c>
      <c r="AI74" s="2" t="s">
        <v>82</v>
      </c>
      <c r="AJ74" s="2">
        <v>8.5</v>
      </c>
      <c r="AK74" s="2" t="s">
        <v>84</v>
      </c>
      <c r="AL74" s="2" t="s">
        <v>84</v>
      </c>
      <c r="AM74" s="2" t="s">
        <v>84</v>
      </c>
      <c r="AN74" s="2" t="s">
        <v>84</v>
      </c>
      <c r="AO74" s="2" t="s">
        <v>84</v>
      </c>
      <c r="AP74" s="2" t="s">
        <v>84</v>
      </c>
      <c r="AQ74" s="2" t="s">
        <v>84</v>
      </c>
      <c r="AR74" s="2" t="s">
        <v>86</v>
      </c>
      <c r="AS74" s="2" t="s">
        <v>84</v>
      </c>
      <c r="AT74" s="2" t="s">
        <v>85</v>
      </c>
      <c r="AU74" s="2" t="s">
        <v>106</v>
      </c>
      <c r="AV74" s="2" t="s">
        <v>80</v>
      </c>
      <c r="AW74" s="2"/>
      <c r="AX74" s="2" t="s">
        <v>106</v>
      </c>
      <c r="AY74" s="2" t="s">
        <v>79</v>
      </c>
      <c r="AZ74" s="2" t="s">
        <v>92</v>
      </c>
      <c r="BA74" s="2" t="s">
        <v>1242</v>
      </c>
      <c r="BB74" s="2" t="s">
        <v>100</v>
      </c>
      <c r="BC74" s="2" t="s">
        <v>1243</v>
      </c>
      <c r="BD74" s="2" t="s">
        <v>426</v>
      </c>
      <c r="BE74" s="2" t="s">
        <v>79</v>
      </c>
      <c r="BF74" s="2" t="s">
        <v>1244</v>
      </c>
      <c r="BG74" s="2" t="s">
        <v>1245</v>
      </c>
      <c r="BH74" s="2" t="s">
        <v>153</v>
      </c>
      <c r="BI74" s="2" t="s">
        <v>79</v>
      </c>
      <c r="BJ74" s="2" t="s">
        <v>107</v>
      </c>
      <c r="BK74" s="2" t="s">
        <v>1247</v>
      </c>
      <c r="BL74" s="2" t="s">
        <v>79</v>
      </c>
      <c r="BM74" s="2" t="s">
        <v>172</v>
      </c>
    </row>
    <row r="75" spans="1:65" ht="409.5" x14ac:dyDescent="0.25">
      <c r="A75" s="2" t="s">
        <v>1248</v>
      </c>
      <c r="B75" s="2">
        <v>2025</v>
      </c>
      <c r="C75" s="2" t="s">
        <v>143</v>
      </c>
      <c r="D75" s="2" t="s">
        <v>79</v>
      </c>
      <c r="E75" s="2" t="s">
        <v>1256</v>
      </c>
      <c r="F75" s="2" t="s">
        <v>80</v>
      </c>
      <c r="G75" s="2"/>
      <c r="H75" s="2" t="s">
        <v>80</v>
      </c>
      <c r="I75" s="2" t="s">
        <v>1255</v>
      </c>
      <c r="J75" s="2" t="s">
        <v>1257</v>
      </c>
      <c r="K75" s="2" t="s">
        <v>80</v>
      </c>
      <c r="L75" s="2" t="s">
        <v>1250</v>
      </c>
      <c r="M75" s="2" t="s">
        <v>79</v>
      </c>
      <c r="N75" s="2" t="s">
        <v>92</v>
      </c>
      <c r="O75" s="2" t="s">
        <v>1251</v>
      </c>
      <c r="P75" s="2" t="s">
        <v>89</v>
      </c>
      <c r="Q75" s="2" t="s">
        <v>116</v>
      </c>
      <c r="R75" s="2" t="s">
        <v>79</v>
      </c>
      <c r="S75" s="2" t="s">
        <v>92</v>
      </c>
      <c r="T75" s="2" t="s">
        <v>1252</v>
      </c>
      <c r="U75" s="2"/>
      <c r="V75" s="2" t="s">
        <v>155</v>
      </c>
      <c r="W75" s="2" t="s">
        <v>80</v>
      </c>
      <c r="X75" s="2"/>
      <c r="Y75" s="2" t="s">
        <v>92</v>
      </c>
      <c r="Z75" s="2" t="s">
        <v>714</v>
      </c>
      <c r="AA75" s="2" t="s">
        <v>1253</v>
      </c>
      <c r="AB75" s="2" t="s">
        <v>1254</v>
      </c>
      <c r="AC75" s="2" t="s">
        <v>95</v>
      </c>
      <c r="AD75" s="2" t="s">
        <v>80</v>
      </c>
      <c r="AE75" s="2"/>
      <c r="AF75" s="2"/>
      <c r="AG75" s="2"/>
      <c r="AH75" s="2" t="s">
        <v>1249</v>
      </c>
      <c r="AI75" s="2" t="s">
        <v>82</v>
      </c>
      <c r="AJ75" s="2">
        <v>8</v>
      </c>
      <c r="AK75" s="2" t="s">
        <v>84</v>
      </c>
      <c r="AL75" s="2" t="s">
        <v>84</v>
      </c>
      <c r="AM75" s="2" t="s">
        <v>85</v>
      </c>
      <c r="AN75" s="2" t="s">
        <v>84</v>
      </c>
      <c r="AO75" s="2" t="s">
        <v>84</v>
      </c>
      <c r="AP75" s="2" t="s">
        <v>84</v>
      </c>
      <c r="AQ75" s="2" t="s">
        <v>84</v>
      </c>
      <c r="AR75" s="2" t="s">
        <v>86</v>
      </c>
      <c r="AS75" s="2" t="s">
        <v>84</v>
      </c>
      <c r="AT75" s="2" t="s">
        <v>85</v>
      </c>
      <c r="AU75" s="2" t="s">
        <v>106</v>
      </c>
      <c r="AV75" s="2" t="s">
        <v>80</v>
      </c>
      <c r="AW75" s="2"/>
      <c r="AX75" s="2" t="s">
        <v>106</v>
      </c>
      <c r="AY75" s="2" t="s">
        <v>80</v>
      </c>
      <c r="AZ75" s="2" t="s">
        <v>80</v>
      </c>
      <c r="BA75" s="2"/>
      <c r="BB75" s="2" t="s">
        <v>303</v>
      </c>
      <c r="BC75" s="2" t="s">
        <v>1258</v>
      </c>
      <c r="BD75" s="2" t="s">
        <v>1259</v>
      </c>
      <c r="BE75" s="2" t="s">
        <v>79</v>
      </c>
      <c r="BF75" s="2" t="s">
        <v>1244</v>
      </c>
      <c r="BG75" s="2" t="s">
        <v>1260</v>
      </c>
      <c r="BH75" s="2" t="s">
        <v>153</v>
      </c>
      <c r="BI75" s="2" t="s">
        <v>79</v>
      </c>
      <c r="BJ75" s="2" t="s">
        <v>107</v>
      </c>
      <c r="BK75" s="2" t="s">
        <v>1261</v>
      </c>
      <c r="BL75" s="2" t="s">
        <v>79</v>
      </c>
      <c r="BM75" s="2" t="s">
        <v>172</v>
      </c>
    </row>
    <row r="76" spans="1:65" ht="409.5" x14ac:dyDescent="0.25">
      <c r="A76" s="2" t="s">
        <v>1262</v>
      </c>
      <c r="B76" s="2">
        <v>2025</v>
      </c>
      <c r="C76" s="2" t="s">
        <v>78</v>
      </c>
      <c r="D76" s="2" t="s">
        <v>79</v>
      </c>
      <c r="E76" s="2" t="s">
        <v>1272</v>
      </c>
      <c r="F76" s="2" t="s">
        <v>80</v>
      </c>
      <c r="G76" s="2"/>
      <c r="H76" s="2" t="s">
        <v>80</v>
      </c>
      <c r="I76" s="2" t="s">
        <v>1271</v>
      </c>
      <c r="J76" s="2" t="s">
        <v>1273</v>
      </c>
      <c r="K76" s="2" t="s">
        <v>80</v>
      </c>
      <c r="L76" s="2" t="s">
        <v>1265</v>
      </c>
      <c r="M76" s="2" t="s">
        <v>79</v>
      </c>
      <c r="N76" s="2" t="s">
        <v>92</v>
      </c>
      <c r="O76" s="2" t="s">
        <v>1266</v>
      </c>
      <c r="P76" s="2" t="s">
        <v>89</v>
      </c>
      <c r="Q76" s="2" t="s">
        <v>116</v>
      </c>
      <c r="R76" s="2" t="s">
        <v>79</v>
      </c>
      <c r="S76" s="2" t="s">
        <v>92</v>
      </c>
      <c r="T76" s="2" t="s">
        <v>1267</v>
      </c>
      <c r="U76" s="2" t="s">
        <v>143</v>
      </c>
      <c r="V76" s="2" t="s">
        <v>1268</v>
      </c>
      <c r="W76" s="2" t="s">
        <v>79</v>
      </c>
      <c r="X76" s="2" t="s">
        <v>1269</v>
      </c>
      <c r="Y76" s="2" t="s">
        <v>92</v>
      </c>
      <c r="Z76" s="2" t="s">
        <v>1263</v>
      </c>
      <c r="AA76" s="2" t="s">
        <v>279</v>
      </c>
      <c r="AB76" s="2" t="s">
        <v>1270</v>
      </c>
      <c r="AC76" s="2" t="s">
        <v>95</v>
      </c>
      <c r="AD76" s="2" t="s">
        <v>80</v>
      </c>
      <c r="AE76" s="2"/>
      <c r="AF76" s="2"/>
      <c r="AG76" s="2"/>
      <c r="AH76" s="2" t="s">
        <v>1264</v>
      </c>
      <c r="AI76" s="2" t="s">
        <v>82</v>
      </c>
      <c r="AJ76" s="2">
        <v>8</v>
      </c>
      <c r="AK76" s="2" t="s">
        <v>84</v>
      </c>
      <c r="AL76" s="2" t="s">
        <v>84</v>
      </c>
      <c r="AM76" s="2" t="s">
        <v>85</v>
      </c>
      <c r="AN76" s="2" t="s">
        <v>84</v>
      </c>
      <c r="AO76" s="2" t="s">
        <v>86</v>
      </c>
      <c r="AP76" s="2" t="s">
        <v>84</v>
      </c>
      <c r="AQ76" s="2" t="s">
        <v>85</v>
      </c>
      <c r="AR76" s="2" t="s">
        <v>84</v>
      </c>
      <c r="AS76" s="2" t="s">
        <v>84</v>
      </c>
      <c r="AT76" s="2" t="s">
        <v>84</v>
      </c>
      <c r="AU76" s="2" t="s">
        <v>106</v>
      </c>
      <c r="AV76" s="2" t="s">
        <v>80</v>
      </c>
      <c r="AW76" s="2"/>
      <c r="AX76" s="2" t="s">
        <v>106</v>
      </c>
      <c r="AY76" s="2" t="s">
        <v>79</v>
      </c>
      <c r="AZ76" s="2" t="s">
        <v>79</v>
      </c>
      <c r="BA76" s="2" t="s">
        <v>1274</v>
      </c>
      <c r="BB76" s="2" t="s">
        <v>303</v>
      </c>
      <c r="BC76" s="2" t="s">
        <v>1275</v>
      </c>
      <c r="BD76" s="2" t="s">
        <v>1259</v>
      </c>
      <c r="BE76" s="2" t="s">
        <v>79</v>
      </c>
      <c r="BF76" s="2" t="s">
        <v>1276</v>
      </c>
      <c r="BG76" s="2" t="s">
        <v>1277</v>
      </c>
      <c r="BH76" s="2" t="s">
        <v>153</v>
      </c>
      <c r="BI76" s="2" t="s">
        <v>79</v>
      </c>
      <c r="BJ76" s="2" t="s">
        <v>289</v>
      </c>
      <c r="BK76" s="2" t="s">
        <v>1278</v>
      </c>
      <c r="BL76" s="2" t="s">
        <v>79</v>
      </c>
      <c r="BM76" s="2" t="s">
        <v>172</v>
      </c>
    </row>
    <row r="77" spans="1:65" ht="409.5" x14ac:dyDescent="0.25">
      <c r="A77" s="2" t="s">
        <v>1279</v>
      </c>
      <c r="B77" s="2">
        <v>2019</v>
      </c>
      <c r="C77" s="2" t="s">
        <v>111</v>
      </c>
      <c r="D77" s="2" t="s">
        <v>79</v>
      </c>
      <c r="E77" s="2" t="s">
        <v>1291</v>
      </c>
      <c r="F77" s="2" t="s">
        <v>80</v>
      </c>
      <c r="G77" s="2"/>
      <c r="H77" s="2" t="s">
        <v>80</v>
      </c>
      <c r="I77" s="2" t="s">
        <v>1290</v>
      </c>
      <c r="J77" s="2" t="s">
        <v>1294</v>
      </c>
      <c r="K77" s="2" t="s">
        <v>80</v>
      </c>
      <c r="L77" s="2" t="s">
        <v>1282</v>
      </c>
      <c r="M77" s="2" t="s">
        <v>79</v>
      </c>
      <c r="N77" s="2" t="s">
        <v>92</v>
      </c>
      <c r="O77" s="2" t="s">
        <v>1283</v>
      </c>
      <c r="P77" s="2" t="s">
        <v>143</v>
      </c>
      <c r="Q77" s="2" t="s">
        <v>194</v>
      </c>
      <c r="R77" s="2" t="s">
        <v>79</v>
      </c>
      <c r="S77" s="2" t="s">
        <v>92</v>
      </c>
      <c r="T77" s="2" t="s">
        <v>1284</v>
      </c>
      <c r="U77" s="2" t="s">
        <v>1285</v>
      </c>
      <c r="V77" s="2" t="s">
        <v>1286</v>
      </c>
      <c r="W77" s="2" t="s">
        <v>79</v>
      </c>
      <c r="X77" s="2" t="s">
        <v>1287</v>
      </c>
      <c r="Y77" s="2" t="s">
        <v>92</v>
      </c>
      <c r="Z77" s="2" t="s">
        <v>1280</v>
      </c>
      <c r="AA77" s="2" t="s">
        <v>1288</v>
      </c>
      <c r="AB77" s="2" t="s">
        <v>1289</v>
      </c>
      <c r="AC77" s="2" t="s">
        <v>95</v>
      </c>
      <c r="AD77" s="2" t="s">
        <v>79</v>
      </c>
      <c r="AE77" s="2" t="s">
        <v>1292</v>
      </c>
      <c r="AF77" s="2" t="s">
        <v>1293</v>
      </c>
      <c r="AG77" s="2"/>
      <c r="AH77" s="2" t="s">
        <v>1281</v>
      </c>
      <c r="AI77" s="2" t="s">
        <v>82</v>
      </c>
      <c r="AJ77" s="2">
        <v>8.5</v>
      </c>
      <c r="AK77" s="2" t="s">
        <v>84</v>
      </c>
      <c r="AL77" s="2" t="s">
        <v>84</v>
      </c>
      <c r="AM77" s="2" t="s">
        <v>84</v>
      </c>
      <c r="AN77" s="2" t="s">
        <v>86</v>
      </c>
      <c r="AO77" s="2" t="s">
        <v>84</v>
      </c>
      <c r="AP77" s="2" t="s">
        <v>84</v>
      </c>
      <c r="AQ77" s="2" t="s">
        <v>84</v>
      </c>
      <c r="AR77" s="2" t="s">
        <v>84</v>
      </c>
      <c r="AS77" s="2" t="s">
        <v>84</v>
      </c>
      <c r="AT77" s="2" t="s">
        <v>85</v>
      </c>
      <c r="AU77" s="2" t="s">
        <v>80</v>
      </c>
      <c r="AV77" s="2" t="s">
        <v>80</v>
      </c>
      <c r="AW77" s="2"/>
      <c r="AX77" s="2" t="s">
        <v>80</v>
      </c>
      <c r="AY77" s="2" t="s">
        <v>79</v>
      </c>
      <c r="AZ77" s="2" t="s">
        <v>92</v>
      </c>
      <c r="BA77" s="2" t="s">
        <v>1295</v>
      </c>
      <c r="BB77" s="2" t="s">
        <v>1143</v>
      </c>
      <c r="BC77" s="2" t="s">
        <v>1296</v>
      </c>
      <c r="BD77" s="2" t="s">
        <v>514</v>
      </c>
      <c r="BE77" s="2" t="s">
        <v>79</v>
      </c>
      <c r="BF77" s="2" t="s">
        <v>756</v>
      </c>
      <c r="BG77" s="2" t="s">
        <v>1297</v>
      </c>
      <c r="BH77" s="2" t="s">
        <v>648</v>
      </c>
      <c r="BI77" s="2" t="s">
        <v>79</v>
      </c>
      <c r="BJ77" s="2" t="s">
        <v>1298</v>
      </c>
      <c r="BK77" s="2" t="s">
        <v>1299</v>
      </c>
      <c r="BL77" s="2" t="s">
        <v>79</v>
      </c>
      <c r="BM77" s="2" t="s">
        <v>109</v>
      </c>
    </row>
    <row r="78" spans="1:65" ht="409.5" x14ac:dyDescent="0.25">
      <c r="A78" s="2" t="s">
        <v>1300</v>
      </c>
      <c r="B78" s="2">
        <v>2020</v>
      </c>
      <c r="C78" s="2" t="s">
        <v>111</v>
      </c>
      <c r="D78" s="2" t="s">
        <v>80</v>
      </c>
      <c r="E78" s="2"/>
      <c r="F78" s="2" t="s">
        <v>80</v>
      </c>
      <c r="G78" s="2"/>
      <c r="H78" s="2" t="s">
        <v>80</v>
      </c>
      <c r="I78" s="2"/>
      <c r="J78" s="2" t="s">
        <v>1312</v>
      </c>
      <c r="K78" s="2" t="s">
        <v>80</v>
      </c>
      <c r="L78" s="2" t="s">
        <v>1303</v>
      </c>
      <c r="M78" s="2" t="s">
        <v>79</v>
      </c>
      <c r="N78" s="2" t="s">
        <v>92</v>
      </c>
      <c r="O78" s="2" t="s">
        <v>1304</v>
      </c>
      <c r="P78" s="2" t="s">
        <v>143</v>
      </c>
      <c r="Q78" s="2" t="s">
        <v>194</v>
      </c>
      <c r="R78" s="2" t="s">
        <v>79</v>
      </c>
      <c r="S78" s="2" t="s">
        <v>92</v>
      </c>
      <c r="T78" s="2" t="s">
        <v>1305</v>
      </c>
      <c r="U78" s="2" t="s">
        <v>1306</v>
      </c>
      <c r="V78" s="2" t="s">
        <v>1307</v>
      </c>
      <c r="W78" s="2" t="s">
        <v>79</v>
      </c>
      <c r="X78" s="2" t="s">
        <v>1308</v>
      </c>
      <c r="Y78" s="2" t="s">
        <v>92</v>
      </c>
      <c r="Z78" s="2" t="s">
        <v>1301</v>
      </c>
      <c r="AA78" s="2" t="s">
        <v>553</v>
      </c>
      <c r="AB78" s="2" t="s">
        <v>1309</v>
      </c>
      <c r="AC78" s="2" t="s">
        <v>95</v>
      </c>
      <c r="AD78" s="2" t="s">
        <v>79</v>
      </c>
      <c r="AE78" s="2" t="s">
        <v>1310</v>
      </c>
      <c r="AF78" s="2" t="s">
        <v>1311</v>
      </c>
      <c r="AG78" s="2"/>
      <c r="AH78" s="2" t="s">
        <v>1302</v>
      </c>
      <c r="AI78" s="2" t="s">
        <v>82</v>
      </c>
      <c r="AJ78" s="2">
        <v>8.5</v>
      </c>
      <c r="AK78" s="2" t="s">
        <v>84</v>
      </c>
      <c r="AL78" s="2" t="s">
        <v>84</v>
      </c>
      <c r="AM78" s="2" t="s">
        <v>84</v>
      </c>
      <c r="AN78" s="2" t="s">
        <v>86</v>
      </c>
      <c r="AO78" s="2" t="s">
        <v>84</v>
      </c>
      <c r="AP78" s="2" t="s">
        <v>84</v>
      </c>
      <c r="AQ78" s="2" t="s">
        <v>84</v>
      </c>
      <c r="AR78" s="2" t="s">
        <v>84</v>
      </c>
      <c r="AS78" s="2" t="s">
        <v>84</v>
      </c>
      <c r="AT78" s="2" t="s">
        <v>85</v>
      </c>
      <c r="AU78" s="2" t="s">
        <v>80</v>
      </c>
      <c r="AV78" s="2" t="s">
        <v>80</v>
      </c>
      <c r="AW78" s="2"/>
      <c r="AX78" s="2" t="s">
        <v>80</v>
      </c>
      <c r="AY78" s="2" t="s">
        <v>79</v>
      </c>
      <c r="AZ78" s="2" t="s">
        <v>79</v>
      </c>
      <c r="BA78" s="2" t="s">
        <v>1313</v>
      </c>
      <c r="BB78" s="2" t="s">
        <v>303</v>
      </c>
      <c r="BC78" s="2" t="s">
        <v>1314</v>
      </c>
      <c r="BD78" s="2" t="s">
        <v>1315</v>
      </c>
      <c r="BE78" s="2" t="s">
        <v>79</v>
      </c>
      <c r="BF78" s="2" t="s">
        <v>756</v>
      </c>
      <c r="BG78" s="2" t="s">
        <v>1316</v>
      </c>
      <c r="BH78" s="2" t="s">
        <v>648</v>
      </c>
      <c r="BI78" s="2" t="s">
        <v>79</v>
      </c>
      <c r="BJ78" s="2" t="s">
        <v>1298</v>
      </c>
      <c r="BK78" s="2" t="s">
        <v>1317</v>
      </c>
      <c r="BL78" s="2" t="s">
        <v>79</v>
      </c>
      <c r="BM78" s="2" t="s">
        <v>109</v>
      </c>
    </row>
    <row r="79" spans="1:65" ht="409.5" x14ac:dyDescent="0.25">
      <c r="A79" s="2" t="s">
        <v>1318</v>
      </c>
      <c r="B79" s="2">
        <v>2020</v>
      </c>
      <c r="C79" s="2" t="s">
        <v>111</v>
      </c>
      <c r="D79" s="2" t="s">
        <v>79</v>
      </c>
      <c r="E79" s="2" t="s">
        <v>1325</v>
      </c>
      <c r="F79" s="2" t="s">
        <v>80</v>
      </c>
      <c r="G79" s="2"/>
      <c r="H79" s="2" t="s">
        <v>80</v>
      </c>
      <c r="I79" s="2" t="s">
        <v>1324</v>
      </c>
      <c r="J79" s="2" t="s">
        <v>1326</v>
      </c>
      <c r="K79" s="2" t="s">
        <v>80</v>
      </c>
      <c r="L79" s="2" t="s">
        <v>1320</v>
      </c>
      <c r="M79" s="2" t="s">
        <v>79</v>
      </c>
      <c r="N79" s="2" t="s">
        <v>79</v>
      </c>
      <c r="O79" s="2" t="s">
        <v>1321</v>
      </c>
      <c r="P79" s="2" t="s">
        <v>89</v>
      </c>
      <c r="Q79" s="2" t="s">
        <v>116</v>
      </c>
      <c r="R79" s="2" t="s">
        <v>79</v>
      </c>
      <c r="S79" s="2" t="s">
        <v>92</v>
      </c>
      <c r="T79" s="2" t="s">
        <v>1322</v>
      </c>
      <c r="U79" s="2"/>
      <c r="V79" s="2" t="s">
        <v>155</v>
      </c>
      <c r="W79" s="2" t="s">
        <v>80</v>
      </c>
      <c r="X79" s="2"/>
      <c r="Y79" s="2" t="s">
        <v>92</v>
      </c>
      <c r="Z79" s="2" t="s">
        <v>271</v>
      </c>
      <c r="AA79" s="2" t="s">
        <v>453</v>
      </c>
      <c r="AB79" s="2" t="s">
        <v>1323</v>
      </c>
      <c r="AC79" s="2" t="s">
        <v>95</v>
      </c>
      <c r="AD79" s="2" t="s">
        <v>80</v>
      </c>
      <c r="AE79" s="2"/>
      <c r="AF79" s="2"/>
      <c r="AG79" s="2"/>
      <c r="AH79" s="2" t="s">
        <v>1319</v>
      </c>
      <c r="AI79" s="2" t="s">
        <v>82</v>
      </c>
      <c r="AJ79" s="2">
        <v>8</v>
      </c>
      <c r="AK79" s="2" t="s">
        <v>84</v>
      </c>
      <c r="AL79" s="2" t="s">
        <v>84</v>
      </c>
      <c r="AM79" s="2" t="s">
        <v>84</v>
      </c>
      <c r="AN79" s="2" t="s">
        <v>84</v>
      </c>
      <c r="AO79" s="2" t="s">
        <v>84</v>
      </c>
      <c r="AP79" s="2" t="s">
        <v>84</v>
      </c>
      <c r="AQ79" s="2" t="s">
        <v>85</v>
      </c>
      <c r="AR79" s="2" t="s">
        <v>86</v>
      </c>
      <c r="AS79" s="2" t="s">
        <v>84</v>
      </c>
      <c r="AT79" s="2" t="s">
        <v>85</v>
      </c>
      <c r="AU79" s="2" t="s">
        <v>80</v>
      </c>
      <c r="AV79" s="2" t="s">
        <v>80</v>
      </c>
      <c r="AW79" s="2"/>
      <c r="AX79" s="2" t="s">
        <v>80</v>
      </c>
      <c r="AY79" s="2" t="s">
        <v>80</v>
      </c>
      <c r="AZ79" s="2" t="s">
        <v>80</v>
      </c>
      <c r="BA79" s="2"/>
      <c r="BB79" s="2" t="s">
        <v>100</v>
      </c>
      <c r="BC79" s="2" t="s">
        <v>1327</v>
      </c>
      <c r="BD79" s="2" t="s">
        <v>102</v>
      </c>
      <c r="BE79" s="2" t="s">
        <v>79</v>
      </c>
      <c r="BF79" s="2" t="s">
        <v>854</v>
      </c>
      <c r="BG79" s="2" t="s">
        <v>1328</v>
      </c>
      <c r="BH79" s="2" t="s">
        <v>153</v>
      </c>
      <c r="BI79" s="2" t="s">
        <v>106</v>
      </c>
      <c r="BJ79" s="2" t="s">
        <v>429</v>
      </c>
      <c r="BK79" s="2" t="s">
        <v>1329</v>
      </c>
      <c r="BL79" s="2" t="s">
        <v>79</v>
      </c>
      <c r="BM79" s="2" t="s">
        <v>109</v>
      </c>
    </row>
    <row r="80" spans="1:65" ht="409.5" x14ac:dyDescent="0.25">
      <c r="A80" s="2" t="s">
        <v>1330</v>
      </c>
      <c r="B80" s="2">
        <v>2019</v>
      </c>
      <c r="C80" s="2" t="s">
        <v>111</v>
      </c>
      <c r="D80" s="2" t="s">
        <v>79</v>
      </c>
      <c r="E80" s="2" t="s">
        <v>1337</v>
      </c>
      <c r="F80" s="2" t="s">
        <v>80</v>
      </c>
      <c r="G80" s="2"/>
      <c r="H80" s="2" t="s">
        <v>80</v>
      </c>
      <c r="I80" s="2" t="s">
        <v>1336</v>
      </c>
      <c r="J80" s="2" t="s">
        <v>1338</v>
      </c>
      <c r="K80" s="2" t="s">
        <v>80</v>
      </c>
      <c r="L80" s="2" t="s">
        <v>1332</v>
      </c>
      <c r="M80" s="2" t="s">
        <v>79</v>
      </c>
      <c r="N80" s="2" t="s">
        <v>79</v>
      </c>
      <c r="O80" s="2" t="s">
        <v>1333</v>
      </c>
      <c r="P80" s="2" t="s">
        <v>89</v>
      </c>
      <c r="Q80" s="2" t="s">
        <v>116</v>
      </c>
      <c r="R80" s="2" t="s">
        <v>79</v>
      </c>
      <c r="S80" s="2" t="s">
        <v>92</v>
      </c>
      <c r="T80" s="2" t="s">
        <v>1334</v>
      </c>
      <c r="U80" s="2"/>
      <c r="V80" s="2" t="s">
        <v>155</v>
      </c>
      <c r="W80" s="2" t="s">
        <v>80</v>
      </c>
      <c r="X80" s="2"/>
      <c r="Y80" s="2" t="s">
        <v>92</v>
      </c>
      <c r="Z80" s="2" t="s">
        <v>271</v>
      </c>
      <c r="AA80" s="2" t="s">
        <v>118</v>
      </c>
      <c r="AB80" s="2" t="s">
        <v>1335</v>
      </c>
      <c r="AC80" s="2" t="s">
        <v>95</v>
      </c>
      <c r="AD80" s="2" t="s">
        <v>80</v>
      </c>
      <c r="AE80" s="2"/>
      <c r="AF80" s="2"/>
      <c r="AG80" s="2"/>
      <c r="AH80" s="2" t="s">
        <v>1331</v>
      </c>
      <c r="AI80" s="2" t="s">
        <v>82</v>
      </c>
      <c r="AJ80" s="2">
        <v>8</v>
      </c>
      <c r="AK80" s="2" t="s">
        <v>84</v>
      </c>
      <c r="AL80" s="2" t="s">
        <v>84</v>
      </c>
      <c r="AM80" s="2" t="s">
        <v>84</v>
      </c>
      <c r="AN80" s="2" t="s">
        <v>84</v>
      </c>
      <c r="AO80" s="2" t="s">
        <v>84</v>
      </c>
      <c r="AP80" s="2" t="s">
        <v>84</v>
      </c>
      <c r="AQ80" s="2" t="s">
        <v>85</v>
      </c>
      <c r="AR80" s="2" t="s">
        <v>86</v>
      </c>
      <c r="AS80" s="2" t="s">
        <v>84</v>
      </c>
      <c r="AT80" s="2" t="s">
        <v>85</v>
      </c>
      <c r="AU80" s="2" t="s">
        <v>80</v>
      </c>
      <c r="AV80" s="2" t="s">
        <v>80</v>
      </c>
      <c r="AW80" s="2"/>
      <c r="AX80" s="2" t="s">
        <v>80</v>
      </c>
      <c r="AY80" s="2" t="s">
        <v>80</v>
      </c>
      <c r="AZ80" s="2" t="s">
        <v>80</v>
      </c>
      <c r="BA80" s="2"/>
      <c r="BB80" s="2" t="s">
        <v>100</v>
      </c>
      <c r="BC80" s="2" t="s">
        <v>1339</v>
      </c>
      <c r="BD80" s="2" t="s">
        <v>102</v>
      </c>
      <c r="BE80" s="2" t="s">
        <v>79</v>
      </c>
      <c r="BF80" s="2" t="s">
        <v>1340</v>
      </c>
      <c r="BG80" s="2" t="s">
        <v>1341</v>
      </c>
      <c r="BH80" s="2" t="s">
        <v>153</v>
      </c>
      <c r="BI80" s="2" t="s">
        <v>106</v>
      </c>
      <c r="BJ80" s="2" t="s">
        <v>107</v>
      </c>
      <c r="BK80" s="2" t="s">
        <v>1342</v>
      </c>
      <c r="BL80" s="2" t="s">
        <v>79</v>
      </c>
      <c r="BM80" s="2" t="s">
        <v>109</v>
      </c>
    </row>
    <row r="81" spans="1:65" ht="409.5" x14ac:dyDescent="0.25">
      <c r="A81" s="2" t="s">
        <v>1343</v>
      </c>
      <c r="B81" s="2">
        <v>2019</v>
      </c>
      <c r="C81" s="2" t="s">
        <v>111</v>
      </c>
      <c r="D81" s="2" t="s">
        <v>79</v>
      </c>
      <c r="E81" s="2" t="s">
        <v>1351</v>
      </c>
      <c r="F81" s="2" t="s">
        <v>80</v>
      </c>
      <c r="G81" s="2"/>
      <c r="H81" s="2" t="s">
        <v>80</v>
      </c>
      <c r="I81" s="2" t="s">
        <v>1350</v>
      </c>
      <c r="J81" s="2" t="s">
        <v>1353</v>
      </c>
      <c r="K81" s="2" t="s">
        <v>80</v>
      </c>
      <c r="L81" s="2" t="s">
        <v>1346</v>
      </c>
      <c r="M81" s="2" t="s">
        <v>79</v>
      </c>
      <c r="N81" s="2"/>
      <c r="O81" s="2" t="s">
        <v>1347</v>
      </c>
      <c r="P81" s="2" t="s">
        <v>89</v>
      </c>
      <c r="Q81" s="2" t="s">
        <v>116</v>
      </c>
      <c r="R81" s="2" t="s">
        <v>79</v>
      </c>
      <c r="S81" s="2"/>
      <c r="T81" s="2" t="s">
        <v>1348</v>
      </c>
      <c r="U81" s="2"/>
      <c r="V81" s="2"/>
      <c r="W81" s="2" t="s">
        <v>80</v>
      </c>
      <c r="X81" s="2"/>
      <c r="Y81" s="2" t="s">
        <v>92</v>
      </c>
      <c r="Z81" s="2" t="s">
        <v>1344</v>
      </c>
      <c r="AA81" s="2"/>
      <c r="AB81" s="2" t="s">
        <v>1349</v>
      </c>
      <c r="AC81" s="2" t="s">
        <v>95</v>
      </c>
      <c r="AD81" s="2" t="s">
        <v>80</v>
      </c>
      <c r="AE81" s="2"/>
      <c r="AF81" s="2"/>
      <c r="AG81" s="2" t="s">
        <v>1352</v>
      </c>
      <c r="AH81" s="2" t="s">
        <v>1345</v>
      </c>
      <c r="AI81" s="2" t="s">
        <v>82</v>
      </c>
      <c r="AJ81" s="2">
        <v>8.5</v>
      </c>
      <c r="AK81" s="2" t="s">
        <v>84</v>
      </c>
      <c r="AL81" s="2" t="s">
        <v>84</v>
      </c>
      <c r="AM81" s="2" t="s">
        <v>84</v>
      </c>
      <c r="AN81" s="2" t="s">
        <v>84</v>
      </c>
      <c r="AO81" s="2" t="s">
        <v>84</v>
      </c>
      <c r="AP81" s="2" t="s">
        <v>84</v>
      </c>
      <c r="AQ81" s="2" t="s">
        <v>85</v>
      </c>
      <c r="AR81" s="2" t="s">
        <v>86</v>
      </c>
      <c r="AS81" s="2" t="s">
        <v>84</v>
      </c>
      <c r="AT81" s="2" t="s">
        <v>84</v>
      </c>
      <c r="AU81" s="2" t="s">
        <v>80</v>
      </c>
      <c r="AV81" s="2" t="s">
        <v>80</v>
      </c>
      <c r="AW81" s="2"/>
      <c r="AX81" s="2" t="s">
        <v>80</v>
      </c>
      <c r="AY81" s="2" t="s">
        <v>80</v>
      </c>
      <c r="AZ81" s="2"/>
      <c r="BA81" s="2"/>
      <c r="BB81" s="2" t="s">
        <v>100</v>
      </c>
      <c r="BC81" s="2" t="s">
        <v>1354</v>
      </c>
      <c r="BD81" s="2" t="s">
        <v>102</v>
      </c>
      <c r="BE81" s="2" t="s">
        <v>79</v>
      </c>
      <c r="BF81" s="2"/>
      <c r="BG81" s="2" t="s">
        <v>1355</v>
      </c>
      <c r="BH81" s="2" t="s">
        <v>153</v>
      </c>
      <c r="BI81" s="2" t="s">
        <v>106</v>
      </c>
      <c r="BJ81" s="2" t="s">
        <v>107</v>
      </c>
      <c r="BK81" s="2" t="s">
        <v>1356</v>
      </c>
      <c r="BL81" s="2" t="s">
        <v>79</v>
      </c>
      <c r="BM81" s="2" t="s">
        <v>109</v>
      </c>
    </row>
    <row r="82" spans="1:65" ht="409.5" x14ac:dyDescent="0.25">
      <c r="A82" s="2" t="s">
        <v>1357</v>
      </c>
      <c r="B82" s="2">
        <v>2019</v>
      </c>
      <c r="C82" s="2" t="s">
        <v>111</v>
      </c>
      <c r="D82" s="2" t="s">
        <v>79</v>
      </c>
      <c r="E82" s="2" t="s">
        <v>1364</v>
      </c>
      <c r="F82" s="2" t="s">
        <v>80</v>
      </c>
      <c r="G82" s="2"/>
      <c r="H82" s="2" t="s">
        <v>80</v>
      </c>
      <c r="I82" s="2" t="s">
        <v>1363</v>
      </c>
      <c r="J82" s="2" t="s">
        <v>1366</v>
      </c>
      <c r="K82" s="2" t="s">
        <v>80</v>
      </c>
      <c r="L82" s="2" t="s">
        <v>1359</v>
      </c>
      <c r="M82" s="2" t="s">
        <v>79</v>
      </c>
      <c r="N82" s="2"/>
      <c r="O82" s="2" t="s">
        <v>1360</v>
      </c>
      <c r="P82" s="2" t="s">
        <v>89</v>
      </c>
      <c r="Q82" s="2" t="s">
        <v>116</v>
      </c>
      <c r="R82" s="2" t="s">
        <v>79</v>
      </c>
      <c r="S82" s="2"/>
      <c r="T82" s="2" t="s">
        <v>1361</v>
      </c>
      <c r="U82" s="2"/>
      <c r="V82" s="2"/>
      <c r="W82" s="2" t="s">
        <v>80</v>
      </c>
      <c r="X82" s="2"/>
      <c r="Y82" s="2" t="s">
        <v>92</v>
      </c>
      <c r="Z82" s="2" t="s">
        <v>1344</v>
      </c>
      <c r="AA82" s="2"/>
      <c r="AB82" s="2" t="s">
        <v>1362</v>
      </c>
      <c r="AC82" s="2" t="s">
        <v>95</v>
      </c>
      <c r="AD82" s="2" t="s">
        <v>80</v>
      </c>
      <c r="AE82" s="2"/>
      <c r="AF82" s="2"/>
      <c r="AG82" s="2" t="s">
        <v>1365</v>
      </c>
      <c r="AH82" s="2" t="s">
        <v>1358</v>
      </c>
      <c r="AI82" s="2" t="s">
        <v>82</v>
      </c>
      <c r="AJ82" s="2">
        <v>8.5</v>
      </c>
      <c r="AK82" s="2" t="s">
        <v>84</v>
      </c>
      <c r="AL82" s="2" t="s">
        <v>84</v>
      </c>
      <c r="AM82" s="2" t="s">
        <v>84</v>
      </c>
      <c r="AN82" s="2" t="s">
        <v>84</v>
      </c>
      <c r="AO82" s="2" t="s">
        <v>84</v>
      </c>
      <c r="AP82" s="2" t="s">
        <v>84</v>
      </c>
      <c r="AQ82" s="2" t="s">
        <v>84</v>
      </c>
      <c r="AR82" s="2" t="s">
        <v>86</v>
      </c>
      <c r="AS82" s="2" t="s">
        <v>84</v>
      </c>
      <c r="AT82" s="2" t="s">
        <v>85</v>
      </c>
      <c r="AU82" s="2" t="s">
        <v>80</v>
      </c>
      <c r="AV82" s="2" t="s">
        <v>80</v>
      </c>
      <c r="AW82" s="2"/>
      <c r="AX82" s="2" t="s">
        <v>80</v>
      </c>
      <c r="AY82" s="2" t="s">
        <v>79</v>
      </c>
      <c r="AZ82" s="2"/>
      <c r="BA82" s="2" t="s">
        <v>1367</v>
      </c>
      <c r="BB82" s="2" t="s">
        <v>303</v>
      </c>
      <c r="BC82" s="2" t="s">
        <v>1368</v>
      </c>
      <c r="BD82" s="2" t="s">
        <v>514</v>
      </c>
      <c r="BE82" s="2" t="s">
        <v>79</v>
      </c>
      <c r="BF82" s="2"/>
      <c r="BG82" s="2" t="s">
        <v>1369</v>
      </c>
      <c r="BH82" s="2" t="s">
        <v>153</v>
      </c>
      <c r="BI82" s="2" t="s">
        <v>79</v>
      </c>
      <c r="BJ82" s="2" t="s">
        <v>107</v>
      </c>
      <c r="BK82" s="2" t="s">
        <v>1370</v>
      </c>
      <c r="BL82" s="2" t="s">
        <v>79</v>
      </c>
      <c r="BM82" s="2" t="s">
        <v>268</v>
      </c>
    </row>
    <row r="83" spans="1:65" ht="409.5" x14ac:dyDescent="0.25">
      <c r="A83" s="2" t="s">
        <v>1371</v>
      </c>
      <c r="B83" s="2">
        <v>2020</v>
      </c>
      <c r="C83" s="2" t="s">
        <v>111</v>
      </c>
      <c r="D83" s="2" t="s">
        <v>79</v>
      </c>
      <c r="E83" s="2" t="s">
        <v>1378</v>
      </c>
      <c r="F83" s="2" t="s">
        <v>80</v>
      </c>
      <c r="G83" s="2"/>
      <c r="H83" s="2" t="s">
        <v>80</v>
      </c>
      <c r="I83" s="2" t="s">
        <v>1377</v>
      </c>
      <c r="J83" s="2" t="s">
        <v>1380</v>
      </c>
      <c r="K83" s="2" t="s">
        <v>80</v>
      </c>
      <c r="L83" s="2" t="s">
        <v>1373</v>
      </c>
      <c r="M83" s="2" t="s">
        <v>79</v>
      </c>
      <c r="N83" s="2"/>
      <c r="O83" s="2" t="s">
        <v>1374</v>
      </c>
      <c r="P83" s="2" t="s">
        <v>89</v>
      </c>
      <c r="Q83" s="2" t="s">
        <v>116</v>
      </c>
      <c r="R83" s="2" t="s">
        <v>79</v>
      </c>
      <c r="S83" s="2"/>
      <c r="T83" s="2" t="s">
        <v>1375</v>
      </c>
      <c r="U83" s="2"/>
      <c r="V83" s="2"/>
      <c r="W83" s="2" t="s">
        <v>80</v>
      </c>
      <c r="X83" s="2"/>
      <c r="Y83" s="2" t="s">
        <v>92</v>
      </c>
      <c r="Z83" s="2" t="s">
        <v>1344</v>
      </c>
      <c r="AA83" s="2"/>
      <c r="AB83" s="2" t="s">
        <v>1376</v>
      </c>
      <c r="AC83" s="2" t="s">
        <v>95</v>
      </c>
      <c r="AD83" s="2" t="s">
        <v>80</v>
      </c>
      <c r="AE83" s="2"/>
      <c r="AF83" s="2"/>
      <c r="AG83" s="2" t="s">
        <v>1379</v>
      </c>
      <c r="AH83" s="2" t="s">
        <v>1372</v>
      </c>
      <c r="AI83" s="2" t="s">
        <v>82</v>
      </c>
      <c r="AJ83" s="2">
        <v>8.5</v>
      </c>
      <c r="AK83" s="2" t="s">
        <v>84</v>
      </c>
      <c r="AL83" s="2" t="s">
        <v>84</v>
      </c>
      <c r="AM83" s="2" t="s">
        <v>84</v>
      </c>
      <c r="AN83" s="2" t="s">
        <v>84</v>
      </c>
      <c r="AO83" s="2" t="s">
        <v>84</v>
      </c>
      <c r="AP83" s="2" t="s">
        <v>84</v>
      </c>
      <c r="AQ83" s="2" t="s">
        <v>84</v>
      </c>
      <c r="AR83" s="2" t="s">
        <v>86</v>
      </c>
      <c r="AS83" s="2" t="s">
        <v>84</v>
      </c>
      <c r="AT83" s="2" t="s">
        <v>85</v>
      </c>
      <c r="AU83" s="2" t="s">
        <v>80</v>
      </c>
      <c r="AV83" s="2" t="s">
        <v>80</v>
      </c>
      <c r="AW83" s="2"/>
      <c r="AX83" s="2" t="s">
        <v>80</v>
      </c>
      <c r="AY83" s="2" t="s">
        <v>80</v>
      </c>
      <c r="AZ83" s="2"/>
      <c r="BA83" s="2"/>
      <c r="BB83" s="2" t="s">
        <v>100</v>
      </c>
      <c r="BC83" s="2" t="s">
        <v>1381</v>
      </c>
      <c r="BD83" s="2" t="s">
        <v>102</v>
      </c>
      <c r="BE83" s="2" t="s">
        <v>79</v>
      </c>
      <c r="BF83" s="2"/>
      <c r="BG83" s="2" t="s">
        <v>1382</v>
      </c>
      <c r="BH83" s="2" t="s">
        <v>153</v>
      </c>
      <c r="BI83" s="2" t="s">
        <v>79</v>
      </c>
      <c r="BJ83" s="2" t="s">
        <v>107</v>
      </c>
      <c r="BK83" s="2" t="s">
        <v>1383</v>
      </c>
      <c r="BL83" s="2" t="s">
        <v>79</v>
      </c>
      <c r="BM83" s="2" t="s">
        <v>109</v>
      </c>
    </row>
    <row r="84" spans="1:65" ht="409.5" x14ac:dyDescent="0.25">
      <c r="A84" s="2" t="s">
        <v>1384</v>
      </c>
      <c r="B84" s="2">
        <v>2025</v>
      </c>
      <c r="C84" s="2" t="s">
        <v>143</v>
      </c>
      <c r="D84" s="2" t="s">
        <v>79</v>
      </c>
      <c r="E84" s="2" t="s">
        <v>1392</v>
      </c>
      <c r="F84" s="2" t="s">
        <v>79</v>
      </c>
      <c r="G84" s="2" t="s">
        <v>1398</v>
      </c>
      <c r="H84" s="2" t="s">
        <v>106</v>
      </c>
      <c r="I84" s="2" t="s">
        <v>1391</v>
      </c>
      <c r="J84" s="2" t="s">
        <v>1394</v>
      </c>
      <c r="K84" s="2" t="s">
        <v>92</v>
      </c>
      <c r="L84" s="2" t="s">
        <v>1387</v>
      </c>
      <c r="M84" s="2" t="s">
        <v>79</v>
      </c>
      <c r="N84" s="2"/>
      <c r="O84" s="2" t="s">
        <v>1388</v>
      </c>
      <c r="P84" s="2" t="s">
        <v>842</v>
      </c>
      <c r="Q84" s="2" t="s">
        <v>116</v>
      </c>
      <c r="R84" s="2" t="s">
        <v>79</v>
      </c>
      <c r="S84" s="2"/>
      <c r="T84" s="2" t="s">
        <v>1389</v>
      </c>
      <c r="U84" s="2"/>
      <c r="V84" s="2"/>
      <c r="W84" s="2" t="s">
        <v>80</v>
      </c>
      <c r="X84" s="2"/>
      <c r="Y84" s="2" t="s">
        <v>92</v>
      </c>
      <c r="Z84" s="2" t="s">
        <v>1385</v>
      </c>
      <c r="AA84" s="2"/>
      <c r="AB84" s="2" t="s">
        <v>1390</v>
      </c>
      <c r="AC84" s="2" t="s">
        <v>95</v>
      </c>
      <c r="AD84" s="2" t="s">
        <v>80</v>
      </c>
      <c r="AE84" s="2"/>
      <c r="AF84" s="2"/>
      <c r="AG84" s="2" t="s">
        <v>1393</v>
      </c>
      <c r="AH84" s="2" t="s">
        <v>1386</v>
      </c>
      <c r="AI84" s="2" t="s">
        <v>82</v>
      </c>
      <c r="AJ84" s="2">
        <v>9</v>
      </c>
      <c r="AK84" s="2" t="s">
        <v>84</v>
      </c>
      <c r="AL84" s="2" t="s">
        <v>84</v>
      </c>
      <c r="AM84" s="2" t="s">
        <v>84</v>
      </c>
      <c r="AN84" s="2" t="s">
        <v>84</v>
      </c>
      <c r="AO84" s="2" t="s">
        <v>84</v>
      </c>
      <c r="AP84" s="2" t="s">
        <v>84</v>
      </c>
      <c r="AQ84" s="2" t="s">
        <v>84</v>
      </c>
      <c r="AR84" s="2" t="s">
        <v>86</v>
      </c>
      <c r="AS84" s="2" t="s">
        <v>84</v>
      </c>
      <c r="AT84" s="2" t="s">
        <v>84</v>
      </c>
      <c r="AU84" s="2" t="s">
        <v>80</v>
      </c>
      <c r="AV84" s="2" t="s">
        <v>80</v>
      </c>
      <c r="AW84" s="2"/>
      <c r="AX84" s="2" t="s">
        <v>80</v>
      </c>
      <c r="AY84" s="2" t="s">
        <v>79</v>
      </c>
      <c r="AZ84" s="2"/>
      <c r="BA84" s="2" t="s">
        <v>1395</v>
      </c>
      <c r="BB84" s="2" t="s">
        <v>100</v>
      </c>
      <c r="BC84" s="2" t="s">
        <v>1396</v>
      </c>
      <c r="BD84" s="2" t="s">
        <v>102</v>
      </c>
      <c r="BE84" s="2" t="s">
        <v>79</v>
      </c>
      <c r="BF84" s="2"/>
      <c r="BG84" s="2" t="s">
        <v>1397</v>
      </c>
      <c r="BH84" s="2" t="s">
        <v>856</v>
      </c>
      <c r="BI84" s="2" t="s">
        <v>79</v>
      </c>
      <c r="BJ84" s="2" t="s">
        <v>107</v>
      </c>
      <c r="BK84" s="2" t="s">
        <v>1399</v>
      </c>
      <c r="BL84" s="2" t="s">
        <v>79</v>
      </c>
      <c r="BM84" s="2" t="s">
        <v>172</v>
      </c>
    </row>
    <row r="85" spans="1:65" ht="375" x14ac:dyDescent="0.25">
      <c r="A85" s="2" t="s">
        <v>1400</v>
      </c>
      <c r="B85" s="2">
        <v>2018</v>
      </c>
      <c r="C85" s="2" t="s">
        <v>111</v>
      </c>
      <c r="D85" s="2" t="s">
        <v>80</v>
      </c>
      <c r="E85" s="2"/>
      <c r="F85" s="2" t="s">
        <v>80</v>
      </c>
      <c r="G85" s="2"/>
      <c r="H85" s="2"/>
      <c r="I85" s="2"/>
      <c r="J85" s="2"/>
      <c r="K85" s="2" t="s">
        <v>80</v>
      </c>
      <c r="L85" s="2" t="s">
        <v>1402</v>
      </c>
      <c r="M85" s="2" t="s">
        <v>80</v>
      </c>
      <c r="N85" s="2"/>
      <c r="O85" s="2"/>
      <c r="P85" s="2" t="s">
        <v>143</v>
      </c>
      <c r="Q85" s="2"/>
      <c r="R85" s="2" t="s">
        <v>80</v>
      </c>
      <c r="S85" s="2"/>
      <c r="T85" s="2"/>
      <c r="U85" s="2"/>
      <c r="V85" s="2" t="s">
        <v>155</v>
      </c>
      <c r="W85" s="2" t="s">
        <v>79</v>
      </c>
      <c r="X85" s="2" t="s">
        <v>1403</v>
      </c>
      <c r="Y85" s="2" t="s">
        <v>92</v>
      </c>
      <c r="Z85" s="2"/>
      <c r="AA85" s="2" t="s">
        <v>213</v>
      </c>
      <c r="AB85" s="2" t="s">
        <v>1404</v>
      </c>
      <c r="AC85" s="2" t="s">
        <v>95</v>
      </c>
      <c r="AD85" s="2" t="s">
        <v>80</v>
      </c>
      <c r="AE85" s="2"/>
      <c r="AF85" s="2"/>
      <c r="AG85" s="2"/>
      <c r="AH85" s="2" t="s">
        <v>1401</v>
      </c>
      <c r="AI85" s="2" t="s">
        <v>82</v>
      </c>
      <c r="AJ85" s="2">
        <v>7</v>
      </c>
      <c r="AK85" s="2" t="s">
        <v>84</v>
      </c>
      <c r="AL85" s="2" t="s">
        <v>84</v>
      </c>
      <c r="AM85" s="2" t="s">
        <v>85</v>
      </c>
      <c r="AN85" s="2" t="s">
        <v>86</v>
      </c>
      <c r="AO85" s="2" t="s">
        <v>84</v>
      </c>
      <c r="AP85" s="2" t="s">
        <v>84</v>
      </c>
      <c r="AQ85" s="2" t="s">
        <v>84</v>
      </c>
      <c r="AR85" s="2" t="s">
        <v>84</v>
      </c>
      <c r="AS85" s="2" t="s">
        <v>86</v>
      </c>
      <c r="AT85" s="2" t="s">
        <v>85</v>
      </c>
      <c r="AU85" s="2"/>
      <c r="AV85" s="2" t="s">
        <v>80</v>
      </c>
      <c r="AW85" s="2"/>
      <c r="AX85" s="2"/>
      <c r="AY85" s="2" t="s">
        <v>79</v>
      </c>
      <c r="AZ85" s="2"/>
      <c r="BA85" s="2" t="s">
        <v>1405</v>
      </c>
      <c r="BB85" s="2" t="s">
        <v>1143</v>
      </c>
      <c r="BC85" s="2" t="s">
        <v>1406</v>
      </c>
      <c r="BD85" s="2" t="s">
        <v>514</v>
      </c>
      <c r="BE85" s="2" t="s">
        <v>79</v>
      </c>
      <c r="BF85" s="2" t="s">
        <v>1407</v>
      </c>
      <c r="BG85" s="2" t="s">
        <v>1408</v>
      </c>
      <c r="BH85" s="2" t="s">
        <v>648</v>
      </c>
      <c r="BI85" s="2" t="s">
        <v>106</v>
      </c>
      <c r="BJ85" s="2"/>
      <c r="BK85" s="2" t="s">
        <v>1409</v>
      </c>
      <c r="BL85" s="2" t="s">
        <v>79</v>
      </c>
      <c r="BM85" s="2" t="s">
        <v>109</v>
      </c>
    </row>
    <row r="86" spans="1:65" ht="409.5" x14ac:dyDescent="0.25">
      <c r="A86" s="2" t="s">
        <v>1410</v>
      </c>
      <c r="B86" s="2">
        <v>1966</v>
      </c>
      <c r="C86" s="2" t="s">
        <v>111</v>
      </c>
      <c r="D86" s="2" t="s">
        <v>79</v>
      </c>
      <c r="E86" s="2" t="s">
        <v>1417</v>
      </c>
      <c r="F86" s="2" t="s">
        <v>80</v>
      </c>
      <c r="G86" s="2" t="s">
        <v>1422</v>
      </c>
      <c r="H86" s="2" t="s">
        <v>79</v>
      </c>
      <c r="I86" s="2" t="s">
        <v>1416</v>
      </c>
      <c r="J86" s="2" t="s">
        <v>1418</v>
      </c>
      <c r="K86" s="2" t="s">
        <v>92</v>
      </c>
      <c r="L86" s="2" t="s">
        <v>1412</v>
      </c>
      <c r="M86" s="2" t="s">
        <v>79</v>
      </c>
      <c r="N86" s="2"/>
      <c r="O86" s="2" t="s">
        <v>1413</v>
      </c>
      <c r="P86" s="2" t="s">
        <v>89</v>
      </c>
      <c r="Q86" s="2" t="s">
        <v>194</v>
      </c>
      <c r="R86" s="2" t="s">
        <v>79</v>
      </c>
      <c r="S86" s="2"/>
      <c r="T86" s="2" t="s">
        <v>1414</v>
      </c>
      <c r="U86" s="2"/>
      <c r="V86" s="2"/>
      <c r="W86" s="2" t="s">
        <v>80</v>
      </c>
      <c r="X86" s="2"/>
      <c r="Y86" s="2" t="s">
        <v>92</v>
      </c>
      <c r="Z86" s="2" t="s">
        <v>81</v>
      </c>
      <c r="AA86" s="2" t="s">
        <v>357</v>
      </c>
      <c r="AB86" s="2" t="s">
        <v>1415</v>
      </c>
      <c r="AC86" s="2" t="s">
        <v>95</v>
      </c>
      <c r="AD86" s="2" t="s">
        <v>80</v>
      </c>
      <c r="AE86" s="2"/>
      <c r="AF86" s="2"/>
      <c r="AG86" s="2"/>
      <c r="AH86" s="2" t="s">
        <v>1411</v>
      </c>
      <c r="AI86" s="2" t="s">
        <v>82</v>
      </c>
      <c r="AJ86" s="2">
        <v>6.5</v>
      </c>
      <c r="AK86" s="2" t="s">
        <v>84</v>
      </c>
      <c r="AL86" s="2" t="s">
        <v>86</v>
      </c>
      <c r="AM86" s="2" t="s">
        <v>84</v>
      </c>
      <c r="AN86" s="2" t="s">
        <v>84</v>
      </c>
      <c r="AO86" s="2" t="s">
        <v>84</v>
      </c>
      <c r="AP86" s="2" t="s">
        <v>84</v>
      </c>
      <c r="AQ86" s="2" t="s">
        <v>86</v>
      </c>
      <c r="AR86" s="2" t="s">
        <v>86</v>
      </c>
      <c r="AS86" s="2" t="s">
        <v>84</v>
      </c>
      <c r="AT86" s="2" t="s">
        <v>85</v>
      </c>
      <c r="AU86" s="2"/>
      <c r="AV86" s="2" t="s">
        <v>80</v>
      </c>
      <c r="AW86" s="2"/>
      <c r="AX86" s="2"/>
      <c r="AY86" s="2" t="s">
        <v>79</v>
      </c>
      <c r="AZ86" s="2"/>
      <c r="BA86" s="2" t="s">
        <v>1419</v>
      </c>
      <c r="BB86" s="2" t="s">
        <v>100</v>
      </c>
      <c r="BC86" s="2" t="s">
        <v>1420</v>
      </c>
      <c r="BD86" s="2" t="s">
        <v>102</v>
      </c>
      <c r="BE86" s="2" t="s">
        <v>79</v>
      </c>
      <c r="BF86" s="2"/>
      <c r="BG86" s="2" t="s">
        <v>1421</v>
      </c>
      <c r="BH86" s="2" t="s">
        <v>104</v>
      </c>
      <c r="BI86" s="2" t="s">
        <v>80</v>
      </c>
      <c r="BJ86" s="2" t="s">
        <v>107</v>
      </c>
      <c r="BK86" s="2" t="s">
        <v>1423</v>
      </c>
      <c r="BL86" s="2" t="s">
        <v>79</v>
      </c>
      <c r="BM86" s="2" t="s">
        <v>1424</v>
      </c>
    </row>
    <row r="87" spans="1:65" ht="409.5" x14ac:dyDescent="0.25">
      <c r="A87" s="2" t="s">
        <v>1425</v>
      </c>
      <c r="B87" s="2">
        <v>1994</v>
      </c>
      <c r="C87" s="2" t="s">
        <v>111</v>
      </c>
      <c r="D87" s="2" t="s">
        <v>80</v>
      </c>
      <c r="E87" s="2"/>
      <c r="F87" s="2" t="s">
        <v>80</v>
      </c>
      <c r="G87" s="2"/>
      <c r="H87" s="2" t="s">
        <v>80</v>
      </c>
      <c r="I87" s="2"/>
      <c r="J87" s="2" t="s">
        <v>1431</v>
      </c>
      <c r="K87" s="2" t="s">
        <v>80</v>
      </c>
      <c r="L87" s="2" t="s">
        <v>1427</v>
      </c>
      <c r="M87" s="2" t="s">
        <v>80</v>
      </c>
      <c r="N87" s="2"/>
      <c r="O87" s="2"/>
      <c r="P87" s="2" t="s">
        <v>143</v>
      </c>
      <c r="Q87" s="2"/>
      <c r="R87" s="2" t="s">
        <v>79</v>
      </c>
      <c r="S87" s="2"/>
      <c r="T87" s="2" t="s">
        <v>1428</v>
      </c>
      <c r="U87" s="2"/>
      <c r="V87" s="2"/>
      <c r="W87" s="2" t="s">
        <v>80</v>
      </c>
      <c r="X87" s="2"/>
      <c r="Y87" s="2"/>
      <c r="Z87" s="2"/>
      <c r="AA87" s="2" t="s">
        <v>1429</v>
      </c>
      <c r="AB87" s="2" t="s">
        <v>1430</v>
      </c>
      <c r="AC87" s="2" t="s">
        <v>95</v>
      </c>
      <c r="AD87" s="2" t="s">
        <v>80</v>
      </c>
      <c r="AE87" s="2"/>
      <c r="AF87" s="2"/>
      <c r="AG87" s="2"/>
      <c r="AH87" s="2" t="s">
        <v>1426</v>
      </c>
      <c r="AI87" s="2" t="s">
        <v>82</v>
      </c>
      <c r="AJ87" s="2">
        <v>6.5</v>
      </c>
      <c r="AK87" s="2" t="s">
        <v>84</v>
      </c>
      <c r="AL87" s="2" t="s">
        <v>84</v>
      </c>
      <c r="AM87" s="2" t="s">
        <v>84</v>
      </c>
      <c r="AN87" s="2" t="s">
        <v>86</v>
      </c>
      <c r="AO87" s="2" t="s">
        <v>84</v>
      </c>
      <c r="AP87" s="2" t="s">
        <v>84</v>
      </c>
      <c r="AQ87" s="2" t="s">
        <v>84</v>
      </c>
      <c r="AR87" s="2" t="s">
        <v>86</v>
      </c>
      <c r="AS87" s="2" t="s">
        <v>86</v>
      </c>
      <c r="AT87" s="2" t="s">
        <v>85</v>
      </c>
      <c r="AU87" s="2"/>
      <c r="AV87" s="2" t="s">
        <v>80</v>
      </c>
      <c r="AW87" s="2"/>
      <c r="AX87" s="2"/>
      <c r="AY87" s="2" t="s">
        <v>79</v>
      </c>
      <c r="AZ87" s="2"/>
      <c r="BA87" s="2" t="s">
        <v>1432</v>
      </c>
      <c r="BB87" s="2" t="s">
        <v>303</v>
      </c>
      <c r="BC87" s="2" t="s">
        <v>1433</v>
      </c>
      <c r="BD87" s="2" t="s">
        <v>514</v>
      </c>
      <c r="BE87" s="2" t="s">
        <v>79</v>
      </c>
      <c r="BF87" s="2" t="s">
        <v>1434</v>
      </c>
      <c r="BG87" s="2" t="s">
        <v>1435</v>
      </c>
      <c r="BH87" s="2" t="s">
        <v>648</v>
      </c>
      <c r="BI87" s="2" t="s">
        <v>79</v>
      </c>
      <c r="BJ87" s="2"/>
      <c r="BK87" s="2"/>
      <c r="BL87" s="2" t="s">
        <v>80</v>
      </c>
      <c r="BM87" s="2" t="s">
        <v>172</v>
      </c>
    </row>
    <row r="88" spans="1:65" ht="405" x14ac:dyDescent="0.25">
      <c r="A88" s="2" t="s">
        <v>1436</v>
      </c>
      <c r="B88" s="2">
        <v>1999</v>
      </c>
      <c r="C88" s="2" t="s">
        <v>111</v>
      </c>
      <c r="D88" s="2" t="s">
        <v>80</v>
      </c>
      <c r="E88" s="2"/>
      <c r="F88" s="2" t="s">
        <v>80</v>
      </c>
      <c r="G88" s="2"/>
      <c r="H88" s="2" t="s">
        <v>80</v>
      </c>
      <c r="I88" s="2"/>
      <c r="J88" s="2" t="s">
        <v>1441</v>
      </c>
      <c r="K88" s="2" t="s">
        <v>80</v>
      </c>
      <c r="L88" s="2" t="s">
        <v>1438</v>
      </c>
      <c r="M88" s="2" t="s">
        <v>80</v>
      </c>
      <c r="N88" s="2"/>
      <c r="O88" s="2"/>
      <c r="P88" s="2" t="s">
        <v>143</v>
      </c>
      <c r="Q88" s="2"/>
      <c r="R88" s="2" t="s">
        <v>79</v>
      </c>
      <c r="S88" s="2"/>
      <c r="T88" s="2" t="s">
        <v>1439</v>
      </c>
      <c r="U88" s="2"/>
      <c r="V88" s="2"/>
      <c r="W88" s="2" t="s">
        <v>80</v>
      </c>
      <c r="X88" s="2"/>
      <c r="Y88" s="2"/>
      <c r="Z88" s="2"/>
      <c r="AA88" s="2" t="s">
        <v>639</v>
      </c>
      <c r="AB88" s="2" t="s">
        <v>1440</v>
      </c>
      <c r="AC88" s="2" t="s">
        <v>95</v>
      </c>
      <c r="AD88" s="2" t="s">
        <v>80</v>
      </c>
      <c r="AE88" s="2"/>
      <c r="AF88" s="2"/>
      <c r="AG88" s="2"/>
      <c r="AH88" s="2" t="s">
        <v>1437</v>
      </c>
      <c r="AI88" s="2" t="s">
        <v>82</v>
      </c>
      <c r="AJ88" s="2">
        <v>6.5</v>
      </c>
      <c r="AK88" s="2" t="s">
        <v>84</v>
      </c>
      <c r="AL88" s="2" t="s">
        <v>84</v>
      </c>
      <c r="AM88" s="2" t="s">
        <v>84</v>
      </c>
      <c r="AN88" s="2" t="s">
        <v>86</v>
      </c>
      <c r="AO88" s="2" t="s">
        <v>84</v>
      </c>
      <c r="AP88" s="2" t="s">
        <v>84</v>
      </c>
      <c r="AQ88" s="2" t="s">
        <v>84</v>
      </c>
      <c r="AR88" s="2" t="s">
        <v>86</v>
      </c>
      <c r="AS88" s="2" t="s">
        <v>86</v>
      </c>
      <c r="AT88" s="2" t="s">
        <v>85</v>
      </c>
      <c r="AU88" s="2"/>
      <c r="AV88" s="2" t="s">
        <v>80</v>
      </c>
      <c r="AW88" s="2"/>
      <c r="AX88" s="2"/>
      <c r="AY88" s="2" t="s">
        <v>79</v>
      </c>
      <c r="AZ88" s="2"/>
      <c r="BA88" s="2" t="s">
        <v>1442</v>
      </c>
      <c r="BB88" s="2" t="s">
        <v>303</v>
      </c>
      <c r="BC88" s="2" t="s">
        <v>1443</v>
      </c>
      <c r="BD88" s="2" t="s">
        <v>514</v>
      </c>
      <c r="BE88" s="2" t="s">
        <v>79</v>
      </c>
      <c r="BF88" s="2" t="s">
        <v>1434</v>
      </c>
      <c r="BG88" s="2" t="s">
        <v>1444</v>
      </c>
      <c r="BH88" s="2" t="s">
        <v>648</v>
      </c>
      <c r="BI88" s="2" t="s">
        <v>79</v>
      </c>
      <c r="BJ88" s="2"/>
      <c r="BK88" s="2"/>
      <c r="BL88" s="2" t="s">
        <v>80</v>
      </c>
      <c r="BM88" s="2" t="s">
        <v>172</v>
      </c>
    </row>
    <row r="89" spans="1:65" ht="405" x14ac:dyDescent="0.25">
      <c r="A89" s="2" t="s">
        <v>1445</v>
      </c>
      <c r="B89" s="2">
        <v>2004</v>
      </c>
      <c r="C89" s="2" t="s">
        <v>189</v>
      </c>
      <c r="D89" s="2" t="s">
        <v>79</v>
      </c>
      <c r="E89" s="2" t="s">
        <v>1451</v>
      </c>
      <c r="F89" s="2" t="s">
        <v>80</v>
      </c>
      <c r="G89" s="2"/>
      <c r="H89" s="2" t="s">
        <v>80</v>
      </c>
      <c r="I89" s="2" t="s">
        <v>1450</v>
      </c>
      <c r="J89" s="2" t="s">
        <v>1452</v>
      </c>
      <c r="K89" s="2" t="s">
        <v>80</v>
      </c>
      <c r="L89" s="2" t="s">
        <v>1447</v>
      </c>
      <c r="M89" s="2" t="s">
        <v>80</v>
      </c>
      <c r="N89" s="2"/>
      <c r="O89" s="2"/>
      <c r="P89" s="2" t="s">
        <v>89</v>
      </c>
      <c r="Q89" s="2"/>
      <c r="R89" s="2" t="s">
        <v>79</v>
      </c>
      <c r="S89" s="2"/>
      <c r="T89" s="2" t="s">
        <v>1448</v>
      </c>
      <c r="U89" s="2"/>
      <c r="V89" s="2"/>
      <c r="W89" s="2" t="s">
        <v>80</v>
      </c>
      <c r="X89" s="2"/>
      <c r="Y89" s="2" t="s">
        <v>92</v>
      </c>
      <c r="Z89" s="2"/>
      <c r="AA89" s="2" t="s">
        <v>357</v>
      </c>
      <c r="AB89" s="2" t="s">
        <v>1449</v>
      </c>
      <c r="AC89" s="2" t="s">
        <v>95</v>
      </c>
      <c r="AD89" s="2" t="s">
        <v>80</v>
      </c>
      <c r="AE89" s="2"/>
      <c r="AF89" s="2"/>
      <c r="AG89" s="2"/>
      <c r="AH89" s="2" t="s">
        <v>1446</v>
      </c>
      <c r="AI89" s="2" t="s">
        <v>82</v>
      </c>
      <c r="AJ89" s="2">
        <v>9</v>
      </c>
      <c r="AK89" s="2" t="s">
        <v>84</v>
      </c>
      <c r="AL89" s="2" t="s">
        <v>84</v>
      </c>
      <c r="AM89" s="2" t="s">
        <v>84</v>
      </c>
      <c r="AN89" s="2" t="s">
        <v>84</v>
      </c>
      <c r="AO89" s="2" t="s">
        <v>84</v>
      </c>
      <c r="AP89" s="2" t="s">
        <v>84</v>
      </c>
      <c r="AQ89" s="2" t="s">
        <v>84</v>
      </c>
      <c r="AR89" s="2" t="s">
        <v>86</v>
      </c>
      <c r="AS89" s="2" t="s">
        <v>84</v>
      </c>
      <c r="AT89" s="2" t="s">
        <v>84</v>
      </c>
      <c r="AU89" s="2"/>
      <c r="AV89" s="2" t="s">
        <v>80</v>
      </c>
      <c r="AW89" s="2"/>
      <c r="AX89" s="2"/>
      <c r="AY89" s="2" t="s">
        <v>79</v>
      </c>
      <c r="AZ89" s="2"/>
      <c r="BA89" s="2" t="s">
        <v>1453</v>
      </c>
      <c r="BB89" s="2" t="s">
        <v>303</v>
      </c>
      <c r="BC89" s="2" t="s">
        <v>1454</v>
      </c>
      <c r="BD89" s="2" t="s">
        <v>143</v>
      </c>
      <c r="BE89" s="2" t="s">
        <v>79</v>
      </c>
      <c r="BF89" s="2"/>
      <c r="BG89" s="2" t="s">
        <v>1455</v>
      </c>
      <c r="BH89" s="2" t="s">
        <v>153</v>
      </c>
      <c r="BI89" s="2" t="s">
        <v>79</v>
      </c>
      <c r="BJ89" s="2" t="s">
        <v>206</v>
      </c>
      <c r="BK89" s="2" t="s">
        <v>1456</v>
      </c>
      <c r="BL89" s="2" t="s">
        <v>79</v>
      </c>
      <c r="BM89" s="2" t="s">
        <v>172</v>
      </c>
    </row>
    <row r="90" spans="1:65" ht="409.5" x14ac:dyDescent="0.25">
      <c r="A90" s="2" t="s">
        <v>1457</v>
      </c>
      <c r="B90" s="2">
        <v>2015</v>
      </c>
      <c r="C90" s="2" t="s">
        <v>111</v>
      </c>
      <c r="D90" s="2" t="s">
        <v>80</v>
      </c>
      <c r="E90" s="2"/>
      <c r="F90" s="2" t="s">
        <v>80</v>
      </c>
      <c r="G90" s="2"/>
      <c r="H90" s="2" t="s">
        <v>80</v>
      </c>
      <c r="I90" s="2"/>
      <c r="J90" s="2" t="s">
        <v>1462</v>
      </c>
      <c r="K90" s="2" t="s">
        <v>80</v>
      </c>
      <c r="L90" s="2" t="s">
        <v>1459</v>
      </c>
      <c r="M90" s="2" t="s">
        <v>80</v>
      </c>
      <c r="N90" s="2"/>
      <c r="O90" s="2"/>
      <c r="P90" s="2" t="s">
        <v>143</v>
      </c>
      <c r="Q90" s="2"/>
      <c r="R90" s="2" t="s">
        <v>79</v>
      </c>
      <c r="S90" s="2"/>
      <c r="T90" s="2" t="s">
        <v>1460</v>
      </c>
      <c r="U90" s="2"/>
      <c r="V90" s="2"/>
      <c r="W90" s="2" t="s">
        <v>80</v>
      </c>
      <c r="X90" s="2"/>
      <c r="Y90" s="2"/>
      <c r="Z90" s="2"/>
      <c r="AA90" s="2" t="s">
        <v>93</v>
      </c>
      <c r="AB90" s="2" t="s">
        <v>1461</v>
      </c>
      <c r="AC90" s="2" t="s">
        <v>95</v>
      </c>
      <c r="AD90" s="2" t="s">
        <v>80</v>
      </c>
      <c r="AE90" s="2"/>
      <c r="AF90" s="2"/>
      <c r="AG90" s="2"/>
      <c r="AH90" s="2" t="s">
        <v>1458</v>
      </c>
      <c r="AI90" s="2" t="s">
        <v>82</v>
      </c>
      <c r="AJ90" s="2">
        <v>7.5</v>
      </c>
      <c r="AK90" s="2" t="s">
        <v>84</v>
      </c>
      <c r="AL90" s="2" t="s">
        <v>84</v>
      </c>
      <c r="AM90" s="2" t="s">
        <v>84</v>
      </c>
      <c r="AN90" s="2" t="s">
        <v>86</v>
      </c>
      <c r="AO90" s="2" t="s">
        <v>84</v>
      </c>
      <c r="AP90" s="2" t="s">
        <v>84</v>
      </c>
      <c r="AQ90" s="2" t="s">
        <v>84</v>
      </c>
      <c r="AR90" s="2" t="s">
        <v>86</v>
      </c>
      <c r="AS90" s="2" t="s">
        <v>85</v>
      </c>
      <c r="AT90" s="2" t="s">
        <v>84</v>
      </c>
      <c r="AU90" s="2"/>
      <c r="AV90" s="2" t="s">
        <v>80</v>
      </c>
      <c r="AW90" s="2"/>
      <c r="AX90" s="2"/>
      <c r="AY90" s="2" t="s">
        <v>79</v>
      </c>
      <c r="AZ90" s="2"/>
      <c r="BA90" s="2" t="s">
        <v>1463</v>
      </c>
      <c r="BB90" s="2" t="s">
        <v>303</v>
      </c>
      <c r="BC90" s="2" t="s">
        <v>1464</v>
      </c>
      <c r="BD90" s="2" t="s">
        <v>514</v>
      </c>
      <c r="BE90" s="2" t="s">
        <v>79</v>
      </c>
      <c r="BF90" s="2" t="s">
        <v>1434</v>
      </c>
      <c r="BG90" s="2" t="s">
        <v>1465</v>
      </c>
      <c r="BH90" s="2" t="s">
        <v>648</v>
      </c>
      <c r="BI90" s="2" t="s">
        <v>79</v>
      </c>
      <c r="BJ90" s="2"/>
      <c r="BK90" s="2"/>
      <c r="BL90" s="2" t="s">
        <v>80</v>
      </c>
      <c r="BM90" s="2" t="s">
        <v>172</v>
      </c>
    </row>
    <row r="91" spans="1:65" ht="409.5" x14ac:dyDescent="0.25">
      <c r="A91" s="2" t="s">
        <v>1466</v>
      </c>
      <c r="B91" s="2">
        <v>2014</v>
      </c>
      <c r="C91" s="2" t="s">
        <v>111</v>
      </c>
      <c r="D91" s="2" t="s">
        <v>80</v>
      </c>
      <c r="E91" s="2"/>
      <c r="F91" s="2" t="s">
        <v>80</v>
      </c>
      <c r="G91" s="2"/>
      <c r="H91" s="2" t="s">
        <v>80</v>
      </c>
      <c r="I91" s="2"/>
      <c r="J91" s="2" t="s">
        <v>1471</v>
      </c>
      <c r="K91" s="2" t="s">
        <v>80</v>
      </c>
      <c r="L91" s="2" t="s">
        <v>1468</v>
      </c>
      <c r="M91" s="2" t="s">
        <v>80</v>
      </c>
      <c r="N91" s="2"/>
      <c r="O91" s="2"/>
      <c r="P91" s="2" t="s">
        <v>143</v>
      </c>
      <c r="Q91" s="2"/>
      <c r="R91" s="2" t="s">
        <v>79</v>
      </c>
      <c r="S91" s="2"/>
      <c r="T91" s="2" t="s">
        <v>1469</v>
      </c>
      <c r="U91" s="2"/>
      <c r="V91" s="2"/>
      <c r="W91" s="2" t="s">
        <v>80</v>
      </c>
      <c r="X91" s="2"/>
      <c r="Y91" s="2"/>
      <c r="Z91" s="2"/>
      <c r="AA91" s="2" t="s">
        <v>118</v>
      </c>
      <c r="AB91" s="2" t="s">
        <v>1470</v>
      </c>
      <c r="AC91" s="2" t="s">
        <v>95</v>
      </c>
      <c r="AD91" s="2" t="s">
        <v>80</v>
      </c>
      <c r="AE91" s="2"/>
      <c r="AF91" s="2"/>
      <c r="AG91" s="2"/>
      <c r="AH91" s="2" t="s">
        <v>1467</v>
      </c>
      <c r="AI91" s="2" t="s">
        <v>82</v>
      </c>
      <c r="AJ91" s="2">
        <v>6.5</v>
      </c>
      <c r="AK91" s="2" t="s">
        <v>84</v>
      </c>
      <c r="AL91" s="2" t="s">
        <v>84</v>
      </c>
      <c r="AM91" s="2" t="s">
        <v>84</v>
      </c>
      <c r="AN91" s="2" t="s">
        <v>86</v>
      </c>
      <c r="AO91" s="2" t="s">
        <v>84</v>
      </c>
      <c r="AP91" s="2" t="s">
        <v>84</v>
      </c>
      <c r="AQ91" s="2" t="s">
        <v>84</v>
      </c>
      <c r="AR91" s="2" t="s">
        <v>86</v>
      </c>
      <c r="AS91" s="2" t="s">
        <v>86</v>
      </c>
      <c r="AT91" s="2" t="s">
        <v>85</v>
      </c>
      <c r="AU91" s="2"/>
      <c r="AV91" s="2" t="s">
        <v>80</v>
      </c>
      <c r="AW91" s="2"/>
      <c r="AX91" s="2"/>
      <c r="AY91" s="2" t="s">
        <v>79</v>
      </c>
      <c r="AZ91" s="2"/>
      <c r="BA91" s="2" t="s">
        <v>1472</v>
      </c>
      <c r="BB91" s="2" t="s">
        <v>303</v>
      </c>
      <c r="BC91" s="2" t="s">
        <v>1473</v>
      </c>
      <c r="BD91" s="2" t="s">
        <v>514</v>
      </c>
      <c r="BE91" s="2" t="s">
        <v>79</v>
      </c>
      <c r="BF91" s="2" t="s">
        <v>1434</v>
      </c>
      <c r="BG91" s="2" t="s">
        <v>1474</v>
      </c>
      <c r="BH91" s="2" t="s">
        <v>648</v>
      </c>
      <c r="BI91" s="2" t="s">
        <v>79</v>
      </c>
      <c r="BJ91" s="2"/>
      <c r="BK91" s="2"/>
      <c r="BL91" s="2" t="s">
        <v>80</v>
      </c>
      <c r="BM91" s="2" t="s">
        <v>172</v>
      </c>
    </row>
    <row r="92" spans="1:65" ht="409.5" x14ac:dyDescent="0.25">
      <c r="A92" s="2" t="s">
        <v>1475</v>
      </c>
      <c r="B92" s="2">
        <v>2019</v>
      </c>
      <c r="C92" s="2" t="s">
        <v>111</v>
      </c>
      <c r="D92" s="2" t="s">
        <v>79</v>
      </c>
      <c r="E92" s="2" t="s">
        <v>1481</v>
      </c>
      <c r="F92" s="2" t="s">
        <v>80</v>
      </c>
      <c r="G92" s="2"/>
      <c r="H92" s="2" t="s">
        <v>80</v>
      </c>
      <c r="I92" s="2" t="s">
        <v>1480</v>
      </c>
      <c r="J92" s="2" t="s">
        <v>1483</v>
      </c>
      <c r="K92" s="2" t="s">
        <v>80</v>
      </c>
      <c r="L92" s="2" t="s">
        <v>1477</v>
      </c>
      <c r="M92" s="2" t="s">
        <v>79</v>
      </c>
      <c r="N92" s="2"/>
      <c r="O92" s="2"/>
      <c r="P92" s="2" t="s">
        <v>143</v>
      </c>
      <c r="Q92" s="2" t="s">
        <v>90</v>
      </c>
      <c r="R92" s="2" t="s">
        <v>79</v>
      </c>
      <c r="S92" s="2"/>
      <c r="T92" s="2"/>
      <c r="U92" s="2" t="s">
        <v>143</v>
      </c>
      <c r="V92" s="2" t="s">
        <v>619</v>
      </c>
      <c r="W92" s="2" t="s">
        <v>79</v>
      </c>
      <c r="X92" s="2" t="s">
        <v>1478</v>
      </c>
      <c r="Y92" s="2" t="s">
        <v>92</v>
      </c>
      <c r="Z92" s="2" t="s">
        <v>1000</v>
      </c>
      <c r="AA92" s="2" t="s">
        <v>118</v>
      </c>
      <c r="AB92" s="2" t="s">
        <v>1479</v>
      </c>
      <c r="AC92" s="2" t="s">
        <v>95</v>
      </c>
      <c r="AD92" s="2" t="s">
        <v>80</v>
      </c>
      <c r="AE92" s="2"/>
      <c r="AF92" s="2"/>
      <c r="AG92" s="2" t="s">
        <v>1482</v>
      </c>
      <c r="AH92" s="2" t="s">
        <v>1476</v>
      </c>
      <c r="AI92" s="2" t="s">
        <v>82</v>
      </c>
      <c r="AJ92" s="2">
        <v>7.5</v>
      </c>
      <c r="AK92" s="2" t="s">
        <v>84</v>
      </c>
      <c r="AL92" s="2" t="s">
        <v>84</v>
      </c>
      <c r="AM92" s="2" t="s">
        <v>84</v>
      </c>
      <c r="AN92" s="2" t="s">
        <v>86</v>
      </c>
      <c r="AO92" s="2" t="s">
        <v>84</v>
      </c>
      <c r="AP92" s="2" t="s">
        <v>84</v>
      </c>
      <c r="AQ92" s="2" t="s">
        <v>84</v>
      </c>
      <c r="AR92" s="2" t="s">
        <v>84</v>
      </c>
      <c r="AS92" s="2" t="s">
        <v>86</v>
      </c>
      <c r="AT92" s="2" t="s">
        <v>85</v>
      </c>
      <c r="AU92" s="2" t="s">
        <v>106</v>
      </c>
      <c r="AV92" s="2" t="s">
        <v>80</v>
      </c>
      <c r="AW92" s="2"/>
      <c r="AX92" s="2" t="s">
        <v>106</v>
      </c>
      <c r="AY92" s="2" t="s">
        <v>79</v>
      </c>
      <c r="AZ92" s="2"/>
      <c r="BA92" s="2"/>
      <c r="BB92" s="2" t="s">
        <v>1143</v>
      </c>
      <c r="BC92" s="2" t="s">
        <v>1484</v>
      </c>
      <c r="BD92" s="2" t="s">
        <v>514</v>
      </c>
      <c r="BE92" s="2" t="s">
        <v>79</v>
      </c>
      <c r="BF92" s="2" t="s">
        <v>1485</v>
      </c>
      <c r="BG92" s="2" t="s">
        <v>1486</v>
      </c>
      <c r="BH92" s="2" t="s">
        <v>648</v>
      </c>
      <c r="BI92" s="2" t="s">
        <v>79</v>
      </c>
      <c r="BJ92" s="2" t="s">
        <v>155</v>
      </c>
      <c r="BK92" s="2"/>
      <c r="BL92" s="2" t="s">
        <v>80</v>
      </c>
      <c r="BM92" s="2" t="s">
        <v>172</v>
      </c>
    </row>
    <row r="93" spans="1:65" ht="409.5" x14ac:dyDescent="0.25">
      <c r="A93" s="2" t="s">
        <v>1487</v>
      </c>
      <c r="B93" s="2">
        <v>2020</v>
      </c>
      <c r="C93" s="2" t="s">
        <v>111</v>
      </c>
      <c r="D93" s="2" t="s">
        <v>79</v>
      </c>
      <c r="E93" s="2" t="s">
        <v>1495</v>
      </c>
      <c r="F93" s="2" t="s">
        <v>80</v>
      </c>
      <c r="G93" s="2"/>
      <c r="H93" s="2" t="s">
        <v>106</v>
      </c>
      <c r="I93" s="2" t="s">
        <v>1494</v>
      </c>
      <c r="J93" s="2" t="s">
        <v>1497</v>
      </c>
      <c r="K93" s="2" t="s">
        <v>80</v>
      </c>
      <c r="L93" s="2" t="s">
        <v>1490</v>
      </c>
      <c r="M93" s="2" t="s">
        <v>79</v>
      </c>
      <c r="N93" s="2"/>
      <c r="O93" s="2" t="s">
        <v>1491</v>
      </c>
      <c r="P93" s="2"/>
      <c r="Q93" s="2"/>
      <c r="R93" s="2" t="s">
        <v>79</v>
      </c>
      <c r="S93" s="2"/>
      <c r="T93" s="2" t="s">
        <v>1492</v>
      </c>
      <c r="U93" s="2"/>
      <c r="V93" s="2"/>
      <c r="W93" s="2" t="s">
        <v>80</v>
      </c>
      <c r="X93" s="2"/>
      <c r="Y93" s="2" t="s">
        <v>92</v>
      </c>
      <c r="Z93" s="2" t="s">
        <v>1488</v>
      </c>
      <c r="AA93" s="2" t="s">
        <v>93</v>
      </c>
      <c r="AB93" s="2" t="s">
        <v>1493</v>
      </c>
      <c r="AC93" s="2" t="s">
        <v>95</v>
      </c>
      <c r="AD93" s="2" t="s">
        <v>80</v>
      </c>
      <c r="AE93" s="2"/>
      <c r="AF93" s="2"/>
      <c r="AG93" s="2" t="s">
        <v>1496</v>
      </c>
      <c r="AH93" s="2" t="s">
        <v>1489</v>
      </c>
      <c r="AI93" s="2" t="s">
        <v>82</v>
      </c>
      <c r="AJ93" s="2">
        <v>8</v>
      </c>
      <c r="AK93" s="2" t="s">
        <v>84</v>
      </c>
      <c r="AL93" s="2" t="s">
        <v>84</v>
      </c>
      <c r="AM93" s="2" t="s">
        <v>84</v>
      </c>
      <c r="AN93" s="2" t="s">
        <v>86</v>
      </c>
      <c r="AO93" s="2" t="s">
        <v>84</v>
      </c>
      <c r="AP93" s="2" t="s">
        <v>84</v>
      </c>
      <c r="AQ93" s="2" t="s">
        <v>84</v>
      </c>
      <c r="AR93" s="2" t="s">
        <v>84</v>
      </c>
      <c r="AS93" s="2" t="s">
        <v>86</v>
      </c>
      <c r="AT93" s="2" t="s">
        <v>84</v>
      </c>
      <c r="AU93" s="2"/>
      <c r="AV93" s="2" t="s">
        <v>80</v>
      </c>
      <c r="AW93" s="2"/>
      <c r="AX93" s="2"/>
      <c r="AY93" s="2" t="s">
        <v>79</v>
      </c>
      <c r="AZ93" s="2"/>
      <c r="BA93" s="2" t="s">
        <v>1498</v>
      </c>
      <c r="BB93" s="2" t="s">
        <v>303</v>
      </c>
      <c r="BC93" s="2" t="s">
        <v>1499</v>
      </c>
      <c r="BD93" s="2" t="s">
        <v>514</v>
      </c>
      <c r="BE93" s="2" t="s">
        <v>79</v>
      </c>
      <c r="BF93" s="2"/>
      <c r="BG93" s="2" t="s">
        <v>1500</v>
      </c>
      <c r="BH93" s="2"/>
      <c r="BI93" s="2" t="s">
        <v>79</v>
      </c>
      <c r="BJ93" s="2" t="s">
        <v>155</v>
      </c>
      <c r="BK93" s="2"/>
      <c r="BL93" s="2" t="s">
        <v>80</v>
      </c>
      <c r="BM93" s="2" t="s">
        <v>172</v>
      </c>
    </row>
    <row r="94" spans="1:65" ht="409.5" x14ac:dyDescent="0.25">
      <c r="A94" s="2" t="s">
        <v>1501</v>
      </c>
      <c r="B94" s="2">
        <v>2020</v>
      </c>
      <c r="C94" s="2" t="s">
        <v>111</v>
      </c>
      <c r="D94" s="2" t="s">
        <v>79</v>
      </c>
      <c r="E94" s="2" t="s">
        <v>1508</v>
      </c>
      <c r="F94" s="2" t="s">
        <v>80</v>
      </c>
      <c r="G94" s="2"/>
      <c r="H94" s="2" t="s">
        <v>106</v>
      </c>
      <c r="I94" s="2" t="s">
        <v>1507</v>
      </c>
      <c r="J94" s="2" t="s">
        <v>1509</v>
      </c>
      <c r="K94" s="2" t="s">
        <v>80</v>
      </c>
      <c r="L94" s="2" t="s">
        <v>1503</v>
      </c>
      <c r="M94" s="2" t="s">
        <v>79</v>
      </c>
      <c r="N94" s="2"/>
      <c r="O94" s="2" t="s">
        <v>1504</v>
      </c>
      <c r="P94" s="2"/>
      <c r="Q94" s="2"/>
      <c r="R94" s="2" t="s">
        <v>79</v>
      </c>
      <c r="S94" s="2"/>
      <c r="T94" s="2" t="s">
        <v>1505</v>
      </c>
      <c r="U94" s="2"/>
      <c r="V94" s="2" t="s">
        <v>155</v>
      </c>
      <c r="W94" s="2" t="s">
        <v>80</v>
      </c>
      <c r="X94" s="2"/>
      <c r="Y94" s="2" t="s">
        <v>92</v>
      </c>
      <c r="Z94" s="2" t="s">
        <v>1488</v>
      </c>
      <c r="AA94" s="2"/>
      <c r="AB94" s="2" t="s">
        <v>1506</v>
      </c>
      <c r="AC94" s="2" t="s">
        <v>95</v>
      </c>
      <c r="AD94" s="2" t="s">
        <v>80</v>
      </c>
      <c r="AE94" s="2"/>
      <c r="AF94" s="2"/>
      <c r="AG94" s="2"/>
      <c r="AH94" s="2" t="s">
        <v>1502</v>
      </c>
      <c r="AI94" s="2" t="s">
        <v>82</v>
      </c>
      <c r="AJ94" s="2">
        <v>9</v>
      </c>
      <c r="AK94" s="2" t="s">
        <v>84</v>
      </c>
      <c r="AL94" s="2" t="s">
        <v>84</v>
      </c>
      <c r="AM94" s="2" t="s">
        <v>84</v>
      </c>
      <c r="AN94" s="2" t="s">
        <v>84</v>
      </c>
      <c r="AO94" s="2" t="s">
        <v>84</v>
      </c>
      <c r="AP94" s="2" t="s">
        <v>84</v>
      </c>
      <c r="AQ94" s="2" t="s">
        <v>84</v>
      </c>
      <c r="AR94" s="2" t="s">
        <v>84</v>
      </c>
      <c r="AS94" s="2" t="s">
        <v>86</v>
      </c>
      <c r="AT94" s="2" t="s">
        <v>84</v>
      </c>
      <c r="AU94" s="2" t="s">
        <v>106</v>
      </c>
      <c r="AV94" s="2" t="s">
        <v>80</v>
      </c>
      <c r="AW94" s="2"/>
      <c r="AX94" s="2" t="s">
        <v>106</v>
      </c>
      <c r="AY94" s="2" t="s">
        <v>79</v>
      </c>
      <c r="AZ94" s="2"/>
      <c r="BA94" s="2" t="s">
        <v>1510</v>
      </c>
      <c r="BB94" s="2" t="s">
        <v>303</v>
      </c>
      <c r="BC94" s="2" t="s">
        <v>1511</v>
      </c>
      <c r="BD94" s="2" t="s">
        <v>514</v>
      </c>
      <c r="BE94" s="2" t="s">
        <v>79</v>
      </c>
      <c r="BF94" s="2"/>
      <c r="BG94" s="2" t="s">
        <v>1512</v>
      </c>
      <c r="BH94" s="2"/>
      <c r="BI94" s="2" t="s">
        <v>79</v>
      </c>
      <c r="BJ94" s="2" t="s">
        <v>155</v>
      </c>
      <c r="BK94" s="2"/>
      <c r="BL94" s="2" t="s">
        <v>80</v>
      </c>
      <c r="BM94" s="2" t="s">
        <v>172</v>
      </c>
    </row>
    <row r="95" spans="1:65" ht="409.5" x14ac:dyDescent="0.25">
      <c r="A95" s="2" t="s">
        <v>1513</v>
      </c>
      <c r="B95" s="2">
        <v>2020</v>
      </c>
      <c r="C95" s="2" t="s">
        <v>111</v>
      </c>
      <c r="D95" s="2" t="s">
        <v>80</v>
      </c>
      <c r="E95" s="2" t="s">
        <v>1520</v>
      </c>
      <c r="F95" s="2" t="s">
        <v>80</v>
      </c>
      <c r="G95" s="2"/>
      <c r="H95" s="2" t="s">
        <v>80</v>
      </c>
      <c r="I95" s="2" t="s">
        <v>1519</v>
      </c>
      <c r="J95" s="2" t="s">
        <v>1522</v>
      </c>
      <c r="K95" s="2" t="s">
        <v>80</v>
      </c>
      <c r="L95" s="2" t="s">
        <v>1515</v>
      </c>
      <c r="M95" s="2" t="s">
        <v>79</v>
      </c>
      <c r="N95" s="2"/>
      <c r="O95" s="2" t="s">
        <v>1516</v>
      </c>
      <c r="P95" s="2"/>
      <c r="Q95" s="2"/>
      <c r="R95" s="2" t="s">
        <v>79</v>
      </c>
      <c r="S95" s="2"/>
      <c r="T95" s="2" t="s">
        <v>1517</v>
      </c>
      <c r="U95" s="2"/>
      <c r="V95" s="2" t="s">
        <v>155</v>
      </c>
      <c r="W95" s="2" t="s">
        <v>80</v>
      </c>
      <c r="X95" s="2"/>
      <c r="Y95" s="2"/>
      <c r="Z95" s="2" t="s">
        <v>1488</v>
      </c>
      <c r="AA95" s="2"/>
      <c r="AB95" s="2" t="s">
        <v>1518</v>
      </c>
      <c r="AC95" s="2" t="s">
        <v>95</v>
      </c>
      <c r="AD95" s="2" t="s">
        <v>80</v>
      </c>
      <c r="AE95" s="2"/>
      <c r="AF95" s="2"/>
      <c r="AG95" s="2" t="s">
        <v>1521</v>
      </c>
      <c r="AH95" s="2" t="s">
        <v>1514</v>
      </c>
      <c r="AI95" s="2" t="s">
        <v>82</v>
      </c>
      <c r="AJ95" s="2">
        <v>8</v>
      </c>
      <c r="AK95" s="2" t="s">
        <v>84</v>
      </c>
      <c r="AL95" s="2" t="s">
        <v>84</v>
      </c>
      <c r="AM95" s="2" t="s">
        <v>84</v>
      </c>
      <c r="AN95" s="2" t="s">
        <v>86</v>
      </c>
      <c r="AO95" s="2" t="s">
        <v>84</v>
      </c>
      <c r="AP95" s="2" t="s">
        <v>84</v>
      </c>
      <c r="AQ95" s="2" t="s">
        <v>84</v>
      </c>
      <c r="AR95" s="2" t="s">
        <v>84</v>
      </c>
      <c r="AS95" s="2" t="s">
        <v>86</v>
      </c>
      <c r="AT95" s="2" t="s">
        <v>84</v>
      </c>
      <c r="AU95" s="2" t="s">
        <v>106</v>
      </c>
      <c r="AV95" s="2" t="s">
        <v>80</v>
      </c>
      <c r="AW95" s="2"/>
      <c r="AX95" s="2" t="s">
        <v>106</v>
      </c>
      <c r="AY95" s="2" t="s">
        <v>79</v>
      </c>
      <c r="AZ95" s="2"/>
      <c r="BA95" s="2" t="s">
        <v>1523</v>
      </c>
      <c r="BB95" s="2" t="s">
        <v>1143</v>
      </c>
      <c r="BC95" s="2" t="s">
        <v>1524</v>
      </c>
      <c r="BD95" s="2" t="s">
        <v>514</v>
      </c>
      <c r="BE95" s="2" t="s">
        <v>79</v>
      </c>
      <c r="BF95" s="2"/>
      <c r="BG95" s="2" t="s">
        <v>1525</v>
      </c>
      <c r="BH95" s="2"/>
      <c r="BI95" s="2" t="s">
        <v>79</v>
      </c>
      <c r="BJ95" s="2" t="s">
        <v>155</v>
      </c>
      <c r="BK95" s="2"/>
      <c r="BL95" s="2" t="s">
        <v>80</v>
      </c>
      <c r="BM95" s="2" t="s">
        <v>109</v>
      </c>
    </row>
    <row r="96" spans="1:65" ht="409.5" x14ac:dyDescent="0.25">
      <c r="A96" s="2" t="s">
        <v>1526</v>
      </c>
      <c r="B96" s="2">
        <v>2023</v>
      </c>
      <c r="C96" s="2" t="s">
        <v>111</v>
      </c>
      <c r="D96" s="2" t="s">
        <v>79</v>
      </c>
      <c r="E96" s="2" t="s">
        <v>1535</v>
      </c>
      <c r="F96" s="2" t="s">
        <v>79</v>
      </c>
      <c r="G96" s="2" t="s">
        <v>1541</v>
      </c>
      <c r="H96" s="2" t="s">
        <v>79</v>
      </c>
      <c r="I96" s="2" t="s">
        <v>1534</v>
      </c>
      <c r="J96" s="2" t="s">
        <v>1537</v>
      </c>
      <c r="K96" s="2" t="s">
        <v>92</v>
      </c>
      <c r="L96" s="2" t="s">
        <v>1529</v>
      </c>
      <c r="M96" s="2" t="s">
        <v>79</v>
      </c>
      <c r="N96" s="2"/>
      <c r="O96" s="2" t="s">
        <v>1530</v>
      </c>
      <c r="P96" s="2" t="s">
        <v>89</v>
      </c>
      <c r="Q96" s="2" t="s">
        <v>116</v>
      </c>
      <c r="R96" s="2" t="s">
        <v>79</v>
      </c>
      <c r="S96" s="2"/>
      <c r="T96" s="2" t="s">
        <v>1531</v>
      </c>
      <c r="U96" s="2" t="s">
        <v>143</v>
      </c>
      <c r="V96" s="2" t="s">
        <v>277</v>
      </c>
      <c r="W96" s="2" t="s">
        <v>79</v>
      </c>
      <c r="X96" s="2" t="s">
        <v>1532</v>
      </c>
      <c r="Y96" s="2" t="s">
        <v>92</v>
      </c>
      <c r="Z96" s="2" t="s">
        <v>1527</v>
      </c>
      <c r="AA96" s="2"/>
      <c r="AB96" s="2" t="s">
        <v>1533</v>
      </c>
      <c r="AC96" s="2" t="s">
        <v>95</v>
      </c>
      <c r="AD96" s="2" t="s">
        <v>80</v>
      </c>
      <c r="AE96" s="2"/>
      <c r="AF96" s="2"/>
      <c r="AG96" s="2" t="s">
        <v>1536</v>
      </c>
      <c r="AH96" s="2" t="s">
        <v>1528</v>
      </c>
      <c r="AI96" s="2" t="s">
        <v>82</v>
      </c>
      <c r="AJ96" s="2">
        <v>9.5</v>
      </c>
      <c r="AK96" s="2" t="s">
        <v>84</v>
      </c>
      <c r="AL96" s="2" t="s">
        <v>84</v>
      </c>
      <c r="AM96" s="2" t="s">
        <v>84</v>
      </c>
      <c r="AN96" s="2" t="s">
        <v>84</v>
      </c>
      <c r="AO96" s="2" t="s">
        <v>84</v>
      </c>
      <c r="AP96" s="2" t="s">
        <v>84</v>
      </c>
      <c r="AQ96" s="2" t="s">
        <v>84</v>
      </c>
      <c r="AR96" s="2" t="s">
        <v>84</v>
      </c>
      <c r="AS96" s="2" t="s">
        <v>84</v>
      </c>
      <c r="AT96" s="2" t="s">
        <v>85</v>
      </c>
      <c r="AU96" s="2" t="s">
        <v>106</v>
      </c>
      <c r="AV96" s="2" t="s">
        <v>80</v>
      </c>
      <c r="AW96" s="2"/>
      <c r="AX96" s="2" t="s">
        <v>106</v>
      </c>
      <c r="AY96" s="2" t="s">
        <v>79</v>
      </c>
      <c r="AZ96" s="2"/>
      <c r="BA96" s="2" t="s">
        <v>1538</v>
      </c>
      <c r="BB96" s="2" t="s">
        <v>100</v>
      </c>
      <c r="BC96" s="2" t="s">
        <v>1539</v>
      </c>
      <c r="BD96" s="2" t="s">
        <v>102</v>
      </c>
      <c r="BE96" s="2" t="s">
        <v>79</v>
      </c>
      <c r="BF96" s="2"/>
      <c r="BG96" s="2" t="s">
        <v>1540</v>
      </c>
      <c r="BH96" s="2" t="s">
        <v>153</v>
      </c>
      <c r="BI96" s="2" t="s">
        <v>79</v>
      </c>
      <c r="BJ96" s="2" t="s">
        <v>563</v>
      </c>
      <c r="BK96" s="2" t="s">
        <v>1542</v>
      </c>
      <c r="BL96" s="2" t="s">
        <v>79</v>
      </c>
      <c r="BM96" s="2" t="s">
        <v>109</v>
      </c>
    </row>
    <row r="97" spans="1:65" ht="409.5" x14ac:dyDescent="0.25">
      <c r="A97" s="2" t="s">
        <v>1543</v>
      </c>
      <c r="B97" s="2">
        <v>2020</v>
      </c>
      <c r="C97" s="2" t="s">
        <v>111</v>
      </c>
      <c r="D97" s="2" t="s">
        <v>79</v>
      </c>
      <c r="E97" s="2" t="s">
        <v>1552</v>
      </c>
      <c r="F97" s="2" t="s">
        <v>92</v>
      </c>
      <c r="G97" s="2" t="s">
        <v>1559</v>
      </c>
      <c r="H97" s="2" t="s">
        <v>106</v>
      </c>
      <c r="I97" s="2" t="s">
        <v>1551</v>
      </c>
      <c r="J97" s="2" t="s">
        <v>1554</v>
      </c>
      <c r="K97" s="2" t="s">
        <v>92</v>
      </c>
      <c r="L97" s="2" t="s">
        <v>1546</v>
      </c>
      <c r="M97" s="2" t="s">
        <v>79</v>
      </c>
      <c r="N97" s="2"/>
      <c r="O97" s="2" t="s">
        <v>1547</v>
      </c>
      <c r="P97" s="2" t="s">
        <v>89</v>
      </c>
      <c r="Q97" s="2" t="s">
        <v>116</v>
      </c>
      <c r="R97" s="2" t="s">
        <v>79</v>
      </c>
      <c r="S97" s="2"/>
      <c r="T97" s="2" t="s">
        <v>1548</v>
      </c>
      <c r="U97" s="2"/>
      <c r="V97" s="2" t="s">
        <v>155</v>
      </c>
      <c r="W97" s="2" t="s">
        <v>79</v>
      </c>
      <c r="X97" s="2" t="s">
        <v>1549</v>
      </c>
      <c r="Y97" s="2" t="s">
        <v>92</v>
      </c>
      <c r="Z97" s="2" t="s">
        <v>1544</v>
      </c>
      <c r="AA97" s="2" t="s">
        <v>465</v>
      </c>
      <c r="AB97" s="2" t="s">
        <v>1550</v>
      </c>
      <c r="AC97" s="2" t="s">
        <v>95</v>
      </c>
      <c r="AD97" s="2" t="s">
        <v>80</v>
      </c>
      <c r="AE97" s="2"/>
      <c r="AF97" s="2"/>
      <c r="AG97" s="2" t="s">
        <v>1553</v>
      </c>
      <c r="AH97" s="2" t="s">
        <v>1545</v>
      </c>
      <c r="AI97" s="2" t="s">
        <v>82</v>
      </c>
      <c r="AJ97" s="2">
        <v>9</v>
      </c>
      <c r="AK97" s="2" t="s">
        <v>84</v>
      </c>
      <c r="AL97" s="2" t="s">
        <v>84</v>
      </c>
      <c r="AM97" s="2" t="s">
        <v>84</v>
      </c>
      <c r="AN97" s="2" t="s">
        <v>84</v>
      </c>
      <c r="AO97" s="2" t="s">
        <v>84</v>
      </c>
      <c r="AP97" s="2" t="s">
        <v>84</v>
      </c>
      <c r="AQ97" s="2" t="s">
        <v>84</v>
      </c>
      <c r="AR97" s="2" t="s">
        <v>86</v>
      </c>
      <c r="AS97" s="2" t="s">
        <v>84</v>
      </c>
      <c r="AT97" s="2" t="s">
        <v>84</v>
      </c>
      <c r="AU97" s="2" t="s">
        <v>106</v>
      </c>
      <c r="AV97" s="2" t="s">
        <v>80</v>
      </c>
      <c r="AW97" s="2"/>
      <c r="AX97" s="2" t="s">
        <v>106</v>
      </c>
      <c r="AY97" s="2" t="s">
        <v>79</v>
      </c>
      <c r="AZ97" s="2"/>
      <c r="BA97" s="2" t="s">
        <v>1555</v>
      </c>
      <c r="BB97" s="2" t="s">
        <v>100</v>
      </c>
      <c r="BC97" s="2" t="s">
        <v>1556</v>
      </c>
      <c r="BD97" s="2" t="s">
        <v>1557</v>
      </c>
      <c r="BE97" s="2" t="s">
        <v>79</v>
      </c>
      <c r="BF97" s="2"/>
      <c r="BG97" s="2" t="s">
        <v>1558</v>
      </c>
      <c r="BH97" s="2" t="s">
        <v>153</v>
      </c>
      <c r="BI97" s="2" t="s">
        <v>79</v>
      </c>
      <c r="BJ97" s="2" t="s">
        <v>107</v>
      </c>
      <c r="BK97" s="2" t="s">
        <v>1560</v>
      </c>
      <c r="BL97" s="2" t="s">
        <v>79</v>
      </c>
      <c r="BM97" s="2" t="s">
        <v>109</v>
      </c>
    </row>
    <row r="98" spans="1:65" ht="409.5" x14ac:dyDescent="0.25">
      <c r="A98" s="2" t="s">
        <v>1561</v>
      </c>
      <c r="B98" s="2">
        <v>2020</v>
      </c>
      <c r="C98" s="2" t="s">
        <v>111</v>
      </c>
      <c r="D98" s="2" t="s">
        <v>79</v>
      </c>
      <c r="E98" s="2" t="s">
        <v>1568</v>
      </c>
      <c r="F98" s="2" t="s">
        <v>79</v>
      </c>
      <c r="G98" s="2" t="s">
        <v>1574</v>
      </c>
      <c r="H98" s="2" t="s">
        <v>106</v>
      </c>
      <c r="I98" s="2" t="s">
        <v>1567</v>
      </c>
      <c r="J98" s="2" t="s">
        <v>1570</v>
      </c>
      <c r="K98" s="2" t="s">
        <v>80</v>
      </c>
      <c r="L98" s="2" t="s">
        <v>1563</v>
      </c>
      <c r="M98" s="2" t="s">
        <v>79</v>
      </c>
      <c r="N98" s="2"/>
      <c r="O98" s="2" t="s">
        <v>1564</v>
      </c>
      <c r="P98" s="2" t="s">
        <v>143</v>
      </c>
      <c r="Q98" s="2" t="s">
        <v>90</v>
      </c>
      <c r="R98" s="2" t="s">
        <v>79</v>
      </c>
      <c r="S98" s="2"/>
      <c r="T98" s="2" t="s">
        <v>1565</v>
      </c>
      <c r="U98" s="2"/>
      <c r="V98" s="2" t="s">
        <v>155</v>
      </c>
      <c r="W98" s="2" t="s">
        <v>80</v>
      </c>
      <c r="X98" s="2"/>
      <c r="Y98" s="2" t="s">
        <v>92</v>
      </c>
      <c r="Z98" s="2" t="s">
        <v>1527</v>
      </c>
      <c r="AA98" s="2"/>
      <c r="AB98" s="2" t="s">
        <v>1566</v>
      </c>
      <c r="AC98" s="2" t="s">
        <v>95</v>
      </c>
      <c r="AD98" s="2" t="s">
        <v>80</v>
      </c>
      <c r="AE98" s="2"/>
      <c r="AF98" s="2"/>
      <c r="AG98" s="2" t="s">
        <v>1569</v>
      </c>
      <c r="AH98" s="2" t="s">
        <v>1562</v>
      </c>
      <c r="AI98" s="2" t="s">
        <v>82</v>
      </c>
      <c r="AJ98" s="2">
        <v>8</v>
      </c>
      <c r="AK98" s="2" t="s">
        <v>84</v>
      </c>
      <c r="AL98" s="2" t="s">
        <v>84</v>
      </c>
      <c r="AM98" s="2" t="s">
        <v>84</v>
      </c>
      <c r="AN98" s="2" t="s">
        <v>84</v>
      </c>
      <c r="AO98" s="2" t="s">
        <v>84</v>
      </c>
      <c r="AP98" s="2" t="s">
        <v>84</v>
      </c>
      <c r="AQ98" s="2" t="s">
        <v>84</v>
      </c>
      <c r="AR98" s="2" t="s">
        <v>86</v>
      </c>
      <c r="AS98" s="2" t="s">
        <v>86</v>
      </c>
      <c r="AT98" s="2" t="s">
        <v>84</v>
      </c>
      <c r="AU98" s="2" t="s">
        <v>106</v>
      </c>
      <c r="AV98" s="2" t="s">
        <v>80</v>
      </c>
      <c r="AW98" s="2"/>
      <c r="AX98" s="2" t="s">
        <v>106</v>
      </c>
      <c r="AY98" s="2" t="s">
        <v>79</v>
      </c>
      <c r="AZ98" s="2"/>
      <c r="BA98" s="2" t="s">
        <v>1571</v>
      </c>
      <c r="BB98" s="2" t="s">
        <v>100</v>
      </c>
      <c r="BC98" s="2" t="s">
        <v>1572</v>
      </c>
      <c r="BD98" s="2" t="s">
        <v>286</v>
      </c>
      <c r="BE98" s="2" t="s">
        <v>79</v>
      </c>
      <c r="BF98" s="2"/>
      <c r="BG98" s="2" t="s">
        <v>1573</v>
      </c>
      <c r="BH98" s="2" t="s">
        <v>153</v>
      </c>
      <c r="BI98" s="2" t="s">
        <v>79</v>
      </c>
      <c r="BJ98" s="2" t="s">
        <v>155</v>
      </c>
      <c r="BK98" s="2"/>
      <c r="BL98" s="2" t="s">
        <v>80</v>
      </c>
      <c r="BM98" s="2" t="s">
        <v>268</v>
      </c>
    </row>
    <row r="99" spans="1:65" ht="409.5" x14ac:dyDescent="0.25">
      <c r="A99" s="2" t="s">
        <v>1575</v>
      </c>
      <c r="B99" s="2">
        <v>2024</v>
      </c>
      <c r="C99" s="2" t="s">
        <v>111</v>
      </c>
      <c r="D99" s="2" t="s">
        <v>79</v>
      </c>
      <c r="E99" s="2" t="s">
        <v>1583</v>
      </c>
      <c r="F99" s="2" t="s">
        <v>92</v>
      </c>
      <c r="G99" s="2" t="s">
        <v>1589</v>
      </c>
      <c r="H99" s="2" t="s">
        <v>80</v>
      </c>
      <c r="I99" s="2" t="s">
        <v>1582</v>
      </c>
      <c r="J99" s="2" t="s">
        <v>1585</v>
      </c>
      <c r="K99" s="2" t="s">
        <v>80</v>
      </c>
      <c r="L99" s="2" t="s">
        <v>1578</v>
      </c>
      <c r="M99" s="2" t="s">
        <v>79</v>
      </c>
      <c r="N99" s="2"/>
      <c r="O99" s="2" t="s">
        <v>1579</v>
      </c>
      <c r="P99" s="2" t="s">
        <v>478</v>
      </c>
      <c r="Q99" s="2" t="s">
        <v>116</v>
      </c>
      <c r="R99" s="2" t="s">
        <v>79</v>
      </c>
      <c r="S99" s="2"/>
      <c r="T99" s="2" t="s">
        <v>1580</v>
      </c>
      <c r="U99" s="2"/>
      <c r="V99" s="2" t="s">
        <v>155</v>
      </c>
      <c r="W99" s="2" t="s">
        <v>80</v>
      </c>
      <c r="X99" s="2"/>
      <c r="Y99" s="2" t="s">
        <v>92</v>
      </c>
      <c r="Z99" s="2" t="s">
        <v>1576</v>
      </c>
      <c r="AA99" s="2" t="s">
        <v>465</v>
      </c>
      <c r="AB99" s="2" t="s">
        <v>1581</v>
      </c>
      <c r="AC99" s="2" t="s">
        <v>95</v>
      </c>
      <c r="AD99" s="2" t="s">
        <v>80</v>
      </c>
      <c r="AE99" s="2"/>
      <c r="AF99" s="2"/>
      <c r="AG99" s="2" t="s">
        <v>1584</v>
      </c>
      <c r="AH99" s="2" t="s">
        <v>1577</v>
      </c>
      <c r="AI99" s="2" t="s">
        <v>82</v>
      </c>
      <c r="AJ99" s="2">
        <v>9</v>
      </c>
      <c r="AK99" s="2" t="s">
        <v>84</v>
      </c>
      <c r="AL99" s="2" t="s">
        <v>84</v>
      </c>
      <c r="AM99" s="2" t="s">
        <v>84</v>
      </c>
      <c r="AN99" s="2" t="s">
        <v>84</v>
      </c>
      <c r="AO99" s="2" t="s">
        <v>84</v>
      </c>
      <c r="AP99" s="2" t="s">
        <v>84</v>
      </c>
      <c r="AQ99" s="2" t="s">
        <v>84</v>
      </c>
      <c r="AR99" s="2" t="s">
        <v>86</v>
      </c>
      <c r="AS99" s="2" t="s">
        <v>84</v>
      </c>
      <c r="AT99" s="2" t="s">
        <v>84</v>
      </c>
      <c r="AU99" s="2" t="s">
        <v>106</v>
      </c>
      <c r="AV99" s="2" t="s">
        <v>80</v>
      </c>
      <c r="AW99" s="2"/>
      <c r="AX99" s="2" t="s">
        <v>106</v>
      </c>
      <c r="AY99" s="2" t="s">
        <v>79</v>
      </c>
      <c r="AZ99" s="2"/>
      <c r="BA99" s="2" t="s">
        <v>1586</v>
      </c>
      <c r="BB99" s="2" t="s">
        <v>100</v>
      </c>
      <c r="BC99" s="2" t="s">
        <v>1587</v>
      </c>
      <c r="BD99" s="2" t="s">
        <v>286</v>
      </c>
      <c r="BE99" s="2" t="s">
        <v>79</v>
      </c>
      <c r="BF99" s="2"/>
      <c r="BG99" s="2" t="s">
        <v>1588</v>
      </c>
      <c r="BH99" s="2" t="s">
        <v>153</v>
      </c>
      <c r="BI99" s="2" t="s">
        <v>79</v>
      </c>
      <c r="BJ99" s="2" t="s">
        <v>107</v>
      </c>
      <c r="BK99" s="2" t="s">
        <v>1590</v>
      </c>
      <c r="BL99" s="2" t="s">
        <v>79</v>
      </c>
      <c r="BM99" s="2" t="s">
        <v>109</v>
      </c>
    </row>
    <row r="100" spans="1:65" ht="409.5" x14ac:dyDescent="0.25">
      <c r="A100" s="2" t="s">
        <v>1591</v>
      </c>
      <c r="B100" s="2">
        <v>2023</v>
      </c>
      <c r="C100" s="2" t="s">
        <v>111</v>
      </c>
      <c r="D100" s="2" t="s">
        <v>79</v>
      </c>
      <c r="E100" s="2" t="s">
        <v>1598</v>
      </c>
      <c r="F100" s="2" t="s">
        <v>92</v>
      </c>
      <c r="G100" s="2" t="s">
        <v>1604</v>
      </c>
      <c r="H100" s="2" t="s">
        <v>79</v>
      </c>
      <c r="I100" s="2" t="s">
        <v>1597</v>
      </c>
      <c r="J100" s="2" t="s">
        <v>1600</v>
      </c>
      <c r="K100" s="2" t="s">
        <v>92</v>
      </c>
      <c r="L100" s="2" t="s">
        <v>1593</v>
      </c>
      <c r="M100" s="2" t="s">
        <v>79</v>
      </c>
      <c r="N100" s="2"/>
      <c r="O100" s="2" t="s">
        <v>1594</v>
      </c>
      <c r="P100" s="2" t="s">
        <v>89</v>
      </c>
      <c r="Q100" s="2" t="s">
        <v>116</v>
      </c>
      <c r="R100" s="2" t="s">
        <v>79</v>
      </c>
      <c r="S100" s="2"/>
      <c r="T100" s="2" t="s">
        <v>1595</v>
      </c>
      <c r="U100" s="2"/>
      <c r="V100" s="2" t="s">
        <v>155</v>
      </c>
      <c r="W100" s="2" t="s">
        <v>80</v>
      </c>
      <c r="X100" s="2"/>
      <c r="Y100" s="2" t="s">
        <v>92</v>
      </c>
      <c r="Z100" s="2" t="s">
        <v>1576</v>
      </c>
      <c r="AA100" s="2" t="s">
        <v>864</v>
      </c>
      <c r="AB100" s="2" t="s">
        <v>1596</v>
      </c>
      <c r="AC100" s="2" t="s">
        <v>95</v>
      </c>
      <c r="AD100" s="2" t="s">
        <v>80</v>
      </c>
      <c r="AE100" s="2"/>
      <c r="AF100" s="2"/>
      <c r="AG100" s="2" t="s">
        <v>1599</v>
      </c>
      <c r="AH100" s="2" t="s">
        <v>1592</v>
      </c>
      <c r="AI100" s="2" t="s">
        <v>82</v>
      </c>
      <c r="AJ100" s="2">
        <v>9</v>
      </c>
      <c r="AK100" s="2" t="s">
        <v>84</v>
      </c>
      <c r="AL100" s="2" t="s">
        <v>84</v>
      </c>
      <c r="AM100" s="2" t="s">
        <v>84</v>
      </c>
      <c r="AN100" s="2" t="s">
        <v>84</v>
      </c>
      <c r="AO100" s="2" t="s">
        <v>84</v>
      </c>
      <c r="AP100" s="2" t="s">
        <v>84</v>
      </c>
      <c r="AQ100" s="2" t="s">
        <v>84</v>
      </c>
      <c r="AR100" s="2" t="s">
        <v>86</v>
      </c>
      <c r="AS100" s="2" t="s">
        <v>84</v>
      </c>
      <c r="AT100" s="2" t="s">
        <v>84</v>
      </c>
      <c r="AU100" s="2" t="s">
        <v>106</v>
      </c>
      <c r="AV100" s="2" t="s">
        <v>80</v>
      </c>
      <c r="AW100" s="2"/>
      <c r="AX100" s="2" t="s">
        <v>106</v>
      </c>
      <c r="AY100" s="2" t="s">
        <v>79</v>
      </c>
      <c r="AZ100" s="2"/>
      <c r="BA100" s="2" t="s">
        <v>1601</v>
      </c>
      <c r="BB100" s="2" t="s">
        <v>100</v>
      </c>
      <c r="BC100" s="2" t="s">
        <v>1602</v>
      </c>
      <c r="BD100" s="2" t="s">
        <v>1557</v>
      </c>
      <c r="BE100" s="2" t="s">
        <v>79</v>
      </c>
      <c r="BF100" s="2"/>
      <c r="BG100" s="2" t="s">
        <v>1603</v>
      </c>
      <c r="BH100" s="2" t="s">
        <v>104</v>
      </c>
      <c r="BI100" s="2" t="s">
        <v>79</v>
      </c>
      <c r="BJ100" s="2" t="s">
        <v>107</v>
      </c>
      <c r="BK100" s="2" t="s">
        <v>1605</v>
      </c>
      <c r="BL100" s="2" t="s">
        <v>79</v>
      </c>
      <c r="BM100" s="2" t="s">
        <v>109</v>
      </c>
    </row>
    <row r="101" spans="1:65" ht="409.5" x14ac:dyDescent="0.25">
      <c r="A101" s="2" t="s">
        <v>1606</v>
      </c>
      <c r="B101" s="2">
        <v>2022</v>
      </c>
      <c r="C101" s="2" t="s">
        <v>111</v>
      </c>
      <c r="D101" s="2" t="s">
        <v>79</v>
      </c>
      <c r="E101" s="2" t="s">
        <v>1612</v>
      </c>
      <c r="F101" s="2" t="s">
        <v>92</v>
      </c>
      <c r="G101" s="2" t="s">
        <v>1616</v>
      </c>
      <c r="H101" s="2" t="s">
        <v>79</v>
      </c>
      <c r="I101" s="2" t="s">
        <v>1611</v>
      </c>
      <c r="J101" s="2" t="s">
        <v>1613</v>
      </c>
      <c r="K101" s="2" t="s">
        <v>80</v>
      </c>
      <c r="L101" s="2" t="s">
        <v>1608</v>
      </c>
      <c r="M101" s="2" t="s">
        <v>79</v>
      </c>
      <c r="N101" s="2"/>
      <c r="O101" s="2" t="s">
        <v>1609</v>
      </c>
      <c r="P101" s="2" t="s">
        <v>478</v>
      </c>
      <c r="Q101" s="2" t="s">
        <v>116</v>
      </c>
      <c r="R101" s="2" t="s">
        <v>80</v>
      </c>
      <c r="S101" s="2"/>
      <c r="T101" s="2"/>
      <c r="U101" s="2"/>
      <c r="V101" s="2"/>
      <c r="W101" s="2" t="s">
        <v>80</v>
      </c>
      <c r="X101" s="2"/>
      <c r="Y101" s="2" t="s">
        <v>92</v>
      </c>
      <c r="Z101" s="2" t="s">
        <v>112</v>
      </c>
      <c r="AA101" s="2" t="s">
        <v>453</v>
      </c>
      <c r="AB101" s="2" t="s">
        <v>1610</v>
      </c>
      <c r="AC101" s="2" t="s">
        <v>95</v>
      </c>
      <c r="AD101" s="2" t="s">
        <v>80</v>
      </c>
      <c r="AE101" s="2"/>
      <c r="AF101" s="2"/>
      <c r="AG101" s="2"/>
      <c r="AH101" s="2" t="s">
        <v>1607</v>
      </c>
      <c r="AI101" s="2" t="s">
        <v>82</v>
      </c>
      <c r="AJ101" s="2">
        <v>7.5</v>
      </c>
      <c r="AK101" s="2" t="s">
        <v>84</v>
      </c>
      <c r="AL101" s="2" t="s">
        <v>86</v>
      </c>
      <c r="AM101" s="2" t="s">
        <v>84</v>
      </c>
      <c r="AN101" s="2" t="s">
        <v>84</v>
      </c>
      <c r="AO101" s="2" t="s">
        <v>84</v>
      </c>
      <c r="AP101" s="2" t="s">
        <v>84</v>
      </c>
      <c r="AQ101" s="2" t="s">
        <v>85</v>
      </c>
      <c r="AR101" s="2" t="s">
        <v>86</v>
      </c>
      <c r="AS101" s="2" t="s">
        <v>84</v>
      </c>
      <c r="AT101" s="2" t="s">
        <v>84</v>
      </c>
      <c r="AU101" s="2"/>
      <c r="AV101" s="2" t="s">
        <v>80</v>
      </c>
      <c r="AW101" s="2"/>
      <c r="AX101" s="2"/>
      <c r="AY101" s="2" t="s">
        <v>80</v>
      </c>
      <c r="AZ101" s="2"/>
      <c r="BA101" s="2"/>
      <c r="BB101" s="2" t="s">
        <v>100</v>
      </c>
      <c r="BC101" s="2" t="s">
        <v>1614</v>
      </c>
      <c r="BD101" s="2" t="s">
        <v>102</v>
      </c>
      <c r="BE101" s="2" t="s">
        <v>79</v>
      </c>
      <c r="BF101" s="2"/>
      <c r="BG101" s="2" t="s">
        <v>1615</v>
      </c>
      <c r="BH101" s="2" t="s">
        <v>153</v>
      </c>
      <c r="BI101" s="2" t="s">
        <v>106</v>
      </c>
      <c r="BJ101" s="2" t="s">
        <v>107</v>
      </c>
      <c r="BK101" s="2" t="s">
        <v>1617</v>
      </c>
      <c r="BL101" s="2" t="s">
        <v>79</v>
      </c>
      <c r="BM101" s="2" t="s">
        <v>109</v>
      </c>
    </row>
    <row r="102" spans="1:65" ht="409.5" x14ac:dyDescent="0.25">
      <c r="A102" s="2" t="s">
        <v>1618</v>
      </c>
      <c r="B102" s="2">
        <v>2022</v>
      </c>
      <c r="C102" s="2" t="s">
        <v>111</v>
      </c>
      <c r="D102" s="2" t="s">
        <v>80</v>
      </c>
      <c r="E102" s="2" t="s">
        <v>1623</v>
      </c>
      <c r="F102" s="2" t="s">
        <v>80</v>
      </c>
      <c r="G102" s="2"/>
      <c r="H102" s="2" t="s">
        <v>80</v>
      </c>
      <c r="I102" s="2" t="s">
        <v>1622</v>
      </c>
      <c r="J102" s="2" t="s">
        <v>1624</v>
      </c>
      <c r="K102" s="2" t="s">
        <v>80</v>
      </c>
      <c r="L102" s="2" t="s">
        <v>1620</v>
      </c>
      <c r="M102" s="2" t="s">
        <v>79</v>
      </c>
      <c r="N102" s="2" t="s">
        <v>92</v>
      </c>
      <c r="O102" s="2"/>
      <c r="P102" s="2" t="s">
        <v>143</v>
      </c>
      <c r="Q102" s="2" t="s">
        <v>90</v>
      </c>
      <c r="R102" s="2" t="s">
        <v>79</v>
      </c>
      <c r="S102" s="2" t="s">
        <v>92</v>
      </c>
      <c r="T102" s="2"/>
      <c r="U102" s="2"/>
      <c r="V102" s="2" t="s">
        <v>155</v>
      </c>
      <c r="W102" s="2" t="s">
        <v>80</v>
      </c>
      <c r="X102" s="2"/>
      <c r="Y102" s="2"/>
      <c r="Z102" s="2" t="s">
        <v>143</v>
      </c>
      <c r="AA102" s="2" t="s">
        <v>639</v>
      </c>
      <c r="AB102" s="2" t="s">
        <v>1621</v>
      </c>
      <c r="AC102" s="2" t="s">
        <v>95</v>
      </c>
      <c r="AD102" s="2" t="s">
        <v>80</v>
      </c>
      <c r="AE102" s="2"/>
      <c r="AF102" s="2"/>
      <c r="AG102" s="2"/>
      <c r="AH102" s="2" t="s">
        <v>1619</v>
      </c>
      <c r="AI102" s="2" t="s">
        <v>82</v>
      </c>
      <c r="AJ102" s="2">
        <v>8</v>
      </c>
      <c r="AK102" s="2" t="s">
        <v>84</v>
      </c>
      <c r="AL102" s="2" t="s">
        <v>84</v>
      </c>
      <c r="AM102" s="2" t="s">
        <v>84</v>
      </c>
      <c r="AN102" s="2" t="s">
        <v>86</v>
      </c>
      <c r="AO102" s="2" t="s">
        <v>84</v>
      </c>
      <c r="AP102" s="2" t="s">
        <v>84</v>
      </c>
      <c r="AQ102" s="2" t="s">
        <v>84</v>
      </c>
      <c r="AR102" s="2" t="s">
        <v>84</v>
      </c>
      <c r="AS102" s="2" t="s">
        <v>85</v>
      </c>
      <c r="AT102" s="2" t="s">
        <v>85</v>
      </c>
      <c r="AU102" s="2" t="s">
        <v>106</v>
      </c>
      <c r="AV102" s="2" t="s">
        <v>80</v>
      </c>
      <c r="AW102" s="2"/>
      <c r="AX102" s="2" t="s">
        <v>106</v>
      </c>
      <c r="AY102" s="2" t="s">
        <v>79</v>
      </c>
      <c r="AZ102" s="2" t="s">
        <v>79</v>
      </c>
      <c r="BA102" s="2"/>
      <c r="BB102" s="2" t="s">
        <v>303</v>
      </c>
      <c r="BC102" s="2" t="s">
        <v>1625</v>
      </c>
      <c r="BD102" s="2" t="s">
        <v>1626</v>
      </c>
      <c r="BE102" s="2" t="s">
        <v>79</v>
      </c>
      <c r="BF102" s="2" t="s">
        <v>1627</v>
      </c>
      <c r="BG102" s="2" t="s">
        <v>1628</v>
      </c>
      <c r="BH102" s="2" t="s">
        <v>732</v>
      </c>
      <c r="BI102" s="2" t="s">
        <v>79</v>
      </c>
      <c r="BJ102" s="2" t="s">
        <v>155</v>
      </c>
      <c r="BK102" s="2" t="s">
        <v>1629</v>
      </c>
      <c r="BL102" s="2" t="s">
        <v>80</v>
      </c>
      <c r="BM102" s="2" t="s">
        <v>109</v>
      </c>
    </row>
    <row r="103" spans="1:65" ht="409.5" x14ac:dyDescent="0.25">
      <c r="A103" s="2" t="s">
        <v>1630</v>
      </c>
      <c r="B103" s="2">
        <v>2020</v>
      </c>
      <c r="C103" s="2" t="s">
        <v>111</v>
      </c>
      <c r="D103" s="2" t="s">
        <v>79</v>
      </c>
      <c r="E103" s="2" t="s">
        <v>1635</v>
      </c>
      <c r="F103" s="2" t="s">
        <v>92</v>
      </c>
      <c r="G103" s="2" t="s">
        <v>1640</v>
      </c>
      <c r="H103" s="2" t="s">
        <v>79</v>
      </c>
      <c r="I103" s="2" t="s">
        <v>1634</v>
      </c>
      <c r="J103" s="2" t="s">
        <v>1636</v>
      </c>
      <c r="K103" s="2" t="s">
        <v>92</v>
      </c>
      <c r="L103" s="2" t="s">
        <v>1632</v>
      </c>
      <c r="M103" s="2" t="s">
        <v>79</v>
      </c>
      <c r="N103" s="2" t="s">
        <v>79</v>
      </c>
      <c r="O103" s="2"/>
      <c r="P103" s="2" t="s">
        <v>89</v>
      </c>
      <c r="Q103" s="2" t="s">
        <v>116</v>
      </c>
      <c r="R103" s="2" t="s">
        <v>79</v>
      </c>
      <c r="S103" s="2" t="s">
        <v>92</v>
      </c>
      <c r="T103" s="2"/>
      <c r="U103" s="2"/>
      <c r="V103" s="2" t="s">
        <v>155</v>
      </c>
      <c r="W103" s="2" t="s">
        <v>80</v>
      </c>
      <c r="X103" s="2"/>
      <c r="Y103" s="2" t="s">
        <v>92</v>
      </c>
      <c r="Z103" s="2" t="s">
        <v>112</v>
      </c>
      <c r="AA103" s="2" t="s">
        <v>213</v>
      </c>
      <c r="AB103" s="2" t="s">
        <v>1633</v>
      </c>
      <c r="AC103" s="2" t="s">
        <v>95</v>
      </c>
      <c r="AD103" s="2" t="s">
        <v>80</v>
      </c>
      <c r="AE103" s="2"/>
      <c r="AF103" s="2"/>
      <c r="AG103" s="2"/>
      <c r="AH103" s="2" t="s">
        <v>1631</v>
      </c>
      <c r="AI103" s="2" t="s">
        <v>82</v>
      </c>
      <c r="AJ103" s="2">
        <v>8</v>
      </c>
      <c r="AK103" s="2" t="s">
        <v>84</v>
      </c>
      <c r="AL103" s="2" t="s">
        <v>84</v>
      </c>
      <c r="AM103" s="2" t="s">
        <v>84</v>
      </c>
      <c r="AN103" s="2" t="s">
        <v>84</v>
      </c>
      <c r="AO103" s="2" t="s">
        <v>84</v>
      </c>
      <c r="AP103" s="2" t="s">
        <v>84</v>
      </c>
      <c r="AQ103" s="2" t="s">
        <v>85</v>
      </c>
      <c r="AR103" s="2" t="s">
        <v>86</v>
      </c>
      <c r="AS103" s="2" t="s">
        <v>84</v>
      </c>
      <c r="AT103" s="2" t="s">
        <v>85</v>
      </c>
      <c r="AU103" s="2" t="s">
        <v>80</v>
      </c>
      <c r="AV103" s="2" t="s">
        <v>80</v>
      </c>
      <c r="AW103" s="2"/>
      <c r="AX103" s="2" t="s">
        <v>80</v>
      </c>
      <c r="AY103" s="2" t="s">
        <v>79</v>
      </c>
      <c r="AZ103" s="2" t="s">
        <v>92</v>
      </c>
      <c r="BA103" s="2"/>
      <c r="BB103" s="2" t="s">
        <v>100</v>
      </c>
      <c r="BC103" s="2" t="s">
        <v>1637</v>
      </c>
      <c r="BD103" s="2" t="s">
        <v>1638</v>
      </c>
      <c r="BE103" s="2" t="s">
        <v>79</v>
      </c>
      <c r="BF103" s="2" t="s">
        <v>444</v>
      </c>
      <c r="BG103" s="2" t="s">
        <v>1639</v>
      </c>
      <c r="BH103" s="2" t="s">
        <v>153</v>
      </c>
      <c r="BI103" s="2" t="s">
        <v>79</v>
      </c>
      <c r="BJ103" s="2" t="s">
        <v>107</v>
      </c>
      <c r="BK103" s="2" t="s">
        <v>1641</v>
      </c>
      <c r="BL103" s="2" t="s">
        <v>79</v>
      </c>
      <c r="BM103" s="2" t="s">
        <v>109</v>
      </c>
    </row>
    <row r="104" spans="1:65" ht="409.5" x14ac:dyDescent="0.25">
      <c r="A104" s="2" t="s">
        <v>1642</v>
      </c>
      <c r="B104" s="2">
        <v>2008</v>
      </c>
      <c r="C104" s="2" t="s">
        <v>111</v>
      </c>
      <c r="D104" s="2" t="s">
        <v>79</v>
      </c>
      <c r="E104" s="2" t="s">
        <v>1647</v>
      </c>
      <c r="F104" s="2" t="s">
        <v>80</v>
      </c>
      <c r="G104" s="2"/>
      <c r="H104" s="2" t="s">
        <v>106</v>
      </c>
      <c r="I104" s="2" t="s">
        <v>1646</v>
      </c>
      <c r="J104" s="2" t="s">
        <v>1648</v>
      </c>
      <c r="K104" s="2" t="s">
        <v>80</v>
      </c>
      <c r="L104" s="2" t="s">
        <v>1644</v>
      </c>
      <c r="M104" s="2" t="s">
        <v>79</v>
      </c>
      <c r="N104" s="2" t="s">
        <v>92</v>
      </c>
      <c r="O104" s="2"/>
      <c r="P104" s="2" t="s">
        <v>143</v>
      </c>
      <c r="Q104" s="2" t="s">
        <v>90</v>
      </c>
      <c r="R104" s="2" t="s">
        <v>79</v>
      </c>
      <c r="S104" s="2" t="s">
        <v>92</v>
      </c>
      <c r="T104" s="2"/>
      <c r="U104" s="2"/>
      <c r="V104" s="2" t="s">
        <v>155</v>
      </c>
      <c r="W104" s="2" t="s">
        <v>80</v>
      </c>
      <c r="X104" s="2"/>
      <c r="Y104" s="2" t="s">
        <v>92</v>
      </c>
      <c r="Z104" s="2" t="s">
        <v>143</v>
      </c>
      <c r="AA104" s="2" t="s">
        <v>93</v>
      </c>
      <c r="AB104" s="2" t="s">
        <v>1645</v>
      </c>
      <c r="AC104" s="2" t="s">
        <v>95</v>
      </c>
      <c r="AD104" s="2" t="s">
        <v>80</v>
      </c>
      <c r="AE104" s="2"/>
      <c r="AF104" s="2"/>
      <c r="AG104" s="2"/>
      <c r="AH104" s="2" t="s">
        <v>1643</v>
      </c>
      <c r="AI104" s="2" t="s">
        <v>82</v>
      </c>
      <c r="AJ104" s="2">
        <v>8.5</v>
      </c>
      <c r="AK104" s="2" t="s">
        <v>84</v>
      </c>
      <c r="AL104" s="2" t="s">
        <v>84</v>
      </c>
      <c r="AM104" s="2" t="s">
        <v>84</v>
      </c>
      <c r="AN104" s="2" t="s">
        <v>84</v>
      </c>
      <c r="AO104" s="2" t="s">
        <v>84</v>
      </c>
      <c r="AP104" s="2" t="s">
        <v>84</v>
      </c>
      <c r="AQ104" s="2" t="s">
        <v>85</v>
      </c>
      <c r="AR104" s="2" t="s">
        <v>84</v>
      </c>
      <c r="AS104" s="2" t="s">
        <v>85</v>
      </c>
      <c r="AT104" s="2" t="s">
        <v>85</v>
      </c>
      <c r="AU104" s="2" t="s">
        <v>80</v>
      </c>
      <c r="AV104" s="2" t="s">
        <v>80</v>
      </c>
      <c r="AW104" s="2"/>
      <c r="AX104" s="2" t="s">
        <v>80</v>
      </c>
      <c r="AY104" s="2" t="s">
        <v>79</v>
      </c>
      <c r="AZ104" s="2" t="s">
        <v>79</v>
      </c>
      <c r="BA104" s="2"/>
      <c r="BB104" s="2" t="s">
        <v>303</v>
      </c>
      <c r="BC104" s="2" t="s">
        <v>1649</v>
      </c>
      <c r="BD104" s="2" t="s">
        <v>514</v>
      </c>
      <c r="BE104" s="2" t="s">
        <v>79</v>
      </c>
      <c r="BF104" s="2" t="s">
        <v>1485</v>
      </c>
      <c r="BG104" s="2" t="s">
        <v>1650</v>
      </c>
      <c r="BH104" s="2" t="s">
        <v>732</v>
      </c>
      <c r="BI104" s="2" t="s">
        <v>106</v>
      </c>
      <c r="BJ104" s="2" t="s">
        <v>155</v>
      </c>
      <c r="BK104" s="2" t="s">
        <v>1651</v>
      </c>
      <c r="BL104" s="2" t="s">
        <v>80</v>
      </c>
      <c r="BM104" s="2" t="s">
        <v>172</v>
      </c>
    </row>
    <row r="105" spans="1:65" ht="409.5" x14ac:dyDescent="0.25">
      <c r="A105" s="2" t="s">
        <v>1652</v>
      </c>
      <c r="B105" s="2">
        <v>2025</v>
      </c>
      <c r="C105" s="2" t="s">
        <v>111</v>
      </c>
      <c r="D105" s="2" t="s">
        <v>79</v>
      </c>
      <c r="E105" s="2" t="s">
        <v>1657</v>
      </c>
      <c r="F105" s="2" t="s">
        <v>92</v>
      </c>
      <c r="G105" s="2" t="s">
        <v>1661</v>
      </c>
      <c r="H105" s="2" t="s">
        <v>79</v>
      </c>
      <c r="I105" s="2" t="s">
        <v>1656</v>
      </c>
      <c r="J105" s="2" t="s">
        <v>1658</v>
      </c>
      <c r="K105" s="2" t="s">
        <v>92</v>
      </c>
      <c r="L105" s="2" t="s">
        <v>1654</v>
      </c>
      <c r="M105" s="2" t="s">
        <v>79</v>
      </c>
      <c r="N105" s="2" t="s">
        <v>79</v>
      </c>
      <c r="O105" s="2"/>
      <c r="P105" s="2" t="s">
        <v>842</v>
      </c>
      <c r="Q105" s="2" t="s">
        <v>116</v>
      </c>
      <c r="R105" s="2" t="s">
        <v>79</v>
      </c>
      <c r="S105" s="2" t="s">
        <v>92</v>
      </c>
      <c r="T105" s="2"/>
      <c r="U105" s="2"/>
      <c r="V105" s="2" t="s">
        <v>155</v>
      </c>
      <c r="W105" s="2" t="s">
        <v>80</v>
      </c>
      <c r="X105" s="2"/>
      <c r="Y105" s="2" t="s">
        <v>92</v>
      </c>
      <c r="Z105" s="2" t="s">
        <v>112</v>
      </c>
      <c r="AA105" s="2" t="s">
        <v>656</v>
      </c>
      <c r="AB105" s="2" t="s">
        <v>1655</v>
      </c>
      <c r="AC105" s="2" t="s">
        <v>95</v>
      </c>
      <c r="AD105" s="2" t="s">
        <v>80</v>
      </c>
      <c r="AE105" s="2"/>
      <c r="AF105" s="2"/>
      <c r="AG105" s="2"/>
      <c r="AH105" s="2" t="s">
        <v>1653</v>
      </c>
      <c r="AI105" s="2" t="s">
        <v>82</v>
      </c>
      <c r="AJ105" s="2">
        <v>8.5</v>
      </c>
      <c r="AK105" s="2" t="s">
        <v>84</v>
      </c>
      <c r="AL105" s="2" t="s">
        <v>84</v>
      </c>
      <c r="AM105" s="2" t="s">
        <v>84</v>
      </c>
      <c r="AN105" s="2" t="s">
        <v>84</v>
      </c>
      <c r="AO105" s="2" t="s">
        <v>84</v>
      </c>
      <c r="AP105" s="2" t="s">
        <v>84</v>
      </c>
      <c r="AQ105" s="2" t="s">
        <v>84</v>
      </c>
      <c r="AR105" s="2" t="s">
        <v>86</v>
      </c>
      <c r="AS105" s="2" t="s">
        <v>84</v>
      </c>
      <c r="AT105" s="2" t="s">
        <v>85</v>
      </c>
      <c r="AU105" s="2" t="s">
        <v>80</v>
      </c>
      <c r="AV105" s="2" t="s">
        <v>80</v>
      </c>
      <c r="AW105" s="2"/>
      <c r="AX105" s="2" t="s">
        <v>80</v>
      </c>
      <c r="AY105" s="2" t="s">
        <v>79</v>
      </c>
      <c r="AZ105" s="2" t="s">
        <v>92</v>
      </c>
      <c r="BA105" s="2"/>
      <c r="BB105" s="2" t="s">
        <v>100</v>
      </c>
      <c r="BC105" s="2" t="s">
        <v>1659</v>
      </c>
      <c r="BD105" s="2" t="s">
        <v>1557</v>
      </c>
      <c r="BE105" s="2" t="s">
        <v>79</v>
      </c>
      <c r="BF105" s="2" t="s">
        <v>444</v>
      </c>
      <c r="BG105" s="2" t="s">
        <v>1660</v>
      </c>
      <c r="BH105" s="2" t="s">
        <v>153</v>
      </c>
      <c r="BI105" s="2" t="s">
        <v>79</v>
      </c>
      <c r="BJ105" s="2" t="s">
        <v>429</v>
      </c>
      <c r="BK105" s="2" t="s">
        <v>1662</v>
      </c>
      <c r="BL105" s="2" t="s">
        <v>79</v>
      </c>
      <c r="BM105" s="2" t="s">
        <v>172</v>
      </c>
    </row>
    <row r="106" spans="1:65" ht="409.5" x14ac:dyDescent="0.25">
      <c r="A106" s="2" t="s">
        <v>1663</v>
      </c>
      <c r="B106" s="2">
        <v>2018</v>
      </c>
      <c r="C106" s="2" t="s">
        <v>111</v>
      </c>
      <c r="D106" s="2" t="s">
        <v>79</v>
      </c>
      <c r="E106" s="2" t="s">
        <v>1669</v>
      </c>
      <c r="F106" s="2" t="s">
        <v>80</v>
      </c>
      <c r="G106" s="2"/>
      <c r="H106" s="2" t="s">
        <v>106</v>
      </c>
      <c r="I106" s="2" t="s">
        <v>1668</v>
      </c>
      <c r="J106" s="2" t="s">
        <v>1670</v>
      </c>
      <c r="K106" s="2" t="s">
        <v>80</v>
      </c>
      <c r="L106" s="2" t="s">
        <v>1665</v>
      </c>
      <c r="M106" s="2" t="s">
        <v>79</v>
      </c>
      <c r="N106" s="2" t="s">
        <v>79</v>
      </c>
      <c r="O106" s="2"/>
      <c r="P106" s="2" t="s">
        <v>842</v>
      </c>
      <c r="Q106" s="2" t="s">
        <v>194</v>
      </c>
      <c r="R106" s="2" t="s">
        <v>79</v>
      </c>
      <c r="S106" s="2" t="s">
        <v>92</v>
      </c>
      <c r="T106" s="2"/>
      <c r="U106" s="2"/>
      <c r="V106" s="2" t="s">
        <v>155</v>
      </c>
      <c r="W106" s="2" t="s">
        <v>80</v>
      </c>
      <c r="X106" s="2"/>
      <c r="Y106" s="2" t="s">
        <v>92</v>
      </c>
      <c r="Z106" s="2" t="s">
        <v>143</v>
      </c>
      <c r="AA106" s="2" t="s">
        <v>1666</v>
      </c>
      <c r="AB106" s="2" t="s">
        <v>1667</v>
      </c>
      <c r="AC106" s="2" t="s">
        <v>95</v>
      </c>
      <c r="AD106" s="2" t="s">
        <v>80</v>
      </c>
      <c r="AE106" s="2"/>
      <c r="AF106" s="2"/>
      <c r="AG106" s="2"/>
      <c r="AH106" s="2" t="s">
        <v>1664</v>
      </c>
      <c r="AI106" s="2" t="s">
        <v>82</v>
      </c>
      <c r="AJ106" s="2">
        <v>9</v>
      </c>
      <c r="AK106" s="2" t="s">
        <v>84</v>
      </c>
      <c r="AL106" s="2" t="s">
        <v>84</v>
      </c>
      <c r="AM106" s="2" t="s">
        <v>84</v>
      </c>
      <c r="AN106" s="2" t="s">
        <v>84</v>
      </c>
      <c r="AO106" s="2" t="s">
        <v>84</v>
      </c>
      <c r="AP106" s="2" t="s">
        <v>84</v>
      </c>
      <c r="AQ106" s="2" t="s">
        <v>85</v>
      </c>
      <c r="AR106" s="2" t="s">
        <v>84</v>
      </c>
      <c r="AS106" s="2" t="s">
        <v>84</v>
      </c>
      <c r="AT106" s="2" t="s">
        <v>85</v>
      </c>
      <c r="AU106" s="2" t="s">
        <v>80</v>
      </c>
      <c r="AV106" s="2" t="s">
        <v>80</v>
      </c>
      <c r="AW106" s="2"/>
      <c r="AX106" s="2" t="s">
        <v>80</v>
      </c>
      <c r="AY106" s="2" t="s">
        <v>79</v>
      </c>
      <c r="AZ106" s="2" t="s">
        <v>79</v>
      </c>
      <c r="BA106" s="2"/>
      <c r="BB106" s="2" t="s">
        <v>100</v>
      </c>
      <c r="BC106" s="2" t="s">
        <v>1671</v>
      </c>
      <c r="BD106" s="2" t="s">
        <v>1557</v>
      </c>
      <c r="BE106" s="2" t="s">
        <v>79</v>
      </c>
      <c r="BF106" s="2" t="s">
        <v>1672</v>
      </c>
      <c r="BG106" s="2" t="s">
        <v>1673</v>
      </c>
      <c r="BH106" s="2" t="s">
        <v>856</v>
      </c>
      <c r="BI106" s="2" t="s">
        <v>106</v>
      </c>
      <c r="BJ106" s="2" t="s">
        <v>206</v>
      </c>
      <c r="BK106" s="2" t="s">
        <v>1674</v>
      </c>
      <c r="BL106" s="2" t="s">
        <v>79</v>
      </c>
      <c r="BM106" s="2" t="s">
        <v>109</v>
      </c>
    </row>
    <row r="107" spans="1:65" ht="409.5" x14ac:dyDescent="0.25">
      <c r="A107" s="2" t="s">
        <v>1675</v>
      </c>
      <c r="B107" s="2">
        <v>2019</v>
      </c>
      <c r="C107" s="2" t="s">
        <v>111</v>
      </c>
      <c r="D107" s="2" t="s">
        <v>79</v>
      </c>
      <c r="E107" s="2" t="s">
        <v>1681</v>
      </c>
      <c r="F107" s="2" t="s">
        <v>80</v>
      </c>
      <c r="G107" s="2"/>
      <c r="H107" s="2" t="s">
        <v>79</v>
      </c>
      <c r="I107" s="2" t="s">
        <v>1680</v>
      </c>
      <c r="J107" s="2" t="s">
        <v>1682</v>
      </c>
      <c r="K107" s="2" t="s">
        <v>80</v>
      </c>
      <c r="L107" s="2" t="s">
        <v>1678</v>
      </c>
      <c r="M107" s="2" t="s">
        <v>79</v>
      </c>
      <c r="N107" s="2" t="s">
        <v>79</v>
      </c>
      <c r="O107" s="2"/>
      <c r="P107" s="2" t="s">
        <v>193</v>
      </c>
      <c r="Q107" s="2" t="s">
        <v>194</v>
      </c>
      <c r="R107" s="2" t="s">
        <v>79</v>
      </c>
      <c r="S107" s="2" t="s">
        <v>92</v>
      </c>
      <c r="T107" s="2"/>
      <c r="U107" s="2"/>
      <c r="V107" s="2" t="s">
        <v>155</v>
      </c>
      <c r="W107" s="2" t="s">
        <v>80</v>
      </c>
      <c r="X107" s="2"/>
      <c r="Y107" s="2" t="s">
        <v>92</v>
      </c>
      <c r="Z107" s="2" t="s">
        <v>1676</v>
      </c>
      <c r="AA107" s="2" t="s">
        <v>465</v>
      </c>
      <c r="AB107" s="2" t="s">
        <v>1679</v>
      </c>
      <c r="AC107" s="2" t="s">
        <v>95</v>
      </c>
      <c r="AD107" s="2" t="s">
        <v>80</v>
      </c>
      <c r="AE107" s="2"/>
      <c r="AF107" s="2"/>
      <c r="AG107" s="2"/>
      <c r="AH107" s="2" t="s">
        <v>1677</v>
      </c>
      <c r="AI107" s="2" t="s">
        <v>82</v>
      </c>
      <c r="AJ107" s="2">
        <v>8.5</v>
      </c>
      <c r="AK107" s="2" t="s">
        <v>84</v>
      </c>
      <c r="AL107" s="2" t="s">
        <v>84</v>
      </c>
      <c r="AM107" s="2" t="s">
        <v>84</v>
      </c>
      <c r="AN107" s="2" t="s">
        <v>84</v>
      </c>
      <c r="AO107" s="2" t="s">
        <v>84</v>
      </c>
      <c r="AP107" s="2" t="s">
        <v>84</v>
      </c>
      <c r="AQ107" s="2" t="s">
        <v>84</v>
      </c>
      <c r="AR107" s="2" t="s">
        <v>86</v>
      </c>
      <c r="AS107" s="2" t="s">
        <v>84</v>
      </c>
      <c r="AT107" s="2" t="s">
        <v>85</v>
      </c>
      <c r="AU107" s="2" t="s">
        <v>80</v>
      </c>
      <c r="AV107" s="2" t="s">
        <v>80</v>
      </c>
      <c r="AW107" s="2"/>
      <c r="AX107" s="2" t="s">
        <v>80</v>
      </c>
      <c r="AY107" s="2" t="s">
        <v>79</v>
      </c>
      <c r="AZ107" s="2" t="s">
        <v>92</v>
      </c>
      <c r="BA107" s="2"/>
      <c r="BB107" s="2" t="s">
        <v>100</v>
      </c>
      <c r="BC107" s="2" t="s">
        <v>1683</v>
      </c>
      <c r="BD107" s="2" t="s">
        <v>1557</v>
      </c>
      <c r="BE107" s="2" t="s">
        <v>79</v>
      </c>
      <c r="BF107" s="2" t="s">
        <v>1684</v>
      </c>
      <c r="BG107" s="2" t="s">
        <v>1685</v>
      </c>
      <c r="BH107" s="2" t="s">
        <v>1686</v>
      </c>
      <c r="BI107" s="2" t="s">
        <v>79</v>
      </c>
      <c r="BJ107" s="2" t="s">
        <v>107</v>
      </c>
      <c r="BK107" s="2" t="s">
        <v>1687</v>
      </c>
      <c r="BL107" s="2" t="s">
        <v>79</v>
      </c>
      <c r="BM107" s="2" t="s">
        <v>109</v>
      </c>
    </row>
    <row r="108" spans="1:65" ht="409.5" x14ac:dyDescent="0.25">
      <c r="A108" s="2" t="s">
        <v>1688</v>
      </c>
      <c r="B108" s="2">
        <v>2017</v>
      </c>
      <c r="C108" s="2" t="s">
        <v>270</v>
      </c>
      <c r="D108" s="2" t="s">
        <v>79</v>
      </c>
      <c r="E108" s="2" t="s">
        <v>1695</v>
      </c>
      <c r="F108" s="2" t="s">
        <v>80</v>
      </c>
      <c r="G108" s="2"/>
      <c r="H108" s="2" t="s">
        <v>80</v>
      </c>
      <c r="I108" s="2" t="s">
        <v>1694</v>
      </c>
      <c r="J108" s="2" t="s">
        <v>1696</v>
      </c>
      <c r="K108" s="2" t="s">
        <v>92</v>
      </c>
      <c r="L108" s="2" t="s">
        <v>1690</v>
      </c>
      <c r="M108" s="2" t="s">
        <v>79</v>
      </c>
      <c r="N108" s="2"/>
      <c r="O108" s="2" t="s">
        <v>1691</v>
      </c>
      <c r="P108" s="2" t="s">
        <v>89</v>
      </c>
      <c r="Q108" s="2"/>
      <c r="R108" s="2" t="s">
        <v>79</v>
      </c>
      <c r="S108" s="2"/>
      <c r="T108" s="2" t="s">
        <v>1692</v>
      </c>
      <c r="U108" s="2"/>
      <c r="V108" s="2" t="s">
        <v>155</v>
      </c>
      <c r="W108" s="2" t="s">
        <v>80</v>
      </c>
      <c r="X108" s="2"/>
      <c r="Y108" s="2" t="s">
        <v>92</v>
      </c>
      <c r="Z108" s="2" t="s">
        <v>1000</v>
      </c>
      <c r="AA108" s="2"/>
      <c r="AB108" s="2" t="s">
        <v>1693</v>
      </c>
      <c r="AC108" s="2" t="s">
        <v>95</v>
      </c>
      <c r="AD108" s="2" t="s">
        <v>80</v>
      </c>
      <c r="AE108" s="2"/>
      <c r="AF108" s="2"/>
      <c r="AG108" s="2"/>
      <c r="AH108" s="2" t="s">
        <v>1689</v>
      </c>
      <c r="AI108" s="2" t="s">
        <v>82</v>
      </c>
      <c r="AJ108" s="2">
        <v>8.5</v>
      </c>
      <c r="AK108" s="2" t="s">
        <v>84</v>
      </c>
      <c r="AL108" s="2" t="s">
        <v>84</v>
      </c>
      <c r="AM108" s="2" t="s">
        <v>84</v>
      </c>
      <c r="AN108" s="2" t="s">
        <v>84</v>
      </c>
      <c r="AO108" s="2" t="s">
        <v>84</v>
      </c>
      <c r="AP108" s="2" t="s">
        <v>84</v>
      </c>
      <c r="AQ108" s="2" t="s">
        <v>84</v>
      </c>
      <c r="AR108" s="2" t="s">
        <v>86</v>
      </c>
      <c r="AS108" s="2" t="s">
        <v>84</v>
      </c>
      <c r="AT108" s="2" t="s">
        <v>85</v>
      </c>
      <c r="AU108" s="2" t="s">
        <v>106</v>
      </c>
      <c r="AV108" s="2" t="s">
        <v>80</v>
      </c>
      <c r="AW108" s="2"/>
      <c r="AX108" s="2" t="s">
        <v>106</v>
      </c>
      <c r="AY108" s="2" t="s">
        <v>79</v>
      </c>
      <c r="AZ108" s="2"/>
      <c r="BA108" s="2" t="s">
        <v>1697</v>
      </c>
      <c r="BB108" s="2" t="s">
        <v>100</v>
      </c>
      <c r="BC108" s="2" t="s">
        <v>1698</v>
      </c>
      <c r="BD108" s="2" t="s">
        <v>202</v>
      </c>
      <c r="BE108" s="2" t="s">
        <v>79</v>
      </c>
      <c r="BF108" s="2" t="s">
        <v>1699</v>
      </c>
      <c r="BG108" s="2" t="s">
        <v>1700</v>
      </c>
      <c r="BH108" s="2" t="s">
        <v>153</v>
      </c>
      <c r="BI108" s="2" t="s">
        <v>79</v>
      </c>
      <c r="BJ108" s="2" t="s">
        <v>429</v>
      </c>
      <c r="BK108" s="2" t="s">
        <v>1701</v>
      </c>
      <c r="BL108" s="2" t="s">
        <v>79</v>
      </c>
      <c r="BM108" s="2" t="s">
        <v>109</v>
      </c>
    </row>
    <row r="109" spans="1:65" ht="409.5" x14ac:dyDescent="0.25">
      <c r="A109" s="2" t="s">
        <v>1702</v>
      </c>
      <c r="B109" s="2">
        <v>2017</v>
      </c>
      <c r="C109" s="2" t="s">
        <v>111</v>
      </c>
      <c r="D109" s="2" t="s">
        <v>79</v>
      </c>
      <c r="E109" s="2" t="s">
        <v>1709</v>
      </c>
      <c r="F109" s="2" t="s">
        <v>80</v>
      </c>
      <c r="G109" s="2"/>
      <c r="H109" s="2" t="s">
        <v>80</v>
      </c>
      <c r="I109" s="2" t="s">
        <v>1708</v>
      </c>
      <c r="J109" s="2" t="s">
        <v>1710</v>
      </c>
      <c r="K109" s="2" t="s">
        <v>80</v>
      </c>
      <c r="L109" s="2" t="s">
        <v>1704</v>
      </c>
      <c r="M109" s="2" t="s">
        <v>79</v>
      </c>
      <c r="N109" s="2"/>
      <c r="O109" s="2" t="s">
        <v>1705</v>
      </c>
      <c r="P109" s="2" t="s">
        <v>89</v>
      </c>
      <c r="Q109" s="2"/>
      <c r="R109" s="2" t="s">
        <v>79</v>
      </c>
      <c r="S109" s="2"/>
      <c r="T109" s="2" t="s">
        <v>1706</v>
      </c>
      <c r="U109" s="2"/>
      <c r="V109" s="2" t="s">
        <v>155</v>
      </c>
      <c r="W109" s="2" t="s">
        <v>80</v>
      </c>
      <c r="X109" s="2"/>
      <c r="Y109" s="2" t="s">
        <v>92</v>
      </c>
      <c r="Z109" s="2" t="s">
        <v>613</v>
      </c>
      <c r="AA109" s="2"/>
      <c r="AB109" s="2" t="s">
        <v>1707</v>
      </c>
      <c r="AC109" s="2" t="s">
        <v>95</v>
      </c>
      <c r="AD109" s="2" t="s">
        <v>80</v>
      </c>
      <c r="AE109" s="2"/>
      <c r="AF109" s="2"/>
      <c r="AG109" s="2"/>
      <c r="AH109" s="2" t="s">
        <v>1703</v>
      </c>
      <c r="AI109" s="2" t="s">
        <v>82</v>
      </c>
      <c r="AJ109" s="2">
        <v>7.5</v>
      </c>
      <c r="AK109" s="2" t="s">
        <v>84</v>
      </c>
      <c r="AL109" s="2" t="s">
        <v>84</v>
      </c>
      <c r="AM109" s="2" t="s">
        <v>84</v>
      </c>
      <c r="AN109" s="2" t="s">
        <v>84</v>
      </c>
      <c r="AO109" s="2" t="s">
        <v>84</v>
      </c>
      <c r="AP109" s="2" t="s">
        <v>84</v>
      </c>
      <c r="AQ109" s="2" t="s">
        <v>84</v>
      </c>
      <c r="AR109" s="2" t="s">
        <v>86</v>
      </c>
      <c r="AS109" s="2" t="s">
        <v>86</v>
      </c>
      <c r="AT109" s="2" t="s">
        <v>85</v>
      </c>
      <c r="AU109" s="2" t="s">
        <v>106</v>
      </c>
      <c r="AV109" s="2" t="s">
        <v>80</v>
      </c>
      <c r="AW109" s="2"/>
      <c r="AX109" s="2" t="s">
        <v>106</v>
      </c>
      <c r="AY109" s="2" t="s">
        <v>79</v>
      </c>
      <c r="AZ109" s="2"/>
      <c r="BA109" s="2" t="s">
        <v>1711</v>
      </c>
      <c r="BB109" s="2" t="s">
        <v>100</v>
      </c>
      <c r="BC109" s="2" t="s">
        <v>1712</v>
      </c>
      <c r="BD109" s="2" t="s">
        <v>102</v>
      </c>
      <c r="BE109" s="2" t="s">
        <v>79</v>
      </c>
      <c r="BF109" s="2" t="s">
        <v>1699</v>
      </c>
      <c r="BG109" s="2" t="s">
        <v>1713</v>
      </c>
      <c r="BH109" s="2" t="s">
        <v>153</v>
      </c>
      <c r="BI109" s="2" t="s">
        <v>79</v>
      </c>
      <c r="BJ109" s="2" t="s">
        <v>155</v>
      </c>
      <c r="BK109" s="2"/>
      <c r="BL109" s="2" t="s">
        <v>80</v>
      </c>
      <c r="BM109" s="2" t="s">
        <v>109</v>
      </c>
    </row>
    <row r="110" spans="1:65" ht="409.5" x14ac:dyDescent="0.25">
      <c r="A110" s="2" t="s">
        <v>1714</v>
      </c>
      <c r="B110" s="2">
        <v>2017</v>
      </c>
      <c r="C110" s="2" t="s">
        <v>270</v>
      </c>
      <c r="D110" s="2" t="s">
        <v>79</v>
      </c>
      <c r="E110" s="2" t="s">
        <v>1721</v>
      </c>
      <c r="F110" s="2" t="s">
        <v>80</v>
      </c>
      <c r="G110" s="2"/>
      <c r="H110" s="2" t="s">
        <v>80</v>
      </c>
      <c r="I110" s="2" t="s">
        <v>1720</v>
      </c>
      <c r="J110" s="2" t="s">
        <v>1722</v>
      </c>
      <c r="K110" s="2" t="s">
        <v>80</v>
      </c>
      <c r="L110" s="2" t="s">
        <v>1716</v>
      </c>
      <c r="M110" s="2" t="s">
        <v>79</v>
      </c>
      <c r="N110" s="2"/>
      <c r="O110" s="2" t="s">
        <v>1717</v>
      </c>
      <c r="P110" s="2" t="s">
        <v>89</v>
      </c>
      <c r="Q110" s="2"/>
      <c r="R110" s="2" t="s">
        <v>79</v>
      </c>
      <c r="S110" s="2"/>
      <c r="T110" s="2" t="s">
        <v>1718</v>
      </c>
      <c r="U110" s="2"/>
      <c r="V110" s="2" t="s">
        <v>155</v>
      </c>
      <c r="W110" s="2" t="s">
        <v>80</v>
      </c>
      <c r="X110" s="2"/>
      <c r="Y110" s="2" t="s">
        <v>92</v>
      </c>
      <c r="Z110" s="2" t="s">
        <v>1000</v>
      </c>
      <c r="AA110" s="2"/>
      <c r="AB110" s="2" t="s">
        <v>1719</v>
      </c>
      <c r="AC110" s="2" t="s">
        <v>95</v>
      </c>
      <c r="AD110" s="2" t="s">
        <v>80</v>
      </c>
      <c r="AE110" s="2"/>
      <c r="AF110" s="2"/>
      <c r="AG110" s="2"/>
      <c r="AH110" s="2" t="s">
        <v>1715</v>
      </c>
      <c r="AI110" s="2" t="s">
        <v>82</v>
      </c>
      <c r="AJ110" s="2">
        <v>9</v>
      </c>
      <c r="AK110" s="2" t="s">
        <v>84</v>
      </c>
      <c r="AL110" s="2" t="s">
        <v>84</v>
      </c>
      <c r="AM110" s="2" t="s">
        <v>84</v>
      </c>
      <c r="AN110" s="2" t="s">
        <v>84</v>
      </c>
      <c r="AO110" s="2" t="s">
        <v>84</v>
      </c>
      <c r="AP110" s="2" t="s">
        <v>84</v>
      </c>
      <c r="AQ110" s="2" t="s">
        <v>84</v>
      </c>
      <c r="AR110" s="2" t="s">
        <v>86</v>
      </c>
      <c r="AS110" s="2" t="s">
        <v>84</v>
      </c>
      <c r="AT110" s="2" t="s">
        <v>84</v>
      </c>
      <c r="AU110" s="2" t="s">
        <v>106</v>
      </c>
      <c r="AV110" s="2" t="s">
        <v>80</v>
      </c>
      <c r="AW110" s="2"/>
      <c r="AX110" s="2" t="s">
        <v>106</v>
      </c>
      <c r="AY110" s="2" t="s">
        <v>79</v>
      </c>
      <c r="AZ110" s="2"/>
      <c r="BA110" s="2" t="s">
        <v>1723</v>
      </c>
      <c r="BB110" s="2" t="s">
        <v>100</v>
      </c>
      <c r="BC110" s="2" t="s">
        <v>1724</v>
      </c>
      <c r="BD110" s="2" t="s">
        <v>102</v>
      </c>
      <c r="BE110" s="2" t="s">
        <v>79</v>
      </c>
      <c r="BF110" s="2" t="s">
        <v>1725</v>
      </c>
      <c r="BG110" s="2" t="s">
        <v>1726</v>
      </c>
      <c r="BH110" s="2" t="s">
        <v>153</v>
      </c>
      <c r="BI110" s="2" t="s">
        <v>79</v>
      </c>
      <c r="BJ110" s="2" t="s">
        <v>107</v>
      </c>
      <c r="BK110" s="2" t="s">
        <v>1727</v>
      </c>
      <c r="BL110" s="2" t="s">
        <v>79</v>
      </c>
      <c r="BM110" s="2" t="s">
        <v>109</v>
      </c>
    </row>
    <row r="111" spans="1:65" ht="409.5" x14ac:dyDescent="0.25">
      <c r="A111" s="2" t="s">
        <v>1728</v>
      </c>
      <c r="B111" s="2">
        <v>2025</v>
      </c>
      <c r="C111" s="2" t="s">
        <v>143</v>
      </c>
      <c r="D111" s="2" t="s">
        <v>79</v>
      </c>
      <c r="E111" s="2" t="s">
        <v>1735</v>
      </c>
      <c r="F111" s="2" t="s">
        <v>92</v>
      </c>
      <c r="G111" s="2" t="s">
        <v>1742</v>
      </c>
      <c r="H111" s="2" t="s">
        <v>79</v>
      </c>
      <c r="I111" s="2" t="s">
        <v>1734</v>
      </c>
      <c r="J111" s="2" t="s">
        <v>1738</v>
      </c>
      <c r="K111" s="2" t="s">
        <v>80</v>
      </c>
      <c r="L111" s="2" t="s">
        <v>1730</v>
      </c>
      <c r="M111" s="2" t="s">
        <v>79</v>
      </c>
      <c r="N111" s="2"/>
      <c r="O111" s="2" t="s">
        <v>1731</v>
      </c>
      <c r="P111" s="2" t="s">
        <v>89</v>
      </c>
      <c r="Q111" s="2" t="s">
        <v>116</v>
      </c>
      <c r="R111" s="2" t="s">
        <v>79</v>
      </c>
      <c r="S111" s="2"/>
      <c r="T111" s="2" t="s">
        <v>1732</v>
      </c>
      <c r="U111" s="2"/>
      <c r="V111" s="2"/>
      <c r="W111" s="2" t="s">
        <v>80</v>
      </c>
      <c r="X111" s="2"/>
      <c r="Y111" s="2" t="s">
        <v>92</v>
      </c>
      <c r="Z111" s="2" t="s">
        <v>1036</v>
      </c>
      <c r="AA111" s="2" t="s">
        <v>465</v>
      </c>
      <c r="AB111" s="2" t="s">
        <v>1733</v>
      </c>
      <c r="AC111" s="2" t="s">
        <v>95</v>
      </c>
      <c r="AD111" s="2" t="s">
        <v>79</v>
      </c>
      <c r="AE111" s="2" t="s">
        <v>1736</v>
      </c>
      <c r="AF111" s="2" t="s">
        <v>1737</v>
      </c>
      <c r="AG111" s="2"/>
      <c r="AH111" s="2" t="s">
        <v>1729</v>
      </c>
      <c r="AI111" s="2" t="s">
        <v>82</v>
      </c>
      <c r="AJ111" s="2">
        <v>7.5</v>
      </c>
      <c r="AK111" s="2" t="s">
        <v>84</v>
      </c>
      <c r="AL111" s="2" t="s">
        <v>86</v>
      </c>
      <c r="AM111" s="2" t="s">
        <v>84</v>
      </c>
      <c r="AN111" s="2" t="s">
        <v>84</v>
      </c>
      <c r="AO111" s="2" t="s">
        <v>84</v>
      </c>
      <c r="AP111" s="2" t="s">
        <v>84</v>
      </c>
      <c r="AQ111" s="2" t="s">
        <v>84</v>
      </c>
      <c r="AR111" s="2" t="s">
        <v>86</v>
      </c>
      <c r="AS111" s="2" t="s">
        <v>84</v>
      </c>
      <c r="AT111" s="2" t="s">
        <v>85</v>
      </c>
      <c r="AU111" s="2"/>
      <c r="AV111" s="2" t="s">
        <v>80</v>
      </c>
      <c r="AW111" s="2"/>
      <c r="AX111" s="2"/>
      <c r="AY111" s="2" t="s">
        <v>79</v>
      </c>
      <c r="AZ111" s="2"/>
      <c r="BA111" s="2" t="s">
        <v>1739</v>
      </c>
      <c r="BB111" s="2" t="s">
        <v>100</v>
      </c>
      <c r="BC111" s="2" t="s">
        <v>1740</v>
      </c>
      <c r="BD111" s="2"/>
      <c r="BE111" s="2" t="s">
        <v>79</v>
      </c>
      <c r="BF111" s="2"/>
      <c r="BG111" s="2" t="s">
        <v>1741</v>
      </c>
      <c r="BH111" s="2" t="s">
        <v>153</v>
      </c>
      <c r="BI111" s="2" t="s">
        <v>79</v>
      </c>
      <c r="BJ111" s="2" t="s">
        <v>429</v>
      </c>
      <c r="BK111" s="2" t="s">
        <v>1743</v>
      </c>
      <c r="BL111" s="2" t="s">
        <v>79</v>
      </c>
      <c r="BM111" s="2" t="s">
        <v>109</v>
      </c>
    </row>
  </sheetData>
  <autoFilter ref="A1:BM11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M11"/>
  <sheetViews>
    <sheetView showGridLines="0" workbookViewId="0">
      <pane ySplit="1" topLeftCell="A6" activePane="bottomLeft" state="frozen"/>
      <selection pane="bottomLeft"/>
    </sheetView>
  </sheetViews>
  <sheetFormatPr defaultRowHeight="15" x14ac:dyDescent="0.25"/>
  <cols>
    <col min="1" max="3" width="12.7109375" customWidth="1"/>
    <col min="4" max="5" width="20.7109375" customWidth="1"/>
    <col min="6" max="6" width="18.7109375" customWidth="1"/>
    <col min="7" max="7" width="26.7109375" customWidth="1"/>
    <col min="8" max="8" width="28.7109375" customWidth="1"/>
    <col min="9" max="9" width="15.7109375" customWidth="1"/>
    <col min="10" max="10" width="20.7109375" customWidth="1"/>
    <col min="11" max="11" width="18.7109375" customWidth="1"/>
    <col min="12" max="12" width="28.7109375" customWidth="1"/>
    <col min="13" max="13" width="12.7109375" customWidth="1"/>
    <col min="14" max="14" width="13.7109375" customWidth="1"/>
    <col min="15" max="15" width="26.7109375" customWidth="1"/>
    <col min="16" max="16" width="13.7109375" customWidth="1"/>
    <col min="17" max="17" width="12.7109375" customWidth="1"/>
    <col min="18" max="18" width="30.7109375" customWidth="1"/>
    <col min="19" max="19" width="19.7109375" customWidth="1"/>
    <col min="20" max="20" width="13.7109375" customWidth="1"/>
    <col min="21" max="21" width="26.7109375" customWidth="1"/>
    <col min="22" max="22" width="13.7109375" customWidth="1"/>
    <col min="23" max="23" width="22.7109375" customWidth="1"/>
    <col min="24" max="24" width="20.7109375" customWidth="1"/>
    <col min="25" max="27" width="21.7109375" customWidth="1"/>
    <col min="28" max="28" width="18.7109375" customWidth="1"/>
    <col min="29" max="29" width="26.7109375" customWidth="1"/>
    <col min="30" max="30" width="21.7109375" customWidth="1"/>
    <col min="31" max="31" width="23.7109375" customWidth="1"/>
    <col min="32" max="32" width="14.7109375" customWidth="1"/>
    <col min="33" max="33" width="12.7109375" customWidth="1"/>
    <col min="34" max="34" width="28.7109375" customWidth="1"/>
    <col min="35" max="35" width="26.7109375" customWidth="1"/>
    <col min="36" max="38" width="12.7109375" customWidth="1"/>
    <col min="39" max="44" width="30.7109375" customWidth="1"/>
    <col min="45" max="45" width="26.7109375" customWidth="1"/>
    <col min="46" max="48" width="30.7109375" customWidth="1"/>
    <col min="49" max="49" width="13.7109375" customWidth="1"/>
    <col min="50" max="50" width="26.7109375" customWidth="1"/>
    <col min="51" max="51" width="13.7109375" customWidth="1"/>
    <col min="52" max="52" width="30.7109375" customWidth="1"/>
    <col min="53" max="53" width="14.7109375" customWidth="1"/>
    <col min="54" max="54" width="22.7109375" customWidth="1"/>
    <col min="55" max="55" width="23.7109375" customWidth="1"/>
    <col min="56" max="56" width="24.7109375" customWidth="1"/>
    <col min="57" max="57" width="12.7109375" customWidth="1"/>
    <col min="58" max="58" width="13.7109375" customWidth="1"/>
    <col min="59" max="59" width="17.7109375" customWidth="1"/>
    <col min="60" max="60" width="19.7109375" customWidth="1"/>
    <col min="61" max="61" width="20.7109375" customWidth="1"/>
    <col min="62" max="62" width="19.7109375" customWidth="1"/>
    <col min="63" max="63" width="20.7109375" customWidth="1"/>
    <col min="64" max="64" width="28.7109375" customWidth="1"/>
    <col min="65" max="65" width="12.7109375" customWidth="1"/>
  </cols>
  <sheetData>
    <row r="1" spans="1:65" ht="45" x14ac:dyDescent="0.25">
      <c r="A1" s="3" t="s">
        <v>12</v>
      </c>
      <c r="B1" s="3" t="s">
        <v>13</v>
      </c>
      <c r="C1" s="3" t="s">
        <v>14</v>
      </c>
      <c r="D1" s="3" t="s">
        <v>21</v>
      </c>
      <c r="E1" s="3" t="s">
        <v>56</v>
      </c>
      <c r="F1" s="3" t="s">
        <v>22</v>
      </c>
      <c r="G1" s="3" t="s">
        <v>62</v>
      </c>
      <c r="H1" s="3" t="s">
        <v>60</v>
      </c>
      <c r="I1" s="3" t="s">
        <v>25</v>
      </c>
      <c r="J1" s="3" t="s">
        <v>57</v>
      </c>
      <c r="K1" s="3" t="s">
        <v>61</v>
      </c>
      <c r="L1" s="3" t="s">
        <v>24</v>
      </c>
      <c r="M1" s="3" t="s">
        <v>39</v>
      </c>
      <c r="N1" s="3" t="s">
        <v>16</v>
      </c>
      <c r="O1" s="3" t="s">
        <v>40</v>
      </c>
      <c r="P1" s="3" t="s">
        <v>41</v>
      </c>
      <c r="Q1" s="3" t="s">
        <v>42</v>
      </c>
      <c r="R1" s="3" t="s">
        <v>43</v>
      </c>
      <c r="S1" s="3" t="s">
        <v>44</v>
      </c>
      <c r="T1" s="3" t="s">
        <v>15</v>
      </c>
      <c r="U1" s="3" t="s">
        <v>45</v>
      </c>
      <c r="V1" s="3" t="s">
        <v>46</v>
      </c>
      <c r="W1" s="3" t="s">
        <v>47</v>
      </c>
      <c r="X1" s="3" t="s">
        <v>48</v>
      </c>
      <c r="Y1" s="3" t="s">
        <v>18</v>
      </c>
      <c r="Z1" s="3" t="s">
        <v>49</v>
      </c>
      <c r="AA1" s="3" t="s">
        <v>50</v>
      </c>
      <c r="AB1" s="3" t="s">
        <v>51</v>
      </c>
      <c r="AC1" s="3" t="s">
        <v>52</v>
      </c>
      <c r="AD1" s="3" t="s">
        <v>53</v>
      </c>
      <c r="AE1" s="3" t="s">
        <v>54</v>
      </c>
      <c r="AF1" s="3" t="s">
        <v>55</v>
      </c>
      <c r="AG1" s="3" t="s">
        <v>58</v>
      </c>
      <c r="AH1" s="3" t="s">
        <v>20</v>
      </c>
      <c r="AI1" s="3" t="s">
        <v>59</v>
      </c>
      <c r="AJ1" s="3" t="s">
        <v>28</v>
      </c>
      <c r="AK1" s="3" t="s">
        <v>27</v>
      </c>
      <c r="AL1" s="3" t="s">
        <v>26</v>
      </c>
      <c r="AM1" s="3" t="s">
        <v>29</v>
      </c>
      <c r="AN1" s="3" t="s">
        <v>38</v>
      </c>
      <c r="AO1" s="3" t="s">
        <v>30</v>
      </c>
      <c r="AP1" s="3" t="s">
        <v>31</v>
      </c>
      <c r="AQ1" s="3" t="s">
        <v>32</v>
      </c>
      <c r="AR1" s="3" t="s">
        <v>33</v>
      </c>
      <c r="AS1" s="3" t="s">
        <v>34</v>
      </c>
      <c r="AT1" s="3" t="s">
        <v>35</v>
      </c>
      <c r="AU1" s="3" t="s">
        <v>36</v>
      </c>
      <c r="AV1" s="3" t="s">
        <v>37</v>
      </c>
      <c r="AW1" s="3" t="s">
        <v>17</v>
      </c>
      <c r="AX1" s="3" t="s">
        <v>63</v>
      </c>
      <c r="AY1" s="3" t="s">
        <v>64</v>
      </c>
      <c r="AZ1" s="3" t="s">
        <v>65</v>
      </c>
      <c r="BA1" s="3" t="s">
        <v>66</v>
      </c>
      <c r="BB1" s="3" t="s">
        <v>67</v>
      </c>
      <c r="BC1" s="3" t="s">
        <v>19</v>
      </c>
      <c r="BD1" s="3" t="s">
        <v>68</v>
      </c>
      <c r="BE1" s="3" t="s">
        <v>69</v>
      </c>
      <c r="BF1" s="3" t="s">
        <v>70</v>
      </c>
      <c r="BG1" s="3" t="s">
        <v>71</v>
      </c>
      <c r="BH1" s="3" t="s">
        <v>23</v>
      </c>
      <c r="BI1" s="3" t="s">
        <v>72</v>
      </c>
      <c r="BJ1" s="3" t="s">
        <v>73</v>
      </c>
      <c r="BK1" s="3" t="s">
        <v>74</v>
      </c>
      <c r="BL1" s="3" t="s">
        <v>75</v>
      </c>
      <c r="BM1" s="3" t="s">
        <v>76</v>
      </c>
    </row>
    <row r="2" spans="1:65" ht="409.5" x14ac:dyDescent="0.25">
      <c r="A2" s="2" t="s">
        <v>694</v>
      </c>
      <c r="B2" s="2">
        <v>2019</v>
      </c>
      <c r="C2" s="2" t="s">
        <v>111</v>
      </c>
      <c r="D2" s="2" t="s">
        <v>79</v>
      </c>
      <c r="E2" s="2" t="s">
        <v>704</v>
      </c>
      <c r="F2" s="2" t="s">
        <v>79</v>
      </c>
      <c r="G2" s="2" t="s">
        <v>79</v>
      </c>
      <c r="H2" s="2" t="s">
        <v>79</v>
      </c>
      <c r="I2" s="2" t="s">
        <v>695</v>
      </c>
      <c r="J2" s="2" t="s">
        <v>705</v>
      </c>
      <c r="K2" s="2" t="s">
        <v>706</v>
      </c>
      <c r="L2" s="2" t="s">
        <v>92</v>
      </c>
      <c r="M2" s="2" t="s">
        <v>697</v>
      </c>
      <c r="N2" s="2" t="s">
        <v>79</v>
      </c>
      <c r="O2" s="2" t="s">
        <v>79</v>
      </c>
      <c r="P2" s="2" t="s">
        <v>698</v>
      </c>
      <c r="Q2" s="2" t="s">
        <v>89</v>
      </c>
      <c r="R2" s="2" t="s">
        <v>79</v>
      </c>
      <c r="S2" s="2" t="s">
        <v>194</v>
      </c>
      <c r="T2" s="2" t="s">
        <v>79</v>
      </c>
      <c r="U2" s="2" t="s">
        <v>79</v>
      </c>
      <c r="V2" s="2" t="s">
        <v>699</v>
      </c>
      <c r="W2" s="2"/>
      <c r="X2" s="2" t="s">
        <v>155</v>
      </c>
      <c r="Y2" s="2" t="s">
        <v>80</v>
      </c>
      <c r="Z2" s="2"/>
      <c r="AA2" s="2" t="s">
        <v>92</v>
      </c>
      <c r="AB2" s="2" t="s">
        <v>118</v>
      </c>
      <c r="AC2" s="2" t="s">
        <v>700</v>
      </c>
      <c r="AD2" s="2" t="s">
        <v>701</v>
      </c>
      <c r="AE2" s="2" t="s">
        <v>702</v>
      </c>
      <c r="AF2" s="2" t="s">
        <v>703</v>
      </c>
      <c r="AG2" s="2"/>
      <c r="AH2" s="2" t="s">
        <v>79</v>
      </c>
      <c r="AI2" s="2"/>
      <c r="AJ2" s="2" t="s">
        <v>696</v>
      </c>
      <c r="AK2" s="2" t="s">
        <v>82</v>
      </c>
      <c r="AL2" s="2">
        <v>8</v>
      </c>
      <c r="AM2" s="2" t="s">
        <v>84</v>
      </c>
      <c r="AN2" s="2" t="s">
        <v>84</v>
      </c>
      <c r="AO2" s="2" t="s">
        <v>84</v>
      </c>
      <c r="AP2" s="2" t="s">
        <v>84</v>
      </c>
      <c r="AQ2" s="2" t="s">
        <v>84</v>
      </c>
      <c r="AR2" s="2" t="s">
        <v>84</v>
      </c>
      <c r="AS2" s="2" t="s">
        <v>85</v>
      </c>
      <c r="AT2" s="2" t="s">
        <v>86</v>
      </c>
      <c r="AU2" s="2" t="s">
        <v>84</v>
      </c>
      <c r="AV2" s="2" t="s">
        <v>85</v>
      </c>
      <c r="AW2" s="2" t="s">
        <v>79</v>
      </c>
      <c r="AX2" s="2" t="s">
        <v>92</v>
      </c>
      <c r="AY2" s="2" t="s">
        <v>707</v>
      </c>
      <c r="AZ2" s="2" t="s">
        <v>100</v>
      </c>
      <c r="BA2" s="2" t="s">
        <v>708</v>
      </c>
      <c r="BB2" s="2" t="s">
        <v>709</v>
      </c>
      <c r="BC2" s="2" t="s">
        <v>79</v>
      </c>
      <c r="BD2" s="2" t="s">
        <v>628</v>
      </c>
      <c r="BE2" s="2" t="s">
        <v>710</v>
      </c>
      <c r="BF2" s="2" t="s">
        <v>648</v>
      </c>
      <c r="BG2" s="2" t="s">
        <v>711</v>
      </c>
      <c r="BH2" s="2" t="s">
        <v>92</v>
      </c>
      <c r="BI2" s="2" t="s">
        <v>79</v>
      </c>
      <c r="BJ2" s="2" t="s">
        <v>266</v>
      </c>
      <c r="BK2" s="2" t="s">
        <v>712</v>
      </c>
      <c r="BL2" s="2" t="s">
        <v>79</v>
      </c>
      <c r="BM2" s="2" t="s">
        <v>109</v>
      </c>
    </row>
    <row r="3" spans="1:65" ht="409.5" x14ac:dyDescent="0.25">
      <c r="A3" s="2" t="s">
        <v>795</v>
      </c>
      <c r="B3" s="2">
        <v>2021</v>
      </c>
      <c r="C3" s="2" t="s">
        <v>111</v>
      </c>
      <c r="D3" s="2" t="s">
        <v>79</v>
      </c>
      <c r="E3" s="2" t="s">
        <v>808</v>
      </c>
      <c r="F3" s="2" t="s">
        <v>79</v>
      </c>
      <c r="G3" s="2" t="s">
        <v>106</v>
      </c>
      <c r="H3" s="2" t="s">
        <v>106</v>
      </c>
      <c r="I3" s="2" t="s">
        <v>796</v>
      </c>
      <c r="J3" s="2" t="s">
        <v>809</v>
      </c>
      <c r="K3" s="2" t="s">
        <v>812</v>
      </c>
      <c r="L3" s="2" t="s">
        <v>92</v>
      </c>
      <c r="M3" s="2" t="s">
        <v>798</v>
      </c>
      <c r="N3" s="2" t="s">
        <v>79</v>
      </c>
      <c r="O3" s="2" t="s">
        <v>79</v>
      </c>
      <c r="P3" s="2" t="s">
        <v>799</v>
      </c>
      <c r="Q3" s="2" t="s">
        <v>89</v>
      </c>
      <c r="R3" s="2" t="s">
        <v>79</v>
      </c>
      <c r="S3" s="2" t="s">
        <v>90</v>
      </c>
      <c r="T3" s="2" t="s">
        <v>79</v>
      </c>
      <c r="U3" s="2" t="s">
        <v>92</v>
      </c>
      <c r="V3" s="2" t="s">
        <v>800</v>
      </c>
      <c r="W3" s="2"/>
      <c r="X3" s="2"/>
      <c r="Y3" s="2" t="s">
        <v>79</v>
      </c>
      <c r="Z3" s="2" t="s">
        <v>801</v>
      </c>
      <c r="AA3" s="2" t="s">
        <v>802</v>
      </c>
      <c r="AB3" s="2" t="s">
        <v>803</v>
      </c>
      <c r="AC3" s="2" t="s">
        <v>804</v>
      </c>
      <c r="AD3" s="2" t="s">
        <v>805</v>
      </c>
      <c r="AE3" s="2" t="s">
        <v>806</v>
      </c>
      <c r="AF3" s="2" t="s">
        <v>807</v>
      </c>
      <c r="AG3" s="2" t="s">
        <v>810</v>
      </c>
      <c r="AH3" s="2" t="s">
        <v>79</v>
      </c>
      <c r="AI3" s="2" t="s">
        <v>811</v>
      </c>
      <c r="AJ3" s="2" t="s">
        <v>797</v>
      </c>
      <c r="AK3" s="2" t="s">
        <v>82</v>
      </c>
      <c r="AL3" s="2">
        <v>10</v>
      </c>
      <c r="AM3" s="2" t="s">
        <v>84</v>
      </c>
      <c r="AN3" s="2" t="s">
        <v>84</v>
      </c>
      <c r="AO3" s="2" t="s">
        <v>84</v>
      </c>
      <c r="AP3" s="2" t="s">
        <v>84</v>
      </c>
      <c r="AQ3" s="2" t="s">
        <v>84</v>
      </c>
      <c r="AR3" s="2" t="s">
        <v>84</v>
      </c>
      <c r="AS3" s="2" t="s">
        <v>84</v>
      </c>
      <c r="AT3" s="2" t="s">
        <v>84</v>
      </c>
      <c r="AU3" s="2" t="s">
        <v>84</v>
      </c>
      <c r="AV3" s="2" t="s">
        <v>84</v>
      </c>
      <c r="AW3" s="2" t="s">
        <v>79</v>
      </c>
      <c r="AX3" s="2" t="s">
        <v>79</v>
      </c>
      <c r="AY3" s="2" t="s">
        <v>813</v>
      </c>
      <c r="AZ3" s="2" t="s">
        <v>100</v>
      </c>
      <c r="BA3" s="2" t="s">
        <v>814</v>
      </c>
      <c r="BB3" s="2" t="s">
        <v>286</v>
      </c>
      <c r="BC3" s="2" t="s">
        <v>79</v>
      </c>
      <c r="BD3" s="2" t="s">
        <v>364</v>
      </c>
      <c r="BE3" s="2" t="s">
        <v>815</v>
      </c>
      <c r="BF3" s="2" t="s">
        <v>153</v>
      </c>
      <c r="BG3" s="2" t="s">
        <v>816</v>
      </c>
      <c r="BH3" s="2" t="s">
        <v>92</v>
      </c>
      <c r="BI3" s="2" t="s">
        <v>79</v>
      </c>
      <c r="BJ3" s="2" t="s">
        <v>143</v>
      </c>
      <c r="BK3" s="2" t="s">
        <v>817</v>
      </c>
      <c r="BL3" s="2" t="s">
        <v>79</v>
      </c>
      <c r="BM3" s="2" t="s">
        <v>172</v>
      </c>
    </row>
    <row r="4" spans="1:65" ht="409.5" x14ac:dyDescent="0.25">
      <c r="A4" s="2" t="s">
        <v>818</v>
      </c>
      <c r="B4" s="2">
        <v>2020</v>
      </c>
      <c r="C4" s="2" t="s">
        <v>143</v>
      </c>
      <c r="D4" s="2" t="s">
        <v>79</v>
      </c>
      <c r="E4" s="2" t="s">
        <v>828</v>
      </c>
      <c r="F4" s="2" t="s">
        <v>79</v>
      </c>
      <c r="G4" s="2" t="s">
        <v>106</v>
      </c>
      <c r="H4" s="2" t="s">
        <v>106</v>
      </c>
      <c r="I4" s="2" t="s">
        <v>819</v>
      </c>
      <c r="J4" s="2" t="s">
        <v>829</v>
      </c>
      <c r="K4" s="2" t="s">
        <v>831</v>
      </c>
      <c r="L4" s="2" t="s">
        <v>92</v>
      </c>
      <c r="M4" s="2" t="s">
        <v>821</v>
      </c>
      <c r="N4" s="2" t="s">
        <v>79</v>
      </c>
      <c r="O4" s="2" t="s">
        <v>79</v>
      </c>
      <c r="P4" s="2" t="s">
        <v>822</v>
      </c>
      <c r="Q4" s="2" t="s">
        <v>89</v>
      </c>
      <c r="R4" s="2" t="s">
        <v>79</v>
      </c>
      <c r="S4" s="2" t="s">
        <v>194</v>
      </c>
      <c r="T4" s="2" t="s">
        <v>79</v>
      </c>
      <c r="U4" s="2" t="s">
        <v>79</v>
      </c>
      <c r="V4" s="2" t="s">
        <v>823</v>
      </c>
      <c r="W4" s="2"/>
      <c r="X4" s="2"/>
      <c r="Y4" s="2" t="s">
        <v>79</v>
      </c>
      <c r="Z4" s="2" t="s">
        <v>824</v>
      </c>
      <c r="AA4" s="2" t="s">
        <v>802</v>
      </c>
      <c r="AB4" s="2" t="s">
        <v>803</v>
      </c>
      <c r="AC4" s="2" t="s">
        <v>825</v>
      </c>
      <c r="AD4" s="2" t="s">
        <v>805</v>
      </c>
      <c r="AE4" s="2" t="s">
        <v>826</v>
      </c>
      <c r="AF4" s="2" t="s">
        <v>827</v>
      </c>
      <c r="AG4" s="2"/>
      <c r="AH4" s="2" t="s">
        <v>79</v>
      </c>
      <c r="AI4" s="2" t="s">
        <v>830</v>
      </c>
      <c r="AJ4" s="2" t="s">
        <v>820</v>
      </c>
      <c r="AK4" s="2" t="s">
        <v>82</v>
      </c>
      <c r="AL4" s="2">
        <v>10</v>
      </c>
      <c r="AM4" s="2" t="s">
        <v>84</v>
      </c>
      <c r="AN4" s="2" t="s">
        <v>84</v>
      </c>
      <c r="AO4" s="2" t="s">
        <v>84</v>
      </c>
      <c r="AP4" s="2" t="s">
        <v>84</v>
      </c>
      <c r="AQ4" s="2" t="s">
        <v>84</v>
      </c>
      <c r="AR4" s="2" t="s">
        <v>84</v>
      </c>
      <c r="AS4" s="2" t="s">
        <v>84</v>
      </c>
      <c r="AT4" s="2" t="s">
        <v>84</v>
      </c>
      <c r="AU4" s="2" t="s">
        <v>84</v>
      </c>
      <c r="AV4" s="2" t="s">
        <v>84</v>
      </c>
      <c r="AW4" s="2" t="s">
        <v>79</v>
      </c>
      <c r="AX4" s="2" t="s">
        <v>92</v>
      </c>
      <c r="AY4" s="2" t="s">
        <v>832</v>
      </c>
      <c r="AZ4" s="2" t="s">
        <v>100</v>
      </c>
      <c r="BA4" s="2" t="s">
        <v>833</v>
      </c>
      <c r="BB4" s="2" t="s">
        <v>202</v>
      </c>
      <c r="BC4" s="2" t="s">
        <v>79</v>
      </c>
      <c r="BD4" s="2" t="s">
        <v>364</v>
      </c>
      <c r="BE4" s="2" t="s">
        <v>834</v>
      </c>
      <c r="BF4" s="2" t="s">
        <v>153</v>
      </c>
      <c r="BG4" s="2" t="s">
        <v>835</v>
      </c>
      <c r="BH4" s="2" t="s">
        <v>79</v>
      </c>
      <c r="BI4" s="2" t="s">
        <v>79</v>
      </c>
      <c r="BJ4" s="2" t="s">
        <v>107</v>
      </c>
      <c r="BK4" s="2" t="s">
        <v>836</v>
      </c>
      <c r="BL4" s="2" t="s">
        <v>79</v>
      </c>
      <c r="BM4" s="2" t="s">
        <v>109</v>
      </c>
    </row>
    <row r="5" spans="1:65" ht="409.5" x14ac:dyDescent="0.25">
      <c r="A5" s="2" t="s">
        <v>919</v>
      </c>
      <c r="B5" s="2">
        <v>2021</v>
      </c>
      <c r="C5" s="2" t="s">
        <v>111</v>
      </c>
      <c r="D5" s="2" t="s">
        <v>80</v>
      </c>
      <c r="E5" s="2"/>
      <c r="F5" s="2" t="s">
        <v>79</v>
      </c>
      <c r="G5" s="2" t="s">
        <v>106</v>
      </c>
      <c r="H5" s="2" t="s">
        <v>79</v>
      </c>
      <c r="I5" s="2" t="s">
        <v>502</v>
      </c>
      <c r="J5" s="2"/>
      <c r="K5" s="2" t="s">
        <v>930</v>
      </c>
      <c r="L5" s="2" t="s">
        <v>92</v>
      </c>
      <c r="M5" s="2" t="s">
        <v>921</v>
      </c>
      <c r="N5" s="2" t="s">
        <v>79</v>
      </c>
      <c r="O5" s="2" t="s">
        <v>79</v>
      </c>
      <c r="P5" s="2" t="s">
        <v>922</v>
      </c>
      <c r="Q5" s="2" t="s">
        <v>842</v>
      </c>
      <c r="R5" s="2" t="s">
        <v>79</v>
      </c>
      <c r="S5" s="2" t="s">
        <v>116</v>
      </c>
      <c r="T5" s="2" t="s">
        <v>79</v>
      </c>
      <c r="U5" s="2" t="s">
        <v>79</v>
      </c>
      <c r="V5" s="2" t="s">
        <v>923</v>
      </c>
      <c r="W5" s="2" t="s">
        <v>143</v>
      </c>
      <c r="X5" s="2" t="s">
        <v>924</v>
      </c>
      <c r="Y5" s="2" t="s">
        <v>79</v>
      </c>
      <c r="Z5" s="2" t="s">
        <v>925</v>
      </c>
      <c r="AA5" s="2" t="s">
        <v>92</v>
      </c>
      <c r="AB5" s="2" t="s">
        <v>465</v>
      </c>
      <c r="AC5" s="2" t="s">
        <v>926</v>
      </c>
      <c r="AD5" s="2" t="s">
        <v>95</v>
      </c>
      <c r="AE5" s="2" t="s">
        <v>927</v>
      </c>
      <c r="AF5" s="2" t="s">
        <v>928</v>
      </c>
      <c r="AG5" s="2"/>
      <c r="AH5" s="2" t="s">
        <v>79</v>
      </c>
      <c r="AI5" s="2" t="s">
        <v>929</v>
      </c>
      <c r="AJ5" s="2" t="s">
        <v>920</v>
      </c>
      <c r="AK5" s="2" t="s">
        <v>82</v>
      </c>
      <c r="AL5" s="2">
        <v>9</v>
      </c>
      <c r="AM5" s="2" t="s">
        <v>84</v>
      </c>
      <c r="AN5" s="2" t="s">
        <v>84</v>
      </c>
      <c r="AO5" s="2" t="s">
        <v>84</v>
      </c>
      <c r="AP5" s="2" t="s">
        <v>84</v>
      </c>
      <c r="AQ5" s="2" t="s">
        <v>84</v>
      </c>
      <c r="AR5" s="2" t="s">
        <v>84</v>
      </c>
      <c r="AS5" s="2" t="s">
        <v>85</v>
      </c>
      <c r="AT5" s="2" t="s">
        <v>84</v>
      </c>
      <c r="AU5" s="2" t="s">
        <v>84</v>
      </c>
      <c r="AV5" s="2" t="s">
        <v>85</v>
      </c>
      <c r="AW5" s="2" t="s">
        <v>79</v>
      </c>
      <c r="AX5" s="2" t="s">
        <v>79</v>
      </c>
      <c r="AY5" s="2" t="s">
        <v>931</v>
      </c>
      <c r="AZ5" s="2" t="s">
        <v>100</v>
      </c>
      <c r="BA5" s="2" t="s">
        <v>932</v>
      </c>
      <c r="BB5" s="2" t="s">
        <v>709</v>
      </c>
      <c r="BC5" s="2" t="s">
        <v>79</v>
      </c>
      <c r="BD5" s="2" t="s">
        <v>287</v>
      </c>
      <c r="BE5" s="2" t="s">
        <v>933</v>
      </c>
      <c r="BF5" s="2" t="s">
        <v>856</v>
      </c>
      <c r="BG5" s="2"/>
      <c r="BH5" s="2" t="s">
        <v>80</v>
      </c>
      <c r="BI5" s="2" t="s">
        <v>79</v>
      </c>
      <c r="BJ5" s="2" t="s">
        <v>206</v>
      </c>
      <c r="BK5" s="2" t="s">
        <v>934</v>
      </c>
      <c r="BL5" s="2" t="s">
        <v>79</v>
      </c>
      <c r="BM5" s="2" t="s">
        <v>109</v>
      </c>
    </row>
    <row r="6" spans="1:65" ht="409.5" x14ac:dyDescent="0.25">
      <c r="A6" s="2" t="s">
        <v>999</v>
      </c>
      <c r="B6" s="2">
        <v>2022</v>
      </c>
      <c r="C6" s="2" t="s">
        <v>111</v>
      </c>
      <c r="D6" s="2" t="s">
        <v>80</v>
      </c>
      <c r="E6" s="2"/>
      <c r="F6" s="2" t="s">
        <v>79</v>
      </c>
      <c r="G6" s="2" t="s">
        <v>106</v>
      </c>
      <c r="H6" s="2" t="s">
        <v>106</v>
      </c>
      <c r="I6" s="2" t="s">
        <v>1000</v>
      </c>
      <c r="J6" s="2"/>
      <c r="K6" s="2" t="s">
        <v>1013</v>
      </c>
      <c r="L6" s="2" t="s">
        <v>92</v>
      </c>
      <c r="M6" s="2" t="s">
        <v>1002</v>
      </c>
      <c r="N6" s="2" t="s">
        <v>79</v>
      </c>
      <c r="O6" s="2" t="s">
        <v>79</v>
      </c>
      <c r="P6" s="2" t="s">
        <v>1003</v>
      </c>
      <c r="Q6" s="2" t="s">
        <v>143</v>
      </c>
      <c r="R6" s="2" t="s">
        <v>106</v>
      </c>
      <c r="S6" s="2" t="s">
        <v>90</v>
      </c>
      <c r="T6" s="2" t="s">
        <v>79</v>
      </c>
      <c r="U6" s="2" t="s">
        <v>92</v>
      </c>
      <c r="V6" s="2" t="s">
        <v>1004</v>
      </c>
      <c r="W6" s="2" t="s">
        <v>1005</v>
      </c>
      <c r="X6" s="2" t="s">
        <v>1006</v>
      </c>
      <c r="Y6" s="2" t="s">
        <v>79</v>
      </c>
      <c r="Z6" s="2" t="s">
        <v>1007</v>
      </c>
      <c r="AA6" s="2" t="s">
        <v>92</v>
      </c>
      <c r="AB6" s="2" t="s">
        <v>1008</v>
      </c>
      <c r="AC6" s="2" t="s">
        <v>1009</v>
      </c>
      <c r="AD6" s="2" t="s">
        <v>95</v>
      </c>
      <c r="AE6" s="2" t="s">
        <v>1010</v>
      </c>
      <c r="AF6" s="2" t="s">
        <v>1011</v>
      </c>
      <c r="AG6" s="2"/>
      <c r="AH6" s="2" t="s">
        <v>79</v>
      </c>
      <c r="AI6" s="2" t="s">
        <v>1012</v>
      </c>
      <c r="AJ6" s="2" t="s">
        <v>1001</v>
      </c>
      <c r="AK6" s="2" t="s">
        <v>82</v>
      </c>
      <c r="AL6" s="2">
        <v>8.5</v>
      </c>
      <c r="AM6" s="2" t="s">
        <v>84</v>
      </c>
      <c r="AN6" s="2" t="s">
        <v>84</v>
      </c>
      <c r="AO6" s="2" t="s">
        <v>84</v>
      </c>
      <c r="AP6" s="2" t="s">
        <v>86</v>
      </c>
      <c r="AQ6" s="2" t="s">
        <v>84</v>
      </c>
      <c r="AR6" s="2" t="s">
        <v>84</v>
      </c>
      <c r="AS6" s="2" t="s">
        <v>84</v>
      </c>
      <c r="AT6" s="2" t="s">
        <v>84</v>
      </c>
      <c r="AU6" s="2" t="s">
        <v>85</v>
      </c>
      <c r="AV6" s="2" t="s">
        <v>84</v>
      </c>
      <c r="AW6" s="2" t="s">
        <v>79</v>
      </c>
      <c r="AX6" s="2" t="s">
        <v>79</v>
      </c>
      <c r="AY6" s="2" t="s">
        <v>1014</v>
      </c>
      <c r="AZ6" s="2" t="s">
        <v>303</v>
      </c>
      <c r="BA6" s="2" t="s">
        <v>1015</v>
      </c>
      <c r="BB6" s="2" t="s">
        <v>709</v>
      </c>
      <c r="BC6" s="2" t="s">
        <v>79</v>
      </c>
      <c r="BD6" s="2" t="s">
        <v>1016</v>
      </c>
      <c r="BE6" s="2" t="s">
        <v>1017</v>
      </c>
      <c r="BF6" s="2" t="s">
        <v>153</v>
      </c>
      <c r="BG6" s="2" t="s">
        <v>1018</v>
      </c>
      <c r="BH6" s="2" t="s">
        <v>92</v>
      </c>
      <c r="BI6" s="2" t="s">
        <v>79</v>
      </c>
      <c r="BJ6" s="2" t="s">
        <v>143</v>
      </c>
      <c r="BK6" s="2" t="s">
        <v>1019</v>
      </c>
      <c r="BL6" s="2" t="s">
        <v>79</v>
      </c>
      <c r="BM6" s="2" t="s">
        <v>109</v>
      </c>
    </row>
    <row r="7" spans="1:65" ht="409.5" x14ac:dyDescent="0.25">
      <c r="A7" s="2" t="s">
        <v>1020</v>
      </c>
      <c r="B7" s="2">
        <v>2022</v>
      </c>
      <c r="C7" s="2" t="s">
        <v>143</v>
      </c>
      <c r="D7" s="2" t="s">
        <v>80</v>
      </c>
      <c r="E7" s="2"/>
      <c r="F7" s="2" t="s">
        <v>79</v>
      </c>
      <c r="G7" s="2" t="s">
        <v>80</v>
      </c>
      <c r="H7" s="2" t="s">
        <v>106</v>
      </c>
      <c r="I7" s="2" t="s">
        <v>1021</v>
      </c>
      <c r="J7" s="2"/>
      <c r="K7" s="2" t="s">
        <v>1030</v>
      </c>
      <c r="L7" s="2" t="s">
        <v>80</v>
      </c>
      <c r="M7" s="2" t="s">
        <v>1023</v>
      </c>
      <c r="N7" s="2" t="s">
        <v>79</v>
      </c>
      <c r="O7" s="2" t="s">
        <v>79</v>
      </c>
      <c r="P7" s="2" t="s">
        <v>1024</v>
      </c>
      <c r="Q7" s="2" t="s">
        <v>478</v>
      </c>
      <c r="R7" s="2" t="s">
        <v>80</v>
      </c>
      <c r="S7" s="2" t="s">
        <v>116</v>
      </c>
      <c r="T7" s="2" t="s">
        <v>79</v>
      </c>
      <c r="U7" s="2" t="s">
        <v>92</v>
      </c>
      <c r="V7" s="2" t="s">
        <v>1025</v>
      </c>
      <c r="W7" s="2"/>
      <c r="X7" s="2" t="s">
        <v>155</v>
      </c>
      <c r="Y7" s="2" t="s">
        <v>80</v>
      </c>
      <c r="Z7" s="2"/>
      <c r="AA7" s="2" t="s">
        <v>92</v>
      </c>
      <c r="AB7" s="2" t="s">
        <v>328</v>
      </c>
      <c r="AC7" s="2" t="s">
        <v>1026</v>
      </c>
      <c r="AD7" s="2" t="s">
        <v>95</v>
      </c>
      <c r="AE7" s="2" t="s">
        <v>1027</v>
      </c>
      <c r="AF7" s="2" t="s">
        <v>1028</v>
      </c>
      <c r="AG7" s="2"/>
      <c r="AH7" s="2" t="s">
        <v>79</v>
      </c>
      <c r="AI7" s="2" t="s">
        <v>1029</v>
      </c>
      <c r="AJ7" s="2" t="s">
        <v>1022</v>
      </c>
      <c r="AK7" s="2" t="s">
        <v>82</v>
      </c>
      <c r="AL7" s="2">
        <v>8.5</v>
      </c>
      <c r="AM7" s="2" t="s">
        <v>84</v>
      </c>
      <c r="AN7" s="2" t="s">
        <v>84</v>
      </c>
      <c r="AO7" s="2" t="s">
        <v>84</v>
      </c>
      <c r="AP7" s="2" t="s">
        <v>84</v>
      </c>
      <c r="AQ7" s="2" t="s">
        <v>84</v>
      </c>
      <c r="AR7" s="2" t="s">
        <v>84</v>
      </c>
      <c r="AS7" s="2" t="s">
        <v>85</v>
      </c>
      <c r="AT7" s="2" t="s">
        <v>86</v>
      </c>
      <c r="AU7" s="2" t="s">
        <v>84</v>
      </c>
      <c r="AV7" s="2" t="s">
        <v>84</v>
      </c>
      <c r="AW7" s="2" t="s">
        <v>79</v>
      </c>
      <c r="AX7" s="2" t="s">
        <v>79</v>
      </c>
      <c r="AY7" s="2" t="s">
        <v>1031</v>
      </c>
      <c r="AZ7" s="2" t="s">
        <v>100</v>
      </c>
      <c r="BA7" s="2" t="s">
        <v>1032</v>
      </c>
      <c r="BB7" s="2" t="s">
        <v>286</v>
      </c>
      <c r="BC7" s="2" t="s">
        <v>79</v>
      </c>
      <c r="BD7" s="2" t="s">
        <v>287</v>
      </c>
      <c r="BE7" s="2" t="s">
        <v>1033</v>
      </c>
      <c r="BF7" s="2" t="s">
        <v>153</v>
      </c>
      <c r="BG7" s="2"/>
      <c r="BH7" s="2" t="s">
        <v>80</v>
      </c>
      <c r="BI7" s="2" t="s">
        <v>79</v>
      </c>
      <c r="BJ7" s="2" t="s">
        <v>206</v>
      </c>
      <c r="BK7" s="2" t="s">
        <v>1034</v>
      </c>
      <c r="BL7" s="2" t="s">
        <v>79</v>
      </c>
      <c r="BM7" s="2" t="s">
        <v>109</v>
      </c>
    </row>
    <row r="8" spans="1:65" ht="409.5" x14ac:dyDescent="0.25">
      <c r="A8" s="2" t="s">
        <v>1035</v>
      </c>
      <c r="B8" s="2">
        <v>2025</v>
      </c>
      <c r="C8" s="2" t="s">
        <v>143</v>
      </c>
      <c r="D8" s="2" t="s">
        <v>80</v>
      </c>
      <c r="E8" s="2"/>
      <c r="F8" s="2" t="s">
        <v>79</v>
      </c>
      <c r="G8" s="2" t="s">
        <v>106</v>
      </c>
      <c r="H8" s="2" t="s">
        <v>106</v>
      </c>
      <c r="I8" s="2" t="s">
        <v>1036</v>
      </c>
      <c r="J8" s="2"/>
      <c r="K8" s="2" t="s">
        <v>1045</v>
      </c>
      <c r="L8" s="2" t="s">
        <v>92</v>
      </c>
      <c r="M8" s="2" t="s">
        <v>1038</v>
      </c>
      <c r="N8" s="2" t="s">
        <v>79</v>
      </c>
      <c r="O8" s="2" t="s">
        <v>79</v>
      </c>
      <c r="P8" s="2" t="s">
        <v>1039</v>
      </c>
      <c r="Q8" s="2" t="s">
        <v>89</v>
      </c>
      <c r="R8" s="2" t="s">
        <v>79</v>
      </c>
      <c r="S8" s="2" t="s">
        <v>116</v>
      </c>
      <c r="T8" s="2" t="s">
        <v>79</v>
      </c>
      <c r="U8" s="2" t="s">
        <v>92</v>
      </c>
      <c r="V8" s="2" t="s">
        <v>1040</v>
      </c>
      <c r="W8" s="2"/>
      <c r="X8" s="2" t="s">
        <v>155</v>
      </c>
      <c r="Y8" s="2" t="s">
        <v>80</v>
      </c>
      <c r="Z8" s="2"/>
      <c r="AA8" s="2" t="s">
        <v>92</v>
      </c>
      <c r="AB8" s="2" t="s">
        <v>279</v>
      </c>
      <c r="AC8" s="2" t="s">
        <v>1041</v>
      </c>
      <c r="AD8" s="2" t="s">
        <v>95</v>
      </c>
      <c r="AE8" s="2" t="s">
        <v>1042</v>
      </c>
      <c r="AF8" s="2" t="s">
        <v>1043</v>
      </c>
      <c r="AG8" s="2"/>
      <c r="AH8" s="2" t="s">
        <v>79</v>
      </c>
      <c r="AI8" s="2" t="s">
        <v>1044</v>
      </c>
      <c r="AJ8" s="2" t="s">
        <v>1037</v>
      </c>
      <c r="AK8" s="2" t="s">
        <v>82</v>
      </c>
      <c r="AL8" s="2">
        <v>9</v>
      </c>
      <c r="AM8" s="2" t="s">
        <v>84</v>
      </c>
      <c r="AN8" s="2" t="s">
        <v>84</v>
      </c>
      <c r="AO8" s="2" t="s">
        <v>84</v>
      </c>
      <c r="AP8" s="2" t="s">
        <v>84</v>
      </c>
      <c r="AQ8" s="2" t="s">
        <v>84</v>
      </c>
      <c r="AR8" s="2" t="s">
        <v>84</v>
      </c>
      <c r="AS8" s="2" t="s">
        <v>84</v>
      </c>
      <c r="AT8" s="2" t="s">
        <v>86</v>
      </c>
      <c r="AU8" s="2" t="s">
        <v>84</v>
      </c>
      <c r="AV8" s="2" t="s">
        <v>84</v>
      </c>
      <c r="AW8" s="2" t="s">
        <v>79</v>
      </c>
      <c r="AX8" s="2" t="s">
        <v>79</v>
      </c>
      <c r="AY8" s="2" t="s">
        <v>1046</v>
      </c>
      <c r="AZ8" s="2" t="s">
        <v>100</v>
      </c>
      <c r="BA8" s="2" t="s">
        <v>1047</v>
      </c>
      <c r="BB8" s="2" t="s">
        <v>709</v>
      </c>
      <c r="BC8" s="2" t="s">
        <v>79</v>
      </c>
      <c r="BD8" s="2" t="s">
        <v>1016</v>
      </c>
      <c r="BE8" s="2" t="s">
        <v>1048</v>
      </c>
      <c r="BF8" s="2" t="s">
        <v>153</v>
      </c>
      <c r="BG8" s="2" t="s">
        <v>1049</v>
      </c>
      <c r="BH8" s="2" t="s">
        <v>92</v>
      </c>
      <c r="BI8" s="2" t="s">
        <v>79</v>
      </c>
      <c r="BJ8" s="2" t="s">
        <v>206</v>
      </c>
      <c r="BK8" s="2" t="s">
        <v>1050</v>
      </c>
      <c r="BL8" s="2" t="s">
        <v>79</v>
      </c>
      <c r="BM8" s="2" t="s">
        <v>172</v>
      </c>
    </row>
    <row r="9" spans="1:65" ht="409.5" x14ac:dyDescent="0.25">
      <c r="A9" s="2" t="s">
        <v>1279</v>
      </c>
      <c r="B9" s="2">
        <v>2019</v>
      </c>
      <c r="C9" s="2" t="s">
        <v>111</v>
      </c>
      <c r="D9" s="2" t="s">
        <v>79</v>
      </c>
      <c r="E9" s="2" t="s">
        <v>1292</v>
      </c>
      <c r="F9" s="2" t="s">
        <v>80</v>
      </c>
      <c r="G9" s="2" t="s">
        <v>80</v>
      </c>
      <c r="H9" s="2" t="s">
        <v>80</v>
      </c>
      <c r="I9" s="2" t="s">
        <v>1280</v>
      </c>
      <c r="J9" s="2" t="s">
        <v>1293</v>
      </c>
      <c r="K9" s="2"/>
      <c r="L9" s="2" t="s">
        <v>80</v>
      </c>
      <c r="M9" s="2" t="s">
        <v>1282</v>
      </c>
      <c r="N9" s="2" t="s">
        <v>79</v>
      </c>
      <c r="O9" s="2" t="s">
        <v>92</v>
      </c>
      <c r="P9" s="2" t="s">
        <v>1283</v>
      </c>
      <c r="Q9" s="2" t="s">
        <v>143</v>
      </c>
      <c r="R9" s="2" t="s">
        <v>80</v>
      </c>
      <c r="S9" s="2" t="s">
        <v>194</v>
      </c>
      <c r="T9" s="2" t="s">
        <v>79</v>
      </c>
      <c r="U9" s="2" t="s">
        <v>92</v>
      </c>
      <c r="V9" s="2" t="s">
        <v>1284</v>
      </c>
      <c r="W9" s="2" t="s">
        <v>1285</v>
      </c>
      <c r="X9" s="2" t="s">
        <v>1286</v>
      </c>
      <c r="Y9" s="2" t="s">
        <v>79</v>
      </c>
      <c r="Z9" s="2" t="s">
        <v>1287</v>
      </c>
      <c r="AA9" s="2" t="s">
        <v>92</v>
      </c>
      <c r="AB9" s="2" t="s">
        <v>1288</v>
      </c>
      <c r="AC9" s="2" t="s">
        <v>1289</v>
      </c>
      <c r="AD9" s="2" t="s">
        <v>95</v>
      </c>
      <c r="AE9" s="2" t="s">
        <v>1290</v>
      </c>
      <c r="AF9" s="2" t="s">
        <v>1291</v>
      </c>
      <c r="AG9" s="2"/>
      <c r="AH9" s="2" t="s">
        <v>79</v>
      </c>
      <c r="AI9" s="2" t="s">
        <v>1294</v>
      </c>
      <c r="AJ9" s="2" t="s">
        <v>1281</v>
      </c>
      <c r="AK9" s="2" t="s">
        <v>82</v>
      </c>
      <c r="AL9" s="2">
        <v>8.5</v>
      </c>
      <c r="AM9" s="2" t="s">
        <v>84</v>
      </c>
      <c r="AN9" s="2" t="s">
        <v>84</v>
      </c>
      <c r="AO9" s="2" t="s">
        <v>84</v>
      </c>
      <c r="AP9" s="2" t="s">
        <v>86</v>
      </c>
      <c r="AQ9" s="2" t="s">
        <v>84</v>
      </c>
      <c r="AR9" s="2" t="s">
        <v>84</v>
      </c>
      <c r="AS9" s="2" t="s">
        <v>84</v>
      </c>
      <c r="AT9" s="2" t="s">
        <v>84</v>
      </c>
      <c r="AU9" s="2" t="s">
        <v>84</v>
      </c>
      <c r="AV9" s="2" t="s">
        <v>85</v>
      </c>
      <c r="AW9" s="2" t="s">
        <v>79</v>
      </c>
      <c r="AX9" s="2" t="s">
        <v>92</v>
      </c>
      <c r="AY9" s="2" t="s">
        <v>1295</v>
      </c>
      <c r="AZ9" s="2" t="s">
        <v>1143</v>
      </c>
      <c r="BA9" s="2" t="s">
        <v>1296</v>
      </c>
      <c r="BB9" s="2" t="s">
        <v>514</v>
      </c>
      <c r="BC9" s="2" t="s">
        <v>79</v>
      </c>
      <c r="BD9" s="2" t="s">
        <v>756</v>
      </c>
      <c r="BE9" s="2" t="s">
        <v>1297</v>
      </c>
      <c r="BF9" s="2" t="s">
        <v>648</v>
      </c>
      <c r="BG9" s="2"/>
      <c r="BH9" s="2" t="s">
        <v>80</v>
      </c>
      <c r="BI9" s="2" t="s">
        <v>79</v>
      </c>
      <c r="BJ9" s="2" t="s">
        <v>1298</v>
      </c>
      <c r="BK9" s="2" t="s">
        <v>1299</v>
      </c>
      <c r="BL9" s="2" t="s">
        <v>79</v>
      </c>
      <c r="BM9" s="2" t="s">
        <v>109</v>
      </c>
    </row>
    <row r="10" spans="1:65" ht="409.5" x14ac:dyDescent="0.25">
      <c r="A10" s="2" t="s">
        <v>1300</v>
      </c>
      <c r="B10" s="2">
        <v>2020</v>
      </c>
      <c r="C10" s="2" t="s">
        <v>111</v>
      </c>
      <c r="D10" s="2" t="s">
        <v>79</v>
      </c>
      <c r="E10" s="2" t="s">
        <v>1310</v>
      </c>
      <c r="F10" s="2" t="s">
        <v>80</v>
      </c>
      <c r="G10" s="2" t="s">
        <v>80</v>
      </c>
      <c r="H10" s="2" t="s">
        <v>80</v>
      </c>
      <c r="I10" s="2" t="s">
        <v>1301</v>
      </c>
      <c r="J10" s="2" t="s">
        <v>1311</v>
      </c>
      <c r="K10" s="2"/>
      <c r="L10" s="2" t="s">
        <v>80</v>
      </c>
      <c r="M10" s="2" t="s">
        <v>1303</v>
      </c>
      <c r="N10" s="2" t="s">
        <v>79</v>
      </c>
      <c r="O10" s="2" t="s">
        <v>92</v>
      </c>
      <c r="P10" s="2" t="s">
        <v>1304</v>
      </c>
      <c r="Q10" s="2" t="s">
        <v>143</v>
      </c>
      <c r="R10" s="2" t="s">
        <v>80</v>
      </c>
      <c r="S10" s="2" t="s">
        <v>194</v>
      </c>
      <c r="T10" s="2" t="s">
        <v>79</v>
      </c>
      <c r="U10" s="2" t="s">
        <v>92</v>
      </c>
      <c r="V10" s="2" t="s">
        <v>1305</v>
      </c>
      <c r="W10" s="2" t="s">
        <v>1306</v>
      </c>
      <c r="X10" s="2" t="s">
        <v>1307</v>
      </c>
      <c r="Y10" s="2" t="s">
        <v>79</v>
      </c>
      <c r="Z10" s="2" t="s">
        <v>1308</v>
      </c>
      <c r="AA10" s="2" t="s">
        <v>92</v>
      </c>
      <c r="AB10" s="2" t="s">
        <v>553</v>
      </c>
      <c r="AC10" s="2" t="s">
        <v>1309</v>
      </c>
      <c r="AD10" s="2" t="s">
        <v>95</v>
      </c>
      <c r="AE10" s="2"/>
      <c r="AF10" s="2"/>
      <c r="AG10" s="2"/>
      <c r="AH10" s="2" t="s">
        <v>80</v>
      </c>
      <c r="AI10" s="2" t="s">
        <v>1312</v>
      </c>
      <c r="AJ10" s="2" t="s">
        <v>1302</v>
      </c>
      <c r="AK10" s="2" t="s">
        <v>82</v>
      </c>
      <c r="AL10" s="2">
        <v>8.5</v>
      </c>
      <c r="AM10" s="2" t="s">
        <v>84</v>
      </c>
      <c r="AN10" s="2" t="s">
        <v>84</v>
      </c>
      <c r="AO10" s="2" t="s">
        <v>84</v>
      </c>
      <c r="AP10" s="2" t="s">
        <v>86</v>
      </c>
      <c r="AQ10" s="2" t="s">
        <v>84</v>
      </c>
      <c r="AR10" s="2" t="s">
        <v>84</v>
      </c>
      <c r="AS10" s="2" t="s">
        <v>84</v>
      </c>
      <c r="AT10" s="2" t="s">
        <v>84</v>
      </c>
      <c r="AU10" s="2" t="s">
        <v>84</v>
      </c>
      <c r="AV10" s="2" t="s">
        <v>85</v>
      </c>
      <c r="AW10" s="2" t="s">
        <v>79</v>
      </c>
      <c r="AX10" s="2" t="s">
        <v>79</v>
      </c>
      <c r="AY10" s="2" t="s">
        <v>1313</v>
      </c>
      <c r="AZ10" s="2" t="s">
        <v>303</v>
      </c>
      <c r="BA10" s="2" t="s">
        <v>1314</v>
      </c>
      <c r="BB10" s="2" t="s">
        <v>1315</v>
      </c>
      <c r="BC10" s="2" t="s">
        <v>79</v>
      </c>
      <c r="BD10" s="2" t="s">
        <v>756</v>
      </c>
      <c r="BE10" s="2" t="s">
        <v>1316</v>
      </c>
      <c r="BF10" s="2" t="s">
        <v>648</v>
      </c>
      <c r="BG10" s="2"/>
      <c r="BH10" s="2" t="s">
        <v>80</v>
      </c>
      <c r="BI10" s="2" t="s">
        <v>79</v>
      </c>
      <c r="BJ10" s="2" t="s">
        <v>1298</v>
      </c>
      <c r="BK10" s="2" t="s">
        <v>1317</v>
      </c>
      <c r="BL10" s="2" t="s">
        <v>79</v>
      </c>
      <c r="BM10" s="2" t="s">
        <v>109</v>
      </c>
    </row>
    <row r="11" spans="1:65" ht="409.5" x14ac:dyDescent="0.25">
      <c r="A11" s="2" t="s">
        <v>1728</v>
      </c>
      <c r="B11" s="2">
        <v>2025</v>
      </c>
      <c r="C11" s="2" t="s">
        <v>143</v>
      </c>
      <c r="D11" s="2" t="s">
        <v>79</v>
      </c>
      <c r="E11" s="2" t="s">
        <v>1736</v>
      </c>
      <c r="F11" s="2" t="s">
        <v>80</v>
      </c>
      <c r="G11" s="2"/>
      <c r="H11" s="2"/>
      <c r="I11" s="2" t="s">
        <v>1036</v>
      </c>
      <c r="J11" s="2" t="s">
        <v>1737</v>
      </c>
      <c r="K11" s="2"/>
      <c r="L11" s="2" t="s">
        <v>80</v>
      </c>
      <c r="M11" s="2" t="s">
        <v>1730</v>
      </c>
      <c r="N11" s="2" t="s">
        <v>79</v>
      </c>
      <c r="O11" s="2"/>
      <c r="P11" s="2" t="s">
        <v>1731</v>
      </c>
      <c r="Q11" s="2" t="s">
        <v>89</v>
      </c>
      <c r="R11" s="2" t="s">
        <v>79</v>
      </c>
      <c r="S11" s="2" t="s">
        <v>116</v>
      </c>
      <c r="T11" s="2" t="s">
        <v>79</v>
      </c>
      <c r="U11" s="2"/>
      <c r="V11" s="2" t="s">
        <v>1732</v>
      </c>
      <c r="W11" s="2"/>
      <c r="X11" s="2"/>
      <c r="Y11" s="2" t="s">
        <v>80</v>
      </c>
      <c r="Z11" s="2"/>
      <c r="AA11" s="2" t="s">
        <v>92</v>
      </c>
      <c r="AB11" s="2" t="s">
        <v>465</v>
      </c>
      <c r="AC11" s="2" t="s">
        <v>1733</v>
      </c>
      <c r="AD11" s="2" t="s">
        <v>95</v>
      </c>
      <c r="AE11" s="2" t="s">
        <v>1734</v>
      </c>
      <c r="AF11" s="2" t="s">
        <v>1735</v>
      </c>
      <c r="AG11" s="2"/>
      <c r="AH11" s="2" t="s">
        <v>79</v>
      </c>
      <c r="AI11" s="2" t="s">
        <v>1738</v>
      </c>
      <c r="AJ11" s="2" t="s">
        <v>1729</v>
      </c>
      <c r="AK11" s="2" t="s">
        <v>82</v>
      </c>
      <c r="AL11" s="2">
        <v>7.5</v>
      </c>
      <c r="AM11" s="2" t="s">
        <v>84</v>
      </c>
      <c r="AN11" s="2" t="s">
        <v>86</v>
      </c>
      <c r="AO11" s="2" t="s">
        <v>84</v>
      </c>
      <c r="AP11" s="2" t="s">
        <v>84</v>
      </c>
      <c r="AQ11" s="2" t="s">
        <v>84</v>
      </c>
      <c r="AR11" s="2" t="s">
        <v>84</v>
      </c>
      <c r="AS11" s="2" t="s">
        <v>84</v>
      </c>
      <c r="AT11" s="2" t="s">
        <v>86</v>
      </c>
      <c r="AU11" s="2" t="s">
        <v>84</v>
      </c>
      <c r="AV11" s="2" t="s">
        <v>85</v>
      </c>
      <c r="AW11" s="2" t="s">
        <v>79</v>
      </c>
      <c r="AX11" s="2"/>
      <c r="AY11" s="2" t="s">
        <v>1739</v>
      </c>
      <c r="AZ11" s="2" t="s">
        <v>100</v>
      </c>
      <c r="BA11" s="2" t="s">
        <v>1740</v>
      </c>
      <c r="BB11" s="2"/>
      <c r="BC11" s="2" t="s">
        <v>79</v>
      </c>
      <c r="BD11" s="2"/>
      <c r="BE11" s="2" t="s">
        <v>1741</v>
      </c>
      <c r="BF11" s="2" t="s">
        <v>153</v>
      </c>
      <c r="BG11" s="2" t="s">
        <v>1742</v>
      </c>
      <c r="BH11" s="2" t="s">
        <v>92</v>
      </c>
      <c r="BI11" s="2" t="s">
        <v>79</v>
      </c>
      <c r="BJ11" s="2" t="s">
        <v>429</v>
      </c>
      <c r="BK11" s="2" t="s">
        <v>1743</v>
      </c>
      <c r="BL11" s="2" t="s">
        <v>79</v>
      </c>
      <c r="BM11" s="2" t="s">
        <v>109</v>
      </c>
    </row>
  </sheetData>
  <autoFilter ref="A1:BM1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5"/>
  <sheetViews>
    <sheetView showGridLines="0" workbookViewId="0">
      <pane ySplit="3" topLeftCell="A4" activePane="bottomLeft" state="frozen"/>
      <selection pane="bottomLeft" activeCell="K38" sqref="K38"/>
    </sheetView>
  </sheetViews>
  <sheetFormatPr defaultRowHeight="15" x14ac:dyDescent="0.25"/>
  <cols>
    <col min="1" max="20" width="18.7109375" customWidth="1"/>
  </cols>
  <sheetData>
    <row r="1" spans="1:19" ht="21" x14ac:dyDescent="0.35">
      <c r="A1" s="4" t="s">
        <v>1744</v>
      </c>
    </row>
    <row r="2" spans="1:19" x14ac:dyDescent="0.25">
      <c r="A2" s="5" t="s">
        <v>1745</v>
      </c>
    </row>
    <row r="4" spans="1:19" ht="17.25" x14ac:dyDescent="0.3">
      <c r="A4" s="6" t="s">
        <v>1746</v>
      </c>
      <c r="E4" s="6" t="s">
        <v>1749</v>
      </c>
      <c r="I4" s="6" t="s">
        <v>1751</v>
      </c>
      <c r="M4" s="6" t="s">
        <v>1753</v>
      </c>
      <c r="Q4" s="6" t="s">
        <v>1755</v>
      </c>
    </row>
    <row r="5" spans="1:19" x14ac:dyDescent="0.25">
      <c r="A5" s="3" t="s">
        <v>13</v>
      </c>
      <c r="B5" s="3" t="s">
        <v>1747</v>
      </c>
      <c r="C5" s="3" t="s">
        <v>1748</v>
      </c>
      <c r="E5" s="3" t="s">
        <v>14</v>
      </c>
      <c r="F5" s="3" t="s">
        <v>1747</v>
      </c>
      <c r="G5" s="3" t="s">
        <v>1748</v>
      </c>
      <c r="I5" s="3" t="s">
        <v>1752</v>
      </c>
      <c r="J5" s="3" t="s">
        <v>1747</v>
      </c>
      <c r="K5" s="3" t="s">
        <v>1748</v>
      </c>
      <c r="M5" s="3" t="s">
        <v>1754</v>
      </c>
      <c r="N5" s="3" t="s">
        <v>1747</v>
      </c>
      <c r="O5" s="3" t="s">
        <v>1748</v>
      </c>
      <c r="Q5" s="3" t="s">
        <v>1755</v>
      </c>
      <c r="R5" s="3" t="s">
        <v>1747</v>
      </c>
      <c r="S5" s="3" t="s">
        <v>1748</v>
      </c>
    </row>
    <row r="6" spans="1:19" x14ac:dyDescent="0.25">
      <c r="A6">
        <v>1966</v>
      </c>
      <c r="B6" s="7">
        <f>COUNTIF(Extraction!$B$2:$B$111,A6)</f>
        <v>1</v>
      </c>
      <c r="C6" s="8">
        <f t="shared" ref="C6:C25" si="0">B6/110</f>
        <v>9.0909090909090905E-3</v>
      </c>
      <c r="E6" t="s">
        <v>111</v>
      </c>
      <c r="F6" s="7">
        <f>COUNTIF(Extraction!$C$2:$C$111,E6)</f>
        <v>72</v>
      </c>
      <c r="G6" s="8">
        <f t="shared" ref="G6:G12" si="1">F6/110</f>
        <v>0.65454545454545454</v>
      </c>
      <c r="I6" t="s">
        <v>153</v>
      </c>
      <c r="J6" s="7">
        <f>COUNTIF(Extraction!$BG$2:$BG$111,I6)</f>
        <v>58</v>
      </c>
      <c r="K6" s="8">
        <f t="shared" ref="K6:K14" si="2">J6/110</f>
        <v>0.52727272727272723</v>
      </c>
      <c r="M6" t="s">
        <v>90</v>
      </c>
      <c r="N6" s="7">
        <f>COUNTIF(Extraction!$AG$2:$AG$111,M6)</f>
        <v>28</v>
      </c>
      <c r="O6" s="8">
        <f>N6/110</f>
        <v>0.25454545454545452</v>
      </c>
      <c r="Q6" t="s">
        <v>89</v>
      </c>
      <c r="R6" s="7">
        <f>COUNTIF(Extraction!$AE$2:$AE$111,Q6)</f>
        <v>60</v>
      </c>
      <c r="S6" s="8">
        <f t="shared" ref="S6:S12" si="3">R6/110</f>
        <v>0.54545454545454541</v>
      </c>
    </row>
    <row r="7" spans="1:19" x14ac:dyDescent="0.25">
      <c r="A7">
        <v>1994</v>
      </c>
      <c r="B7" s="7">
        <f>COUNTIF(Extraction!$B$2:$B$111,A7)</f>
        <v>1</v>
      </c>
      <c r="C7" s="8">
        <f t="shared" si="0"/>
        <v>9.0909090909090905E-3</v>
      </c>
      <c r="E7" t="s">
        <v>78</v>
      </c>
      <c r="F7" s="7">
        <f>COUNTIF(Extraction!$C$2:$C$111,E7)</f>
        <v>10</v>
      </c>
      <c r="G7" s="8">
        <f t="shared" si="1"/>
        <v>9.0909090909090912E-2</v>
      </c>
      <c r="I7" t="s">
        <v>104</v>
      </c>
      <c r="J7" s="7">
        <f>COUNTIF(Extraction!$BG$2:$BG$111,I7)</f>
        <v>22</v>
      </c>
      <c r="K7" s="8">
        <f t="shared" si="2"/>
        <v>0.2</v>
      </c>
      <c r="M7" t="s">
        <v>116</v>
      </c>
      <c r="N7" s="7">
        <f>COUNTIF(Extraction!$AG$2:$AG$111,M7)</f>
        <v>60</v>
      </c>
      <c r="O7" s="8">
        <f>N7/110</f>
        <v>0.54545454545454541</v>
      </c>
      <c r="Q7" t="s">
        <v>193</v>
      </c>
      <c r="R7" s="7">
        <f>COUNTIF(Extraction!$AE$2:$AE$111,Q7)</f>
        <v>2</v>
      </c>
      <c r="S7" s="8">
        <f t="shared" si="3"/>
        <v>1.8181818181818181E-2</v>
      </c>
    </row>
    <row r="8" spans="1:19" x14ac:dyDescent="0.25">
      <c r="A8">
        <v>1999</v>
      </c>
      <c r="B8" s="7">
        <f>COUNTIF(Extraction!$B$2:$B$111,A8)</f>
        <v>1</v>
      </c>
      <c r="C8" s="8">
        <f t="shared" si="0"/>
        <v>9.0909090909090905E-3</v>
      </c>
      <c r="E8" t="s">
        <v>270</v>
      </c>
      <c r="F8" s="7">
        <f>COUNTIF(Extraction!$C$2:$C$111,E8)</f>
        <v>10</v>
      </c>
      <c r="G8" s="8">
        <f t="shared" si="1"/>
        <v>9.0909090909090912E-2</v>
      </c>
      <c r="I8" t="s">
        <v>648</v>
      </c>
      <c r="J8" s="7">
        <f>COUNTIF(Extraction!$BG$2:$BG$111,I8)</f>
        <v>14</v>
      </c>
      <c r="K8" s="8">
        <f t="shared" si="2"/>
        <v>0.12727272727272726</v>
      </c>
      <c r="M8" t="s">
        <v>194</v>
      </c>
      <c r="N8" s="7">
        <f>COUNTIF(Extraction!$AG$2:$AG$111,M8)</f>
        <v>10</v>
      </c>
      <c r="O8" s="8">
        <f>N8/110</f>
        <v>9.0909090909090912E-2</v>
      </c>
      <c r="Q8" t="s">
        <v>842</v>
      </c>
      <c r="R8" s="7">
        <f>COUNTIF(Extraction!$AE$2:$AE$111,Q8)</f>
        <v>8</v>
      </c>
      <c r="S8" s="8">
        <f t="shared" si="3"/>
        <v>7.2727272727272724E-2</v>
      </c>
    </row>
    <row r="9" spans="1:19" x14ac:dyDescent="0.25">
      <c r="A9">
        <v>2004</v>
      </c>
      <c r="B9" s="7">
        <f>COUNTIF(Extraction!$B$2:$B$111,A9)</f>
        <v>1</v>
      </c>
      <c r="C9" s="8">
        <f t="shared" si="0"/>
        <v>9.0909090909090905E-3</v>
      </c>
      <c r="E9" t="s">
        <v>189</v>
      </c>
      <c r="F9" s="7">
        <f>COUNTIF(Extraction!$C$2:$C$111,E9)</f>
        <v>5</v>
      </c>
      <c r="G9" s="8">
        <f t="shared" si="1"/>
        <v>4.5454545454545456E-2</v>
      </c>
      <c r="I9" t="s">
        <v>856</v>
      </c>
      <c r="J9" s="7">
        <f>COUNTIF(Extraction!$BG$2:$BG$111,I9)</f>
        <v>7</v>
      </c>
      <c r="K9" s="8">
        <f t="shared" si="2"/>
        <v>6.363636363636363E-2</v>
      </c>
      <c r="M9" t="s">
        <v>732</v>
      </c>
      <c r="N9" s="7">
        <f>COUNTIF(Extraction!$AG$2:$AG$111,M9)</f>
        <v>0</v>
      </c>
      <c r="O9" s="8">
        <f>N9/110</f>
        <v>0</v>
      </c>
      <c r="Q9" t="s">
        <v>478</v>
      </c>
      <c r="R9" s="7">
        <f>COUNTIF(Extraction!$AE$2:$AE$111,Q9)</f>
        <v>6</v>
      </c>
      <c r="S9" s="8">
        <f t="shared" si="3"/>
        <v>5.4545454545454543E-2</v>
      </c>
    </row>
    <row r="10" spans="1:19" x14ac:dyDescent="0.25">
      <c r="A10">
        <v>2008</v>
      </c>
      <c r="B10" s="7">
        <f>COUNTIF(Extraction!$B$2:$B$111,A10)</f>
        <v>4</v>
      </c>
      <c r="C10" s="8">
        <f t="shared" si="0"/>
        <v>3.6363636363636362E-2</v>
      </c>
      <c r="E10" t="s">
        <v>566</v>
      </c>
      <c r="F10" s="7">
        <f>COUNTIF(Extraction!$C$2:$C$111,E10)</f>
        <v>3</v>
      </c>
      <c r="G10" s="8">
        <f t="shared" si="1"/>
        <v>2.7272727272727271E-2</v>
      </c>
      <c r="I10" t="s">
        <v>1108</v>
      </c>
      <c r="J10" s="7">
        <f>COUNTIF(Extraction!$BG$2:$BG$111,I10)</f>
        <v>1</v>
      </c>
      <c r="K10" s="8">
        <f t="shared" si="2"/>
        <v>9.0909090909090905E-3</v>
      </c>
      <c r="M10" t="s">
        <v>1750</v>
      </c>
      <c r="N10" s="7">
        <f>COUNTBLANK(Extraction!$AG$2:$AG$111)</f>
        <v>12</v>
      </c>
      <c r="O10" s="8">
        <f>N10/110</f>
        <v>0.10909090909090909</v>
      </c>
      <c r="Q10" t="s">
        <v>143</v>
      </c>
      <c r="R10" s="7">
        <f>COUNTIF(Extraction!$AE$2:$AE$111,Q10)</f>
        <v>30</v>
      </c>
      <c r="S10" s="8">
        <f t="shared" si="3"/>
        <v>0.27272727272727271</v>
      </c>
    </row>
    <row r="11" spans="1:19" x14ac:dyDescent="0.25">
      <c r="A11">
        <v>2012</v>
      </c>
      <c r="B11" s="7">
        <f>COUNTIF(Extraction!$B$2:$B$111,A11)</f>
        <v>3</v>
      </c>
      <c r="C11" s="8">
        <f t="shared" si="0"/>
        <v>2.7272727272727271E-2</v>
      </c>
      <c r="E11" t="s">
        <v>143</v>
      </c>
      <c r="F11" s="7">
        <f>COUNTIF(Extraction!$C$2:$C$111,E11)</f>
        <v>10</v>
      </c>
      <c r="G11" s="8">
        <f t="shared" si="1"/>
        <v>9.0909090909090912E-2</v>
      </c>
      <c r="I11" t="s">
        <v>758</v>
      </c>
      <c r="J11" s="7">
        <f>COUNTIF(Extraction!$BG$2:$BG$111,I11)</f>
        <v>2</v>
      </c>
      <c r="K11" s="8">
        <f t="shared" si="2"/>
        <v>1.8181818181818181E-2</v>
      </c>
      <c r="Q11" t="s">
        <v>732</v>
      </c>
      <c r="R11" s="7">
        <f>COUNTIF(Extraction!$AE$2:$AE$111,Q11)</f>
        <v>1</v>
      </c>
      <c r="S11" s="8">
        <f t="shared" si="3"/>
        <v>9.0909090909090905E-3</v>
      </c>
    </row>
    <row r="12" spans="1:19" x14ac:dyDescent="0.25">
      <c r="A12">
        <v>2013</v>
      </c>
      <c r="B12" s="7">
        <f>COUNTIF(Extraction!$B$2:$B$111,A12)</f>
        <v>2</v>
      </c>
      <c r="C12" s="8">
        <f t="shared" si="0"/>
        <v>1.8181818181818181E-2</v>
      </c>
      <c r="E12" t="s">
        <v>1750</v>
      </c>
      <c r="F12" s="7">
        <f>COUNTBLANK(Extraction!$C$2:$C$111)</f>
        <v>0</v>
      </c>
      <c r="G12" s="8">
        <f t="shared" si="1"/>
        <v>0</v>
      </c>
      <c r="I12" t="s">
        <v>1686</v>
      </c>
      <c r="J12" s="7">
        <f>COUNTIF(Extraction!$BG$2:$BG$111,I12)</f>
        <v>1</v>
      </c>
      <c r="K12" s="8">
        <f t="shared" si="2"/>
        <v>9.0909090909090905E-3</v>
      </c>
      <c r="Q12" t="s">
        <v>1750</v>
      </c>
      <c r="R12" s="7">
        <f>COUNTBLANK(Extraction!$AE$2:$AE$111)</f>
        <v>3</v>
      </c>
      <c r="S12" s="8">
        <f t="shared" si="3"/>
        <v>2.7272727272727271E-2</v>
      </c>
    </row>
    <row r="13" spans="1:19" x14ac:dyDescent="0.25">
      <c r="A13">
        <v>2014</v>
      </c>
      <c r="B13" s="7">
        <f>COUNTIF(Extraction!$B$2:$B$111,A13)</f>
        <v>1</v>
      </c>
      <c r="C13" s="8">
        <f t="shared" si="0"/>
        <v>9.0909090909090905E-3</v>
      </c>
      <c r="I13" t="s">
        <v>732</v>
      </c>
      <c r="J13" s="7">
        <f>COUNTIF(Extraction!$BG$2:$BG$111,I13)</f>
        <v>2</v>
      </c>
      <c r="K13" s="8">
        <f t="shared" si="2"/>
        <v>1.8181818181818181E-2</v>
      </c>
    </row>
    <row r="14" spans="1:19" x14ac:dyDescent="0.25">
      <c r="A14">
        <v>2015</v>
      </c>
      <c r="B14" s="7">
        <f>COUNTIF(Extraction!$B$2:$B$111,A14)</f>
        <v>2</v>
      </c>
      <c r="C14" s="8">
        <f t="shared" si="0"/>
        <v>1.8181818181818181E-2</v>
      </c>
      <c r="I14" t="s">
        <v>1750</v>
      </c>
      <c r="J14" s="7">
        <f>COUNTBLANK(Extraction!$BG$2:$BG$111)</f>
        <v>3</v>
      </c>
      <c r="K14" s="8">
        <f t="shared" si="2"/>
        <v>2.7272727272727271E-2</v>
      </c>
    </row>
    <row r="15" spans="1:19" x14ac:dyDescent="0.25">
      <c r="A15">
        <v>2016</v>
      </c>
      <c r="B15" s="7">
        <f>COUNTIF(Extraction!$B$2:$B$111,A15)</f>
        <v>4</v>
      </c>
      <c r="C15" s="8">
        <f t="shared" si="0"/>
        <v>3.6363636363636362E-2</v>
      </c>
    </row>
    <row r="16" spans="1:19" x14ac:dyDescent="0.25">
      <c r="A16">
        <v>2017</v>
      </c>
      <c r="B16" s="7">
        <f>COUNTIF(Extraction!$B$2:$B$111,A16)</f>
        <v>10</v>
      </c>
      <c r="C16" s="8">
        <f t="shared" si="0"/>
        <v>9.0909090909090912E-2</v>
      </c>
    </row>
    <row r="17" spans="1:3" x14ac:dyDescent="0.25">
      <c r="A17">
        <v>2018</v>
      </c>
      <c r="B17" s="7">
        <f>COUNTIF(Extraction!$B$2:$B$111,A17)</f>
        <v>9</v>
      </c>
      <c r="C17" s="8">
        <f t="shared" si="0"/>
        <v>8.1818181818181818E-2</v>
      </c>
    </row>
    <row r="18" spans="1:3" x14ac:dyDescent="0.25">
      <c r="A18">
        <v>2019</v>
      </c>
      <c r="B18" s="7">
        <f>COUNTIF(Extraction!$B$2:$B$111,A18)</f>
        <v>20</v>
      </c>
      <c r="C18" s="8">
        <f t="shared" si="0"/>
        <v>0.18181818181818182</v>
      </c>
    </row>
    <row r="19" spans="1:3" x14ac:dyDescent="0.25">
      <c r="A19">
        <v>2020</v>
      </c>
      <c r="B19" s="7">
        <f>COUNTIF(Extraction!$B$2:$B$111,A19)</f>
        <v>14</v>
      </c>
      <c r="C19" s="8">
        <f t="shared" si="0"/>
        <v>0.12727272727272726</v>
      </c>
    </row>
    <row r="20" spans="1:3" x14ac:dyDescent="0.25">
      <c r="A20">
        <v>2021</v>
      </c>
      <c r="B20" s="7">
        <f>COUNTIF(Extraction!$B$2:$B$111,A20)</f>
        <v>7</v>
      </c>
      <c r="C20" s="8">
        <f t="shared" si="0"/>
        <v>6.363636363636363E-2</v>
      </c>
    </row>
    <row r="21" spans="1:3" x14ac:dyDescent="0.25">
      <c r="A21">
        <v>2022</v>
      </c>
      <c r="B21" s="7">
        <f>COUNTIF(Extraction!$B$2:$B$111,A21)</f>
        <v>8</v>
      </c>
      <c r="C21" s="8">
        <f t="shared" si="0"/>
        <v>7.2727272727272724E-2</v>
      </c>
    </row>
    <row r="22" spans="1:3" x14ac:dyDescent="0.25">
      <c r="A22">
        <v>2023</v>
      </c>
      <c r="B22" s="7">
        <f>COUNTIF(Extraction!$B$2:$B$111,A22)</f>
        <v>8</v>
      </c>
      <c r="C22" s="8">
        <f t="shared" si="0"/>
        <v>7.2727272727272724E-2</v>
      </c>
    </row>
    <row r="23" spans="1:3" x14ac:dyDescent="0.25">
      <c r="A23">
        <v>2024</v>
      </c>
      <c r="B23" s="7">
        <f>COUNTIF(Extraction!$B$2:$B$111,A23)</f>
        <v>6</v>
      </c>
      <c r="C23" s="8">
        <f t="shared" si="0"/>
        <v>5.4545454545454543E-2</v>
      </c>
    </row>
    <row r="24" spans="1:3" x14ac:dyDescent="0.25">
      <c r="A24">
        <v>2025</v>
      </c>
      <c r="B24" s="7">
        <f>COUNTIF(Extraction!$B$2:$B$111,A24)</f>
        <v>7</v>
      </c>
      <c r="C24" s="8">
        <f t="shared" si="0"/>
        <v>6.363636363636363E-2</v>
      </c>
    </row>
    <row r="25" spans="1:3" x14ac:dyDescent="0.25">
      <c r="A25">
        <v>2026</v>
      </c>
      <c r="B25" s="7">
        <f>COUNTIF(Extraction!$B$2:$B$111,A25)</f>
        <v>1</v>
      </c>
      <c r="C25" s="8">
        <f t="shared" si="0"/>
        <v>9.0909090909090905E-3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showGridLines="0" workbookViewId="0">
      <pane ySplit="3" topLeftCell="A4" activePane="bottomLeft" state="frozen"/>
      <selection pane="bottomLeft" activeCell="L51" sqref="L51"/>
    </sheetView>
  </sheetViews>
  <sheetFormatPr defaultRowHeight="15" x14ac:dyDescent="0.25"/>
  <cols>
    <col min="1" max="20" width="18.7109375" customWidth="1"/>
  </cols>
  <sheetData>
    <row r="1" spans="1:10" ht="21" x14ac:dyDescent="0.35">
      <c r="A1" s="4" t="s">
        <v>1756</v>
      </c>
    </row>
    <row r="2" spans="1:10" x14ac:dyDescent="0.25">
      <c r="A2" s="5" t="s">
        <v>1757</v>
      </c>
    </row>
    <row r="4" spans="1:10" ht="17.25" x14ac:dyDescent="0.3">
      <c r="A4" s="6" t="s">
        <v>1758</v>
      </c>
      <c r="E4" s="6" t="s">
        <v>1763</v>
      </c>
    </row>
    <row r="5" spans="1:10" x14ac:dyDescent="0.25">
      <c r="A5" s="3" t="s">
        <v>1759</v>
      </c>
      <c r="B5" s="3" t="s">
        <v>1747</v>
      </c>
      <c r="C5" s="3" t="s">
        <v>1748</v>
      </c>
      <c r="E5" s="3" t="s">
        <v>1759</v>
      </c>
      <c r="F5" s="3" t="s">
        <v>79</v>
      </c>
      <c r="G5" s="3" t="s">
        <v>92</v>
      </c>
      <c r="H5" s="3" t="s">
        <v>80</v>
      </c>
      <c r="I5" s="3" t="s">
        <v>106</v>
      </c>
      <c r="J5" s="3" t="s">
        <v>1750</v>
      </c>
    </row>
    <row r="6" spans="1:10" x14ac:dyDescent="0.25">
      <c r="A6" t="s">
        <v>1760</v>
      </c>
      <c r="B6" s="7">
        <f>COUNTIF(Extraction!$D$2:$D$111,"Yes")</f>
        <v>103</v>
      </c>
      <c r="C6" s="8">
        <f>B6/110</f>
        <v>0.9363636363636364</v>
      </c>
      <c r="E6" t="s">
        <v>1760</v>
      </c>
      <c r="F6" s="7">
        <f>COUNTIFS(Extraction!$D$2:$D$111,"Yes",Extraction!$AH$2:$AH$111,F$5)</f>
        <v>15</v>
      </c>
      <c r="G6" s="7">
        <f>COUNTIFS(Extraction!$D$2:$D$111,"Yes",Extraction!$AH$2:$AH$111,G$5)</f>
        <v>60</v>
      </c>
      <c r="H6" s="7">
        <f>COUNTIFS(Extraction!$D$2:$D$111,"Yes",Extraction!$AH$2:$AH$111,H$5)</f>
        <v>0</v>
      </c>
      <c r="I6" s="7">
        <f>COUNTIFS(Extraction!$D$2:$D$111,"Yes",Extraction!$AH$2:$AH$111,I$5)</f>
        <v>1</v>
      </c>
      <c r="J6" s="7">
        <f>COUNTIFS(Extraction!$D$2:$D$111,"Yes",Extraction!$AH$2:$AH$111,"")</f>
        <v>27</v>
      </c>
    </row>
    <row r="7" spans="1:10" x14ac:dyDescent="0.25">
      <c r="A7" t="s">
        <v>1761</v>
      </c>
      <c r="B7" s="7">
        <f>COUNTIF(Extraction!$E$2:$E$111,"Yes")</f>
        <v>101</v>
      </c>
      <c r="C7" s="8">
        <f>B7/110</f>
        <v>0.91818181818181821</v>
      </c>
      <c r="E7" t="s">
        <v>1761</v>
      </c>
      <c r="F7" s="7">
        <f>COUNTIFS(Extraction!$E$2:$E$111,"Yes",Extraction!$AC$2:$AC$111,F$5)</f>
        <v>59</v>
      </c>
      <c r="G7" s="7">
        <f>COUNTIFS(Extraction!$E$2:$E$111,"Yes",Extraction!$AC$2:$AC$111,G$5)</f>
        <v>19</v>
      </c>
      <c r="H7" s="7">
        <f>COUNTIFS(Extraction!$E$2:$E$111,"Yes",Extraction!$AC$2:$AC$111,H$5)</f>
        <v>0</v>
      </c>
      <c r="I7" s="7">
        <f>COUNTIFS(Extraction!$E$2:$E$111,"Yes",Extraction!$AC$2:$AC$111,I$5)</f>
        <v>0</v>
      </c>
      <c r="J7" s="7">
        <f>COUNTIFS(Extraction!$E$2:$E$111,"Yes",Extraction!$AC$2:$AC$111,"")</f>
        <v>23</v>
      </c>
    </row>
    <row r="8" spans="1:10" x14ac:dyDescent="0.25">
      <c r="A8" t="s">
        <v>1762</v>
      </c>
      <c r="B8" s="7">
        <f>COUNTIF(Extraction!$F$2:$F$111,"Yes")</f>
        <v>96</v>
      </c>
      <c r="C8" s="8">
        <f>B8/110</f>
        <v>0.87272727272727268</v>
      </c>
      <c r="E8" t="s">
        <v>1762</v>
      </c>
      <c r="F8" s="7">
        <f>COUNTIFS(Extraction!$F$2:$F$111,"Yes",Extraction!$AZ$2:$AZ$111,F$5)</f>
        <v>15</v>
      </c>
      <c r="G8" s="7">
        <f>COUNTIFS(Extraction!$F$2:$F$111,"Yes",Extraction!$AZ$2:$AZ$111,G$5)</f>
        <v>53</v>
      </c>
      <c r="H8" s="7">
        <f>COUNTIFS(Extraction!$F$2:$F$111,"Yes",Extraction!$AZ$2:$AZ$111,H$5)</f>
        <v>1</v>
      </c>
      <c r="I8" s="7">
        <f>COUNTIFS(Extraction!$F$2:$F$111,"Yes",Extraction!$AZ$2:$AZ$111,I$5)</f>
        <v>1</v>
      </c>
      <c r="J8" s="7">
        <f>COUNTIFS(Extraction!$F$2:$F$111,"Yes",Extraction!$AZ$2:$AZ$111,"")</f>
        <v>26</v>
      </c>
    </row>
    <row r="11" spans="1:10" ht="17.25" x14ac:dyDescent="0.3">
      <c r="A11" s="6" t="s">
        <v>1764</v>
      </c>
      <c r="E11" s="6" t="s">
        <v>1772</v>
      </c>
    </row>
    <row r="12" spans="1:10" x14ac:dyDescent="0.25">
      <c r="A12" s="3" t="s">
        <v>1765</v>
      </c>
      <c r="B12" s="3" t="s">
        <v>1747</v>
      </c>
      <c r="C12" s="3" t="s">
        <v>1766</v>
      </c>
      <c r="E12" s="3" t="s">
        <v>1765</v>
      </c>
      <c r="F12" s="3" t="s">
        <v>1760</v>
      </c>
      <c r="G12" s="3" t="s">
        <v>1761</v>
      </c>
      <c r="H12" s="3" t="s">
        <v>1762</v>
      </c>
    </row>
    <row r="13" spans="1:10" x14ac:dyDescent="0.25">
      <c r="A13" t="s">
        <v>1253</v>
      </c>
      <c r="B13" s="7">
        <f>COUNTIF(Extraction!$AN$2:$AN$111,"*"&amp;A13&amp;"*")</f>
        <v>58</v>
      </c>
      <c r="C13" s="8">
        <f t="shared" ref="C13:C19" si="0">B13/110</f>
        <v>0.52727272727272723</v>
      </c>
      <c r="E13" t="s">
        <v>1253</v>
      </c>
      <c r="F13" s="7">
        <f>COUNTIFS(Extraction!$D$2:$D$111,"Yes",Extraction!$AN$2:$AN$111,"*"&amp;E13&amp;"*")</f>
        <v>52</v>
      </c>
      <c r="G13" s="7">
        <f>COUNTIFS(Extraction!$E$2:$E$111,"Yes",Extraction!$AN$2:$AN$111,"*"&amp;E13&amp;"*")</f>
        <v>53</v>
      </c>
      <c r="H13" s="7">
        <f>COUNTIFS(Extraction!$F$2:$F$111,"Yes",Extraction!$AN$2:$AN$111,"*"&amp;E13&amp;"*")</f>
        <v>49</v>
      </c>
    </row>
    <row r="14" spans="1:10" x14ac:dyDescent="0.25">
      <c r="A14" t="s">
        <v>1767</v>
      </c>
      <c r="B14" s="7">
        <f>COUNTIF(Extraction!$AN$2:$AN$111,"*"&amp;A14&amp;"*")</f>
        <v>44</v>
      </c>
      <c r="C14" s="8">
        <f t="shared" si="0"/>
        <v>0.4</v>
      </c>
      <c r="E14" t="s">
        <v>1767</v>
      </c>
      <c r="F14" s="7">
        <f>COUNTIFS(Extraction!$D$2:$D$111,"Yes",Extraction!$AN$2:$AN$111,"*"&amp;E14&amp;"*")</f>
        <v>40</v>
      </c>
      <c r="G14" s="7">
        <f>COUNTIFS(Extraction!$E$2:$E$111,"Yes",Extraction!$AN$2:$AN$111,"*"&amp;E14&amp;"*")</f>
        <v>41</v>
      </c>
      <c r="H14" s="7">
        <f>COUNTIFS(Extraction!$F$2:$F$111,"Yes",Extraction!$AN$2:$AN$111,"*"&amp;E14&amp;"*")</f>
        <v>40</v>
      </c>
    </row>
    <row r="15" spans="1:10" x14ac:dyDescent="0.25">
      <c r="A15" t="s">
        <v>1768</v>
      </c>
      <c r="B15" s="7">
        <f>COUNTIF(Extraction!$AN$2:$AN$111,"*"&amp;A15&amp;"*")</f>
        <v>23</v>
      </c>
      <c r="C15" s="8">
        <f t="shared" si="0"/>
        <v>0.20909090909090908</v>
      </c>
      <c r="E15" t="s">
        <v>1768</v>
      </c>
      <c r="F15" s="7">
        <f>COUNTIFS(Extraction!$D$2:$D$111,"Yes",Extraction!$AN$2:$AN$111,"*"&amp;E15&amp;"*")</f>
        <v>21</v>
      </c>
      <c r="G15" s="7">
        <f>COUNTIFS(Extraction!$E$2:$E$111,"Yes",Extraction!$AN$2:$AN$111,"*"&amp;E15&amp;"*")</f>
        <v>22</v>
      </c>
      <c r="H15" s="7">
        <f>COUNTIFS(Extraction!$F$2:$F$111,"Yes",Extraction!$AN$2:$AN$111,"*"&amp;E15&amp;"*")</f>
        <v>21</v>
      </c>
    </row>
    <row r="16" spans="1:10" x14ac:dyDescent="0.25">
      <c r="A16" t="s">
        <v>1769</v>
      </c>
      <c r="B16" s="7">
        <f>COUNTIF(Extraction!$AN$2:$AN$111,"*"&amp;A16&amp;"*")</f>
        <v>47</v>
      </c>
      <c r="C16" s="8">
        <f t="shared" si="0"/>
        <v>0.42727272727272725</v>
      </c>
      <c r="E16" t="s">
        <v>1769</v>
      </c>
      <c r="F16" s="7">
        <f>COUNTIFS(Extraction!$D$2:$D$111,"Yes",Extraction!$AN$2:$AN$111,"*"&amp;E16&amp;"*")</f>
        <v>47</v>
      </c>
      <c r="G16" s="7">
        <f>COUNTIFS(Extraction!$E$2:$E$111,"Yes",Extraction!$AN$2:$AN$111,"*"&amp;E16&amp;"*")</f>
        <v>43</v>
      </c>
      <c r="H16" s="7">
        <f>COUNTIFS(Extraction!$F$2:$F$111,"Yes",Extraction!$AN$2:$AN$111,"*"&amp;E16&amp;"*")</f>
        <v>46</v>
      </c>
    </row>
    <row r="17" spans="1:8" x14ac:dyDescent="0.25">
      <c r="A17" t="s">
        <v>1770</v>
      </c>
      <c r="B17" s="7">
        <f>COUNTIF(Extraction!$AN$2:$AN$111,"*"&amp;A17&amp;"*")</f>
        <v>9</v>
      </c>
      <c r="C17" s="8">
        <f t="shared" si="0"/>
        <v>8.1818181818181818E-2</v>
      </c>
      <c r="E17" t="s">
        <v>1770</v>
      </c>
      <c r="F17" s="7">
        <f>COUNTIFS(Extraction!$D$2:$D$111,"Yes",Extraction!$AN$2:$AN$111,"*"&amp;E17&amp;"*")</f>
        <v>9</v>
      </c>
      <c r="G17" s="7">
        <f>COUNTIFS(Extraction!$E$2:$E$111,"Yes",Extraction!$AN$2:$AN$111,"*"&amp;E17&amp;"*")</f>
        <v>8</v>
      </c>
      <c r="H17" s="7">
        <f>COUNTIFS(Extraction!$F$2:$F$111,"Yes",Extraction!$AN$2:$AN$111,"*"&amp;E17&amp;"*")</f>
        <v>9</v>
      </c>
    </row>
    <row r="18" spans="1:8" x14ac:dyDescent="0.25">
      <c r="A18" t="s">
        <v>1771</v>
      </c>
      <c r="B18" s="7">
        <f>COUNTIF(Extraction!$AN$2:$AN$111,"*"&amp;A18&amp;"*")</f>
        <v>31</v>
      </c>
      <c r="C18" s="8">
        <f t="shared" si="0"/>
        <v>0.2818181818181818</v>
      </c>
      <c r="E18" t="s">
        <v>1771</v>
      </c>
      <c r="F18" s="7">
        <f>COUNTIFS(Extraction!$D$2:$D$111,"Yes",Extraction!$AN$2:$AN$111,"*"&amp;E18&amp;"*")</f>
        <v>31</v>
      </c>
      <c r="G18" s="7">
        <f>COUNTIFS(Extraction!$E$2:$E$111,"Yes",Extraction!$AN$2:$AN$111,"*"&amp;E18&amp;"*")</f>
        <v>28</v>
      </c>
      <c r="H18" s="7">
        <f>COUNTIFS(Extraction!$F$2:$F$111,"Yes",Extraction!$AN$2:$AN$111,"*"&amp;E18&amp;"*")</f>
        <v>30</v>
      </c>
    </row>
    <row r="19" spans="1:8" x14ac:dyDescent="0.25">
      <c r="A19" t="s">
        <v>143</v>
      </c>
      <c r="B19" s="7">
        <f>COUNTIF(Extraction!$AN$2:$AN$111,"*"&amp;A19&amp;"*")</f>
        <v>95</v>
      </c>
      <c r="C19" s="8">
        <f t="shared" si="0"/>
        <v>0.86363636363636365</v>
      </c>
      <c r="E19" t="s">
        <v>143</v>
      </c>
      <c r="F19" s="7">
        <f>COUNTIFS(Extraction!$D$2:$D$111,"Yes",Extraction!$AN$2:$AN$111,"*"&amp;E19&amp;"*")</f>
        <v>89</v>
      </c>
      <c r="G19" s="7">
        <f>COUNTIFS(Extraction!$E$2:$E$111,"Yes",Extraction!$AN$2:$AN$111,"*"&amp;E19&amp;"*")</f>
        <v>87</v>
      </c>
      <c r="H19" s="7">
        <f>COUNTIFS(Extraction!$F$2:$F$111,"Yes",Extraction!$AN$2:$AN$111,"*"&amp;E19&amp;"*")</f>
        <v>85</v>
      </c>
    </row>
  </sheetData>
  <conditionalFormatting sqref="F13:H19">
    <cfRule type="colorScale" priority="1">
      <colorScale>
        <cfvo type="min"/>
        <cfvo type="percentile" val="50"/>
        <cfvo type="max"/>
        <color rgb="FFFFF2CC"/>
        <color rgb="FFFFD966"/>
        <color rgb="FFBF9000"/>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3"/>
  <sheetViews>
    <sheetView showGridLines="0" workbookViewId="0">
      <pane ySplit="3" topLeftCell="A9" activePane="bottomLeft" state="frozen"/>
      <selection pane="bottomLeft" activeCell="Q48" sqref="Q48"/>
    </sheetView>
  </sheetViews>
  <sheetFormatPr defaultRowHeight="15" x14ac:dyDescent="0.25"/>
  <cols>
    <col min="1" max="20" width="18.7109375" customWidth="1"/>
  </cols>
  <sheetData>
    <row r="1" spans="1:13" ht="21" x14ac:dyDescent="0.35">
      <c r="A1" s="4" t="s">
        <v>1773</v>
      </c>
    </row>
    <row r="2" spans="1:13" x14ac:dyDescent="0.25">
      <c r="A2" s="5" t="s">
        <v>1774</v>
      </c>
    </row>
    <row r="4" spans="1:13" ht="17.25" x14ac:dyDescent="0.3">
      <c r="A4" s="6" t="s">
        <v>1775</v>
      </c>
      <c r="E4" s="6" t="s">
        <v>1783</v>
      </c>
      <c r="H4" s="6" t="s">
        <v>1789</v>
      </c>
      <c r="L4" s="6" t="s">
        <v>1791</v>
      </c>
    </row>
    <row r="5" spans="1:13" x14ac:dyDescent="0.25">
      <c r="A5" s="3" t="s">
        <v>1776</v>
      </c>
      <c r="B5" s="3" t="s">
        <v>1747</v>
      </c>
      <c r="C5" s="3" t="s">
        <v>1748</v>
      </c>
      <c r="E5" s="3" t="s">
        <v>1784</v>
      </c>
      <c r="F5" s="3" t="s">
        <v>1747</v>
      </c>
      <c r="H5" s="3" t="s">
        <v>1790</v>
      </c>
      <c r="I5" s="3" t="s">
        <v>1747</v>
      </c>
      <c r="J5" s="3" t="s">
        <v>1748</v>
      </c>
      <c r="L5" s="3" t="s">
        <v>1792</v>
      </c>
      <c r="M5" s="3" t="s">
        <v>1747</v>
      </c>
    </row>
    <row r="6" spans="1:13" x14ac:dyDescent="0.25">
      <c r="A6" t="s">
        <v>1777</v>
      </c>
      <c r="B6" s="7">
        <f>COUNTIF(Extraction!$G$2:$G$111,"Yes")</f>
        <v>20</v>
      </c>
      <c r="C6" s="8">
        <f t="shared" ref="C6:C11" si="0">B6/110</f>
        <v>0.18181818181818182</v>
      </c>
      <c r="E6" t="s">
        <v>1268</v>
      </c>
      <c r="F6" s="7">
        <f>COUNTIFS(Extraction!$G$2:$G$111,"Yes",Extraction!$AK$2:$AK$111,"*"&amp;E6&amp;"*")</f>
        <v>5</v>
      </c>
      <c r="H6" t="s">
        <v>100</v>
      </c>
      <c r="I6" s="7">
        <f>COUNTIF(Extraction!$BB$2:$BB$111,H6)</f>
        <v>81</v>
      </c>
      <c r="J6" s="8">
        <f>I6/110</f>
        <v>0.73636363636363633</v>
      </c>
      <c r="L6" t="s">
        <v>102</v>
      </c>
      <c r="M6" s="7">
        <f>COUNTIF(Extraction!$BD$2:$BD$111,"*"&amp;L6&amp;"*")</f>
        <v>84</v>
      </c>
    </row>
    <row r="7" spans="1:13" x14ac:dyDescent="0.25">
      <c r="A7" t="s">
        <v>1778</v>
      </c>
      <c r="B7" s="7">
        <f>COUNTIF(Extraction!$H$2:$H$111,"Yes")</f>
        <v>110</v>
      </c>
      <c r="C7" s="8">
        <f t="shared" si="0"/>
        <v>1</v>
      </c>
      <c r="E7" t="s">
        <v>1785</v>
      </c>
      <c r="F7" s="7">
        <f>COUNTIFS(Extraction!$G$2:$G$111,"Yes",Extraction!$AK$2:$AK$111,"*"&amp;E7&amp;"*")</f>
        <v>1</v>
      </c>
      <c r="H7" t="s">
        <v>303</v>
      </c>
      <c r="I7" s="7">
        <f>COUNTIF(Extraction!$BB$2:$BB$111,H7)</f>
        <v>24</v>
      </c>
      <c r="J7" s="8">
        <f>I7/110</f>
        <v>0.21818181818181817</v>
      </c>
      <c r="L7" t="s">
        <v>1793</v>
      </c>
      <c r="M7" s="7">
        <f>COUNTIF(Extraction!$BD$2:$BD$111,"*"&amp;L7&amp;"*")</f>
        <v>2</v>
      </c>
    </row>
    <row r="8" spans="1:13" x14ac:dyDescent="0.25">
      <c r="A8" t="s">
        <v>1779</v>
      </c>
      <c r="B8" s="7">
        <f>COUNTIF(Extraction!$I$2:$I$111,"Yes")</f>
        <v>102</v>
      </c>
      <c r="C8" s="8">
        <f t="shared" si="0"/>
        <v>0.92727272727272725</v>
      </c>
      <c r="E8" t="s">
        <v>1786</v>
      </c>
      <c r="F8" s="7">
        <f>COUNTIFS(Extraction!$G$2:$G$111,"Yes",Extraction!$AK$2:$AK$111,"*"&amp;E8&amp;"*")</f>
        <v>1</v>
      </c>
      <c r="H8" t="s">
        <v>1143</v>
      </c>
      <c r="I8" s="7">
        <f>COUNTIF(Extraction!$BB$2:$BB$111,H8)</f>
        <v>5</v>
      </c>
      <c r="J8" s="8">
        <f>I8/110</f>
        <v>4.5454545454545456E-2</v>
      </c>
      <c r="L8" t="s">
        <v>1794</v>
      </c>
      <c r="M8" s="7">
        <f>COUNTIF(Extraction!$BD$2:$BD$111,"*"&amp;L8&amp;"*")</f>
        <v>6</v>
      </c>
    </row>
    <row r="9" spans="1:13" x14ac:dyDescent="0.25">
      <c r="A9" t="s">
        <v>1780</v>
      </c>
      <c r="B9" s="7">
        <f>COUNTIF(Extraction!$BL$2:$BL$111,"Yes")</f>
        <v>94</v>
      </c>
      <c r="C9" s="8">
        <f t="shared" si="0"/>
        <v>0.8545454545454545</v>
      </c>
      <c r="E9" t="s">
        <v>277</v>
      </c>
      <c r="F9" s="7">
        <f>COUNTIFS(Extraction!$G$2:$G$111,"Yes",Extraction!$AK$2:$AK$111,"*"&amp;E9&amp;"*")</f>
        <v>6</v>
      </c>
      <c r="H9" t="s">
        <v>106</v>
      </c>
      <c r="I9" s="7">
        <f>COUNTIF(Extraction!$BB$2:$BB$111,H9)</f>
        <v>0</v>
      </c>
      <c r="J9" s="8">
        <f>I9/110</f>
        <v>0</v>
      </c>
      <c r="L9" t="s">
        <v>1795</v>
      </c>
      <c r="M9" s="7">
        <f>COUNTIF(Extraction!$BD$2:$BD$111,"*"&amp;L9&amp;"*")</f>
        <v>15</v>
      </c>
    </row>
    <row r="10" spans="1:13" x14ac:dyDescent="0.25">
      <c r="A10" t="s">
        <v>1781</v>
      </c>
      <c r="B10" s="7">
        <f>COUNTIF(Extraction!$J$2:$J$111,"Yes")</f>
        <v>6</v>
      </c>
      <c r="C10" s="8">
        <f t="shared" si="0"/>
        <v>5.4545454545454543E-2</v>
      </c>
      <c r="E10" t="s">
        <v>1072</v>
      </c>
      <c r="F10" s="7">
        <f>COUNTIFS(Extraction!$G$2:$G$111,"Yes",Extraction!$AK$2:$AK$111,"*"&amp;E10&amp;"*")</f>
        <v>6</v>
      </c>
      <c r="L10" t="s">
        <v>1259</v>
      </c>
      <c r="M10" s="7">
        <f>COUNTIF(Extraction!$BD$2:$BD$111,"*"&amp;L10&amp;"*")</f>
        <v>30</v>
      </c>
    </row>
    <row r="11" spans="1:13" x14ac:dyDescent="0.25">
      <c r="A11" t="s">
        <v>1782</v>
      </c>
      <c r="B11" s="7">
        <f>COUNTIF(Extraction!$K$2:$K$111,"Yes")</f>
        <v>7</v>
      </c>
      <c r="C11" s="8">
        <f t="shared" si="0"/>
        <v>6.363636363636363E-2</v>
      </c>
      <c r="E11" t="s">
        <v>1787</v>
      </c>
      <c r="F11" s="7">
        <f>COUNTIFS(Extraction!$G$2:$G$111,"Yes",Extraction!$AK$2:$AK$111,"*"&amp;E11&amp;"*")</f>
        <v>2</v>
      </c>
      <c r="L11" t="s">
        <v>143</v>
      </c>
      <c r="M11" s="7">
        <f>COUNTIF(Extraction!$BD$2:$BD$111,"*"&amp;L11&amp;"*")</f>
        <v>39</v>
      </c>
    </row>
    <row r="12" spans="1:13" x14ac:dyDescent="0.25">
      <c r="E12" t="s">
        <v>1788</v>
      </c>
      <c r="F12" s="7">
        <f>COUNTIFS(Extraction!$G$2:$G$111,"Yes",Extraction!$AK$2:$AK$111,"*"&amp;E12&amp;"*")</f>
        <v>0</v>
      </c>
      <c r="L12" t="s">
        <v>155</v>
      </c>
      <c r="M12" s="7">
        <f>COUNTBLANK(Extraction!$BD$2:$BD$111)</f>
        <v>1</v>
      </c>
    </row>
    <row r="13" spans="1:13" x14ac:dyDescent="0.25">
      <c r="E13" t="s">
        <v>143</v>
      </c>
      <c r="F13" s="7">
        <f>COUNTIFS(Extraction!$G$2:$G$111,"Yes",Extraction!$AK$2:$AK$111,"*"&amp;E13&amp;"*")</f>
        <v>8</v>
      </c>
    </row>
    <row r="14" spans="1:13" x14ac:dyDescent="0.25">
      <c r="E14" t="s">
        <v>155</v>
      </c>
      <c r="F14" s="7">
        <f>COUNTIFS(Extraction!$G$2:$G$111,"Yes",Extraction!$AK$2:$AK$111,"*"&amp;E14&amp;"*")</f>
        <v>2</v>
      </c>
    </row>
    <row r="15" spans="1:13" ht="17.25" x14ac:dyDescent="0.3">
      <c r="A15" s="6" t="s">
        <v>1796</v>
      </c>
      <c r="F15" s="6" t="s">
        <v>1797</v>
      </c>
    </row>
    <row r="16" spans="1:13" ht="30" x14ac:dyDescent="0.25">
      <c r="A16" s="3" t="s">
        <v>1754</v>
      </c>
      <c r="B16" s="3" t="s">
        <v>23</v>
      </c>
      <c r="C16" s="3" t="s">
        <v>24</v>
      </c>
      <c r="D16" s="3" t="s">
        <v>43</v>
      </c>
      <c r="F16" s="3" t="s">
        <v>1784</v>
      </c>
      <c r="G16" s="3" t="s">
        <v>1747</v>
      </c>
    </row>
    <row r="17" spans="1:7" x14ac:dyDescent="0.25">
      <c r="A17" t="s">
        <v>79</v>
      </c>
      <c r="B17" s="7">
        <f>COUNTIF(Extraction!$L$2:$L$111,A17)</f>
        <v>27</v>
      </c>
      <c r="C17" s="7">
        <f>COUNTIF(Extraction!$M$2:$M$111,A17)</f>
        <v>15</v>
      </c>
      <c r="D17" s="7">
        <f>COUNTIF(Extraction!$AF$2:$AF$111,A17)</f>
        <v>51</v>
      </c>
      <c r="F17" t="s">
        <v>107</v>
      </c>
      <c r="G17" s="7">
        <f>COUNTIF(Extraction!$BJ$2:$BJ$111,"*"&amp;F17&amp;"*")</f>
        <v>79</v>
      </c>
    </row>
    <row r="18" spans="1:7" x14ac:dyDescent="0.25">
      <c r="A18" t="s">
        <v>92</v>
      </c>
      <c r="B18" s="7">
        <f>COUNTIF(Extraction!$L$2:$L$111,A18)</f>
        <v>29</v>
      </c>
      <c r="C18" s="7">
        <f>COUNTIF(Extraction!$M$2:$M$111,A18)</f>
        <v>36</v>
      </c>
      <c r="D18" s="7">
        <f>COUNTIF(Extraction!$AF$2:$AF$111,A18)</f>
        <v>0</v>
      </c>
      <c r="F18" t="s">
        <v>1798</v>
      </c>
      <c r="G18" s="7">
        <f>COUNTIF(Extraction!$BJ$2:$BJ$111,"*"&amp;F18&amp;"*")</f>
        <v>9</v>
      </c>
    </row>
    <row r="19" spans="1:7" x14ac:dyDescent="0.25">
      <c r="A19" t="s">
        <v>80</v>
      </c>
      <c r="B19" s="7">
        <f>COUNTIF(Extraction!$L$2:$L$111,A19)</f>
        <v>50</v>
      </c>
      <c r="C19" s="7">
        <f>COUNTIF(Extraction!$M$2:$M$111,A19)</f>
        <v>59</v>
      </c>
      <c r="D19" s="7">
        <f>COUNTIF(Extraction!$AF$2:$AF$111,A19)</f>
        <v>28</v>
      </c>
      <c r="F19" t="s">
        <v>1298</v>
      </c>
      <c r="G19" s="7">
        <f>COUNTIF(Extraction!$BJ$2:$BJ$111,"*"&amp;F19&amp;"*")</f>
        <v>7</v>
      </c>
    </row>
    <row r="20" spans="1:7" x14ac:dyDescent="0.25">
      <c r="A20" t="s">
        <v>106</v>
      </c>
      <c r="B20" s="7">
        <f>COUNTIF(Extraction!$L$2:$L$111,A20)</f>
        <v>4</v>
      </c>
      <c r="C20" s="7">
        <f>COUNTIF(Extraction!$M$2:$M$111,A20)</f>
        <v>0</v>
      </c>
      <c r="D20" s="7">
        <f>COUNTIF(Extraction!$AF$2:$AF$111,A20)</f>
        <v>30</v>
      </c>
      <c r="F20" t="s">
        <v>367</v>
      </c>
      <c r="G20" s="7">
        <f>COUNTIF(Extraction!$BJ$2:$BJ$111,"*"&amp;F20&amp;"*")</f>
        <v>15</v>
      </c>
    </row>
    <row r="21" spans="1:7" x14ac:dyDescent="0.25">
      <c r="A21" t="s">
        <v>1750</v>
      </c>
      <c r="B21" s="7">
        <f>COUNTBLANK(Extraction!$L$2:$L$111)</f>
        <v>0</v>
      </c>
      <c r="C21" s="7">
        <f>COUNTBLANK(Extraction!$M$2:$M$111)</f>
        <v>0</v>
      </c>
      <c r="D21" s="7">
        <f>COUNTBLANK(Extraction!$AF$2:$AF$111)</f>
        <v>1</v>
      </c>
      <c r="F21" t="s">
        <v>545</v>
      </c>
      <c r="G21" s="7">
        <f>COUNTIF(Extraction!$BJ$2:$BJ$111,"*"&amp;F21&amp;"*")</f>
        <v>6</v>
      </c>
    </row>
    <row r="22" spans="1:7" x14ac:dyDescent="0.25">
      <c r="F22" t="s">
        <v>143</v>
      </c>
      <c r="G22" s="7">
        <f>COUNTIF(Extraction!$BJ$2:$BJ$111,"*"&amp;F22&amp;"*")</f>
        <v>8</v>
      </c>
    </row>
    <row r="23" spans="1:7" x14ac:dyDescent="0.25">
      <c r="F23" t="s">
        <v>155</v>
      </c>
      <c r="G23" s="7">
        <f>COUNTBLANK(Extraction!$BJ$2:$BJ$111)</f>
        <v>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1"/>
  <sheetViews>
    <sheetView showGridLines="0" workbookViewId="0">
      <pane ySplit="3" topLeftCell="A4" activePane="bottomLeft" state="frozen"/>
      <selection pane="bottomLeft" activeCell="O16" sqref="O16"/>
    </sheetView>
  </sheetViews>
  <sheetFormatPr defaultRowHeight="15" x14ac:dyDescent="0.25"/>
  <cols>
    <col min="1" max="20" width="18.7109375" customWidth="1"/>
  </cols>
  <sheetData>
    <row r="1" spans="1:9" ht="21" x14ac:dyDescent="0.35">
      <c r="A1" s="4" t="s">
        <v>1799</v>
      </c>
    </row>
    <row r="2" spans="1:9" x14ac:dyDescent="0.25">
      <c r="A2" s="5" t="s">
        <v>1800</v>
      </c>
    </row>
    <row r="4" spans="1:9" ht="17.25" x14ac:dyDescent="0.3">
      <c r="A4" s="6" t="s">
        <v>1801</v>
      </c>
      <c r="E4" s="6" t="s">
        <v>1803</v>
      </c>
    </row>
    <row r="5" spans="1:9" ht="30" x14ac:dyDescent="0.25">
      <c r="A5" s="3" t="s">
        <v>1802</v>
      </c>
      <c r="B5" s="3" t="s">
        <v>80</v>
      </c>
      <c r="C5" s="3" t="s">
        <v>79</v>
      </c>
      <c r="E5" s="3" t="s">
        <v>1804</v>
      </c>
      <c r="F5" s="3" t="s">
        <v>79</v>
      </c>
      <c r="G5" s="3" t="s">
        <v>80</v>
      </c>
      <c r="H5" s="3" t="s">
        <v>106</v>
      </c>
      <c r="I5" s="3" t="s">
        <v>1750</v>
      </c>
    </row>
    <row r="6" spans="1:9" x14ac:dyDescent="0.25">
      <c r="A6" t="s">
        <v>80</v>
      </c>
      <c r="B6" s="7">
        <f>COUNTIFS(Extraction!$J$2:$J$111,$A6,Extraction!$K$2:$K$111,B$5)</f>
        <v>100</v>
      </c>
      <c r="C6" s="7">
        <f>COUNTIFS(Extraction!$J$2:$J$111,$A6,Extraction!$K$2:$K$111,C$5)</f>
        <v>4</v>
      </c>
      <c r="E6" t="s">
        <v>79</v>
      </c>
      <c r="F6" s="7">
        <f>COUNTIFS(Extraction!$K$2:$K$111,"Yes",Extraction!$AY$2:$AY$111,$E6,Extraction!$AW$2:$AW$111,F$5)</f>
        <v>1</v>
      </c>
      <c r="G6" s="7">
        <f>COUNTIFS(Extraction!$K$2:$K$111,"Yes",Extraction!$AY$2:$AY$111,$E6,Extraction!$AW$2:$AW$111,G$5)</f>
        <v>0</v>
      </c>
      <c r="H6" s="7">
        <f>COUNTIFS(Extraction!$K$2:$K$111,"Yes",Extraction!$AY$2:$AY$111,$E6,Extraction!$AW$2:$AW$111,H$5)</f>
        <v>0</v>
      </c>
      <c r="I6" s="7">
        <f>COUNTIFS(Extraction!$K$2:$K$111,"Yes",Extraction!$AY$2:$AY$111,$E6,Extraction!$AW$2:$AW$111,"")</f>
        <v>0</v>
      </c>
    </row>
    <row r="7" spans="1:9" x14ac:dyDescent="0.25">
      <c r="A7" t="s">
        <v>79</v>
      </c>
      <c r="B7" s="7">
        <f>COUNTIFS(Extraction!$J$2:$J$111,$A7,Extraction!$K$2:$K$111,B$5)</f>
        <v>3</v>
      </c>
      <c r="C7" s="7">
        <f>COUNTIFS(Extraction!$J$2:$J$111,$A7,Extraction!$K$2:$K$111,C$5)</f>
        <v>3</v>
      </c>
      <c r="E7" t="s">
        <v>80</v>
      </c>
      <c r="F7" s="7">
        <f>COUNTIFS(Extraction!$K$2:$K$111,"Yes",Extraction!$AY$2:$AY$111,$E7,Extraction!$AW$2:$AW$111,F$5)</f>
        <v>0</v>
      </c>
      <c r="G7" s="7">
        <f>COUNTIFS(Extraction!$K$2:$K$111,"Yes",Extraction!$AY$2:$AY$111,$E7,Extraction!$AW$2:$AW$111,G$5)</f>
        <v>0</v>
      </c>
      <c r="H7" s="7">
        <f>COUNTIFS(Extraction!$K$2:$K$111,"Yes",Extraction!$AY$2:$AY$111,$E7,Extraction!$AW$2:$AW$111,H$5)</f>
        <v>1</v>
      </c>
      <c r="I7" s="7">
        <f>COUNTIFS(Extraction!$K$2:$K$111,"Yes",Extraction!$AY$2:$AY$111,$E7,Extraction!$AW$2:$AW$111,"")</f>
        <v>0</v>
      </c>
    </row>
    <row r="8" spans="1:9" x14ac:dyDescent="0.25">
      <c r="E8" t="s">
        <v>106</v>
      </c>
      <c r="F8" s="7">
        <f>COUNTIFS(Extraction!$K$2:$K$111,"Yes",Extraction!$AY$2:$AY$111,$E8,Extraction!$AW$2:$AW$111,F$5)</f>
        <v>1</v>
      </c>
      <c r="G8" s="7">
        <f>COUNTIFS(Extraction!$K$2:$K$111,"Yes",Extraction!$AY$2:$AY$111,$E8,Extraction!$AW$2:$AW$111,G$5)</f>
        <v>0</v>
      </c>
      <c r="H8" s="7">
        <f>COUNTIFS(Extraction!$K$2:$K$111,"Yes",Extraction!$AY$2:$AY$111,$E8,Extraction!$AW$2:$AW$111,H$5)</f>
        <v>4</v>
      </c>
      <c r="I8" s="7">
        <f>COUNTIFS(Extraction!$K$2:$K$111,"Yes",Extraction!$AY$2:$AY$111,$E8,Extraction!$AW$2:$AW$111,"")</f>
        <v>0</v>
      </c>
    </row>
    <row r="9" spans="1:9" x14ac:dyDescent="0.25">
      <c r="E9" t="s">
        <v>1750</v>
      </c>
      <c r="F9" s="7">
        <f>COUNTIFS(Extraction!$K$2:$K$111,"Yes",Extraction!$AY$2:$AY$111,"",Extraction!$AW$2:$AW$111,F$5)</f>
        <v>0</v>
      </c>
      <c r="G9" s="7">
        <f>COUNTIFS(Extraction!$K$2:$K$111,"Yes",Extraction!$AY$2:$AY$111,"",Extraction!$AW$2:$AW$111,G$5)</f>
        <v>0</v>
      </c>
      <c r="H9" s="7">
        <f>COUNTIFS(Extraction!$K$2:$K$111,"Yes",Extraction!$AY$2:$AY$111,"",Extraction!$AW$2:$AW$111,H$5)</f>
        <v>0</v>
      </c>
      <c r="I9" s="7">
        <f>COUNTIFS(Extraction!$K$2:$K$111,"Yes",Extraction!$AY$2:$AY$111,"",Extraction!$AW$2:$AW$111,"")</f>
        <v>0</v>
      </c>
    </row>
    <row r="12" spans="1:9" ht="17.25" x14ac:dyDescent="0.3">
      <c r="A12" s="6" t="s">
        <v>25</v>
      </c>
      <c r="E12" s="6" t="s">
        <v>1813</v>
      </c>
    </row>
    <row r="13" spans="1:9" ht="30" x14ac:dyDescent="0.25">
      <c r="A13" s="3" t="s">
        <v>1805</v>
      </c>
      <c r="B13" s="3" t="s">
        <v>1747</v>
      </c>
      <c r="C13" s="3" t="s">
        <v>1766</v>
      </c>
      <c r="E13" s="3" t="s">
        <v>1805</v>
      </c>
      <c r="F13" s="3" t="s">
        <v>1814</v>
      </c>
    </row>
    <row r="14" spans="1:9" x14ac:dyDescent="0.25">
      <c r="A14" t="s">
        <v>1806</v>
      </c>
      <c r="B14" s="7">
        <f>COUNTIF(Extraction!$N$2:$N$111,"*"&amp;A14&amp;"*")</f>
        <v>27</v>
      </c>
      <c r="C14" s="8">
        <f t="shared" ref="C14:C21" si="0">B14/110</f>
        <v>0.24545454545454545</v>
      </c>
      <c r="E14" t="s">
        <v>1806</v>
      </c>
      <c r="F14" s="7">
        <f>COUNTIF(RQ3_raw!$I$2:$I$11,"*"&amp;E14&amp;"*")</f>
        <v>4</v>
      </c>
    </row>
    <row r="15" spans="1:9" x14ac:dyDescent="0.25">
      <c r="A15" t="s">
        <v>1807</v>
      </c>
      <c r="B15" s="7">
        <f>COUNTIF(Extraction!$N$2:$N$111,"*"&amp;A15&amp;"*")</f>
        <v>59</v>
      </c>
      <c r="C15" s="8">
        <f t="shared" si="0"/>
        <v>0.53636363636363638</v>
      </c>
      <c r="E15" t="s">
        <v>1807</v>
      </c>
      <c r="F15" s="7">
        <f>COUNTIF(RQ3_raw!$I$2:$I$11,"*"&amp;E15&amp;"*")</f>
        <v>5</v>
      </c>
    </row>
    <row r="16" spans="1:9" x14ac:dyDescent="0.25">
      <c r="A16" t="s">
        <v>1808</v>
      </c>
      <c r="B16" s="7">
        <f>COUNTIF(Extraction!$N$2:$N$111,"*"&amp;A16&amp;"*")</f>
        <v>9</v>
      </c>
      <c r="C16" s="8">
        <f t="shared" si="0"/>
        <v>8.1818181818181818E-2</v>
      </c>
      <c r="E16" t="s">
        <v>1808</v>
      </c>
      <c r="F16" s="7">
        <f>COUNTIF(RQ3_raw!$I$2:$I$11,"*"&amp;E16&amp;"*")</f>
        <v>2</v>
      </c>
    </row>
    <row r="17" spans="1:6" x14ac:dyDescent="0.25">
      <c r="A17" t="s">
        <v>1809</v>
      </c>
      <c r="B17" s="7">
        <f>COUNTIF(Extraction!$N$2:$N$111,"*"&amp;A17&amp;"*")</f>
        <v>64</v>
      </c>
      <c r="C17" s="8">
        <f t="shared" si="0"/>
        <v>0.58181818181818179</v>
      </c>
      <c r="E17" t="s">
        <v>1809</v>
      </c>
      <c r="F17" s="7">
        <f>COUNTIF(RQ3_raw!$I$2:$I$11,"*"&amp;E17&amp;"*")</f>
        <v>2</v>
      </c>
    </row>
    <row r="18" spans="1:6" x14ac:dyDescent="0.25">
      <c r="A18" t="s">
        <v>1810</v>
      </c>
      <c r="B18" s="7">
        <f>COUNTIF(Extraction!$N$2:$N$111,"*"&amp;A18&amp;"*")</f>
        <v>17</v>
      </c>
      <c r="C18" s="8">
        <f t="shared" si="0"/>
        <v>0.15454545454545454</v>
      </c>
      <c r="E18" t="s">
        <v>1810</v>
      </c>
      <c r="F18" s="7">
        <f>COUNTIF(RQ3_raw!$I$2:$I$11,"*"&amp;E18&amp;"*")</f>
        <v>6</v>
      </c>
    </row>
    <row r="19" spans="1:6" x14ac:dyDescent="0.25">
      <c r="A19" t="s">
        <v>1811</v>
      </c>
      <c r="B19" s="7">
        <f>COUNTIF(Extraction!$N$2:$N$111,"*"&amp;A19&amp;"*")</f>
        <v>72</v>
      </c>
      <c r="C19" s="8">
        <f t="shared" si="0"/>
        <v>0.65454545454545454</v>
      </c>
      <c r="E19" t="s">
        <v>1811</v>
      </c>
      <c r="F19" s="7">
        <f>COUNTIF(RQ3_raw!$I$2:$I$11,"*"&amp;E19&amp;"*")</f>
        <v>5</v>
      </c>
    </row>
    <row r="20" spans="1:6" x14ac:dyDescent="0.25">
      <c r="A20" t="s">
        <v>1812</v>
      </c>
      <c r="B20" s="7">
        <f>COUNTIF(Extraction!$N$2:$N$111,"*"&amp;A20&amp;"*")</f>
        <v>65</v>
      </c>
      <c r="C20" s="8">
        <f t="shared" si="0"/>
        <v>0.59090909090909094</v>
      </c>
      <c r="E20" t="s">
        <v>1812</v>
      </c>
      <c r="F20" s="7">
        <f>COUNTIF(RQ3_raw!$I$2:$I$11,"*"&amp;E20&amp;"*")</f>
        <v>2</v>
      </c>
    </row>
    <row r="21" spans="1:6" x14ac:dyDescent="0.25">
      <c r="A21" t="s">
        <v>143</v>
      </c>
      <c r="B21" s="7">
        <f>COUNTIF(Extraction!$N$2:$N$111,"*"&amp;A21&amp;"*")</f>
        <v>90</v>
      </c>
      <c r="C21" s="8">
        <f t="shared" si="0"/>
        <v>0.81818181818181823</v>
      </c>
      <c r="E21" t="s">
        <v>143</v>
      </c>
      <c r="F21" s="7">
        <f>COUNTIF(RQ3_raw!$I$2:$I$11,"*"&amp;E21&amp;"*")</f>
        <v>10</v>
      </c>
    </row>
  </sheetData>
  <conditionalFormatting sqref="B6:C7">
    <cfRule type="colorScale" priority="1">
      <colorScale>
        <cfvo type="min"/>
        <cfvo type="percentile" val="50"/>
        <cfvo type="max"/>
        <color rgb="FFFFF2CC"/>
        <color rgb="FFFFD966"/>
        <color rgb="FFBF9000"/>
      </colorScale>
    </cfRule>
  </conditionalFormatting>
  <conditionalFormatting sqref="F6:I9">
    <cfRule type="colorScale" priority="2">
      <colorScale>
        <cfvo type="min"/>
        <cfvo type="percentile" val="50"/>
        <cfvo type="max"/>
        <color rgb="FFFFF2CC"/>
        <color rgb="FFFFD966"/>
        <color rgb="FFBF9000"/>
      </colorScale>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tabSelected="1" workbookViewId="0">
      <pane ySplit="3" topLeftCell="A14" activePane="bottomLeft" state="frozen"/>
      <selection pane="bottomLeft" activeCell="F37" sqref="F37"/>
    </sheetView>
  </sheetViews>
  <sheetFormatPr defaultRowHeight="15" x14ac:dyDescent="0.25"/>
  <cols>
    <col min="1" max="20" width="18.7109375" customWidth="1"/>
  </cols>
  <sheetData>
    <row r="1" spans="1:7" ht="21" x14ac:dyDescent="0.35">
      <c r="A1" s="4" t="s">
        <v>1815</v>
      </c>
    </row>
    <row r="2" spans="1:7" x14ac:dyDescent="0.25">
      <c r="A2" s="5" t="s">
        <v>1816</v>
      </c>
    </row>
    <row r="4" spans="1:7" ht="17.25" x14ac:dyDescent="0.3">
      <c r="A4" s="6" t="s">
        <v>1817</v>
      </c>
      <c r="E4" s="6" t="s">
        <v>1801</v>
      </c>
    </row>
    <row r="5" spans="1:7" ht="30" x14ac:dyDescent="0.25">
      <c r="A5" s="3" t="s">
        <v>1818</v>
      </c>
      <c r="B5" s="3" t="s">
        <v>80</v>
      </c>
      <c r="C5" s="3" t="s">
        <v>79</v>
      </c>
      <c r="E5" s="3" t="s">
        <v>1802</v>
      </c>
      <c r="F5" s="3" t="s">
        <v>80</v>
      </c>
      <c r="G5" s="3" t="s">
        <v>79</v>
      </c>
    </row>
    <row r="6" spans="1:7" x14ac:dyDescent="0.25">
      <c r="A6" t="s">
        <v>80</v>
      </c>
      <c r="B6" s="7">
        <f>COUNTIFS(Extraction!$G$2:$G$111,$A6,Extraction!$I$2:$I$111,B$5)</f>
        <v>6</v>
      </c>
      <c r="C6" s="7">
        <f>COUNTIFS(Extraction!$G$2:$G$111,$A6,Extraction!$I$2:$I$111,C$5)</f>
        <v>84</v>
      </c>
      <c r="E6" t="s">
        <v>80</v>
      </c>
      <c r="F6" s="7">
        <f>COUNTIFS(Extraction!$J$2:$J$111,$E6,Extraction!$K$2:$K$111,F$5)</f>
        <v>100</v>
      </c>
      <c r="G6" s="7">
        <f>COUNTIFS(Extraction!$J$2:$J$111,$E6,Extraction!$K$2:$K$111,G$5)</f>
        <v>4</v>
      </c>
    </row>
    <row r="7" spans="1:7" x14ac:dyDescent="0.25">
      <c r="A7" t="s">
        <v>79</v>
      </c>
      <c r="B7" s="7">
        <f>COUNTIFS(Extraction!$G$2:$G$111,$A7,Extraction!$I$2:$I$111,B$5)</f>
        <v>2</v>
      </c>
      <c r="C7" s="7">
        <f>COUNTIFS(Extraction!$G$2:$G$111,$A7,Extraction!$I$2:$I$111,C$5)</f>
        <v>18</v>
      </c>
      <c r="E7" t="s">
        <v>79</v>
      </c>
      <c r="F7" s="7">
        <f>COUNTIFS(Extraction!$J$2:$J$111,$E7,Extraction!$K$2:$K$111,F$5)</f>
        <v>3</v>
      </c>
      <c r="G7" s="7">
        <f>COUNTIFS(Extraction!$J$2:$J$111,$E7,Extraction!$K$2:$K$111,G$5)</f>
        <v>3</v>
      </c>
    </row>
    <row r="11" spans="1:7" ht="17.25" x14ac:dyDescent="0.3">
      <c r="A11" s="6" t="s">
        <v>1819</v>
      </c>
      <c r="E11" s="6" t="s">
        <v>1824</v>
      </c>
    </row>
    <row r="12" spans="1:7" x14ac:dyDescent="0.25">
      <c r="A12" s="3" t="s">
        <v>1820</v>
      </c>
      <c r="B12" s="3" t="s">
        <v>1747</v>
      </c>
      <c r="C12" s="3" t="s">
        <v>1748</v>
      </c>
      <c r="E12" s="3" t="s">
        <v>1825</v>
      </c>
      <c r="F12" s="3" t="s">
        <v>1826</v>
      </c>
    </row>
    <row r="13" spans="1:7" ht="75" x14ac:dyDescent="0.25">
      <c r="A13" t="s">
        <v>802</v>
      </c>
      <c r="B13" s="7">
        <f>COUNTIF(Extraction!$AM$2:$AM$111,"Full loop")</f>
        <v>2</v>
      </c>
      <c r="C13" s="8">
        <f t="shared" ref="C13:C19" si="0">B13/110</f>
        <v>1.8181818181818181E-2</v>
      </c>
      <c r="E13" t="s">
        <v>1827</v>
      </c>
      <c r="F13" s="2" t="s">
        <v>1828</v>
      </c>
    </row>
    <row r="14" spans="1:7" ht="45" x14ac:dyDescent="0.25">
      <c r="A14" t="s">
        <v>92</v>
      </c>
      <c r="B14" s="7">
        <f>COUNTIF(Extraction!$AM$2:$AM$111,"Partial")</f>
        <v>102</v>
      </c>
      <c r="C14" s="8">
        <f t="shared" si="0"/>
        <v>0.92727272727272725</v>
      </c>
      <c r="E14" t="s">
        <v>1829</v>
      </c>
      <c r="F14" s="2" t="s">
        <v>1830</v>
      </c>
    </row>
    <row r="15" spans="1:7" ht="90" x14ac:dyDescent="0.25">
      <c r="A15" t="s">
        <v>1750</v>
      </c>
      <c r="B15" s="7">
        <f>COUNTBLANK(Extraction!$AM$2:$AM$111)</f>
        <v>6</v>
      </c>
      <c r="C15" s="8">
        <f t="shared" si="0"/>
        <v>5.4545454545454543E-2</v>
      </c>
      <c r="E15" t="s">
        <v>1831</v>
      </c>
      <c r="F15" s="2" t="s">
        <v>1832</v>
      </c>
    </row>
    <row r="16" spans="1:7" ht="60" x14ac:dyDescent="0.25">
      <c r="A16" t="s">
        <v>1821</v>
      </c>
      <c r="B16" s="7">
        <f>COUNTIF(Extraction!$AP$2:$AP$111,"Mature")</f>
        <v>1</v>
      </c>
      <c r="C16" s="8">
        <f t="shared" si="0"/>
        <v>9.0909090909090905E-3</v>
      </c>
      <c r="E16" t="s">
        <v>1833</v>
      </c>
      <c r="F16" s="2" t="s">
        <v>1834</v>
      </c>
    </row>
    <row r="17" spans="1:6" ht="60" x14ac:dyDescent="0.25">
      <c r="A17" t="s">
        <v>1822</v>
      </c>
      <c r="B17" s="7">
        <f>COUNTIF(Extraction!$AP$2:$AP$111,"Developing")</f>
        <v>2</v>
      </c>
      <c r="C17" s="8">
        <f t="shared" si="0"/>
        <v>1.8181818181818181E-2</v>
      </c>
      <c r="E17" t="s">
        <v>1835</v>
      </c>
      <c r="F17" s="2" t="s">
        <v>1836</v>
      </c>
    </row>
    <row r="18" spans="1:6" x14ac:dyDescent="0.25">
      <c r="A18" t="s">
        <v>1812</v>
      </c>
      <c r="B18" s="7">
        <f>COUNTIF(Extraction!$AP$2:$AP$111,"Absent")</f>
        <v>107</v>
      </c>
      <c r="C18" s="8">
        <f t="shared" si="0"/>
        <v>0.97272727272727277</v>
      </c>
    </row>
    <row r="19" spans="1:6" x14ac:dyDescent="0.25">
      <c r="A19" t="s">
        <v>1823</v>
      </c>
      <c r="B19" s="7">
        <f>COUNTIFS(Extraction!$G$2:$G$111,"Yes",Extraction!$I$2:$I$111,"Yes",Extraction!$J$2:$J$111,"Yes",Extraction!$K$2:$K$111,"Yes")</f>
        <v>2</v>
      </c>
      <c r="C19" s="8">
        <f t="shared" si="0"/>
        <v>1.8181818181818181E-2</v>
      </c>
    </row>
  </sheetData>
  <conditionalFormatting sqref="B6:C7">
    <cfRule type="colorScale" priority="1">
      <colorScale>
        <cfvo type="min"/>
        <cfvo type="percentile" val="50"/>
        <cfvo type="max"/>
        <color rgb="FFFFF2CC"/>
        <color rgb="FFFFD966"/>
        <color rgb="FFBF9000"/>
      </colorScale>
    </cfRule>
  </conditionalFormatting>
  <conditionalFormatting sqref="F6:G7">
    <cfRule type="colorScale" priority="2">
      <colorScale>
        <cfvo type="min"/>
        <cfvo type="percentile" val="50"/>
        <cfvo type="max"/>
        <color rgb="FFFFF2CC"/>
        <color rgb="FFFFD966"/>
        <color rgb="FFBF9000"/>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Extraction</vt:lpstr>
      <vt:lpstr>Domain_data</vt:lpstr>
      <vt:lpstr>Papers_coded</vt:lpstr>
      <vt:lpstr>RQ1_raw</vt:lpstr>
      <vt:lpstr>RQ2_raw</vt:lpstr>
      <vt:lpstr>RQ3_raw</vt:lpstr>
      <vt:lpstr>Descriptive</vt:lpstr>
      <vt:lpstr>RQ1_Levels</vt:lpstr>
      <vt:lpstr>RQ2_Lifecycle</vt:lpstr>
      <vt:lpstr>RQ3_Longitudinal</vt:lpstr>
      <vt:lpstr>RQ4_Framework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CAETANO SERGIO PAULO</cp:lastModifiedBy>
  <dcterms:created xsi:type="dcterms:W3CDTF">2026-03-10T13:02:48Z</dcterms:created>
  <dcterms:modified xsi:type="dcterms:W3CDTF">2026-03-10T16:44:02Z</dcterms:modified>
</cp:coreProperties>
</file>